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00_CODICI_SPECIE" sheetId="1" state="visible" r:id="rId1"/>
    <sheet xmlns:r="http://schemas.openxmlformats.org/officeDocument/2006/relationships" name="riepilogo_settimana" sheetId="2" state="visible" r:id="rId2"/>
    <sheet xmlns:r="http://schemas.openxmlformats.org/officeDocument/2006/relationships" name="dati_grezzi" sheetId="3" state="visible" r:id="rId3"/>
    <sheet xmlns:r="http://schemas.openxmlformats.org/officeDocument/2006/relationships" name="soglie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2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sz val="11"/>
    </font>
    <font>
      <name val="Cambria"/>
      <charset val="1"/>
      <family val="0"/>
      <color rgb="FF000000"/>
      <sz val="11"/>
    </font>
    <font>
      <name val="Calibri"/>
      <charset val="1"/>
      <family val="0"/>
      <sz val="11"/>
    </font>
    <font>
      <name val="Cambria"/>
      <charset val="1"/>
      <family val="0"/>
      <color rgb="FFFF0000"/>
      <sz val="11"/>
    </font>
    <font>
      <name val="Calibri"/>
      <charset val="1"/>
      <family val="0"/>
      <b val="1"/>
      <sz val="11"/>
    </font>
    <font>
      <name val="Cambria"/>
      <sz val="11"/>
    </font>
    <font>
      <name val="Cambria"/>
      <b val="1"/>
      <sz val="11"/>
    </font>
    <font>
      <name val="Calibri"/>
      <sz val="11"/>
    </font>
    <font>
      <name val="Calibri"/>
      <b val="1"/>
      <sz val="11"/>
    </font>
    <font>
      <name val="Cambria"/>
      <b val="1"/>
      <sz val="12"/>
    </font>
    <font>
      <name val="Arial"/>
      <sz val="11"/>
    </font>
    <font/>
    <font>
      <b val="1"/>
      <sz val="14"/>
    </font>
    <font>
      <b val="1"/>
      <color rgb="00000000"/>
      <sz val="11"/>
    </font>
    <font>
      <b val="1"/>
      <color rgb="00FFFFFF"/>
      <sz val="11"/>
    </font>
  </fonts>
  <fills count="16">
    <fill>
      <patternFill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E699"/>
        <bgColor rgb="FFFFCC99"/>
      </patternFill>
    </fill>
    <fill>
      <patternFill patternType="solid">
        <fgColor rgb="FFFFFFFF"/>
        <bgColor rgb="FFFFFFCC"/>
      </patternFill>
    </fill>
    <fill>
      <patternFill patternType="solid">
        <fgColor rgb="FF92D050"/>
        <bgColor rgb="FFBABABA"/>
      </patternFill>
    </fill>
    <fill>
      <patternFill patternType="solid">
        <fgColor rgb="FFC5E0B4"/>
        <bgColor rgb="FFCCCCFF"/>
      </patternFill>
    </fill>
    <fill>
      <patternFill patternType="solid">
        <fgColor rgb="00FFFFFF"/>
      </patternFill>
    </fill>
    <fill>
      <patternFill patternType="solid">
        <fgColor rgb="00C5E0B4"/>
      </patternFill>
    </fill>
    <fill>
      <patternFill patternType="solid">
        <fgColor rgb="FFCFE2F3"/>
        <bgColor rgb="FFD9EAD3"/>
      </patternFill>
    </fill>
    <fill>
      <patternFill patternType="solid">
        <fgColor rgb="FFD9EAD3"/>
        <bgColor rgb="FFCFE2F3"/>
      </patternFill>
    </fill>
    <fill>
      <patternFill patternType="solid">
        <fgColor rgb="FFFFF2CC"/>
        <bgColor rgb="FFFFFFFF"/>
      </patternFill>
    </fill>
    <fill>
      <patternFill patternType="solid">
        <fgColor rgb="FFF4CCCC"/>
        <bgColor rgb="FFD9EAD3"/>
      </patternFill>
    </fill>
    <fill>
      <patternFill patternType="solid">
        <fgColor rgb="00808080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1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>
        <color rgb="FFBABABA"/>
      </right>
      <top style="thin">
        <color rgb="FFBABABA"/>
      </top>
      <bottom style="thin">
        <color rgb="FFBABABA"/>
      </bottom>
      <diagonal/>
    </border>
    <border>
      <left style="thin">
        <color rgb="FFBABABA"/>
      </left>
      <right style="thin">
        <color rgb="FFBABABA"/>
      </right>
      <top style="thin">
        <color rgb="FFBABABA"/>
      </top>
      <bottom style="thin">
        <color rgb="FFBABABA"/>
      </bottom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/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bottom"/>
    </xf>
    <xf numFmtId="0" fontId="6" fillId="2" borderId="2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general" vertical="bottom"/>
    </xf>
    <xf numFmtId="0" fontId="8" fillId="4" borderId="4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general" vertical="bottom"/>
    </xf>
    <xf numFmtId="0" fontId="10" fillId="0" borderId="2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general" vertical="bottom"/>
    </xf>
    <xf numFmtId="0" fontId="5" fillId="5" borderId="1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general" vertical="bottom"/>
    </xf>
    <xf numFmtId="0" fontId="10" fillId="5" borderId="2" applyAlignment="1" pivotButton="0" quotePrefix="0" xfId="0">
      <alignment horizontal="general" vertical="bottom"/>
    </xf>
    <xf numFmtId="0" fontId="7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bottom"/>
    </xf>
    <xf numFmtId="0" fontId="5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6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general" vertical="bottom"/>
    </xf>
    <xf numFmtId="0" fontId="10" fillId="0" borderId="7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13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6" fillId="3" borderId="12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bottom"/>
    </xf>
    <xf numFmtId="0" fontId="6" fillId="2" borderId="2" applyAlignment="1" pivotButton="0" quotePrefix="0" xfId="0">
      <alignment horizontal="center" vertical="bottom"/>
    </xf>
    <xf numFmtId="0" fontId="12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7" borderId="12" applyAlignment="1" pivotButton="0" quotePrefix="0" xfId="0">
      <alignment horizontal="center" vertical="center"/>
    </xf>
    <xf numFmtId="0" fontId="8" fillId="7" borderId="12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/>
    </xf>
    <xf numFmtId="0" fontId="10" fillId="7" borderId="12" applyAlignment="1" pivotButton="0" quotePrefix="0" xfId="0">
      <alignment horizontal="center" vertical="center"/>
    </xf>
    <xf numFmtId="0" fontId="10" fillId="0" borderId="1" applyAlignment="1" pivotButton="0" quotePrefix="0" xfId="0">
      <alignment horizontal="general" vertical="bottom"/>
    </xf>
    <xf numFmtId="0" fontId="10" fillId="0" borderId="2" applyAlignment="1" pivotButton="0" quotePrefix="0" xfId="0">
      <alignment horizontal="general" vertical="bottom"/>
    </xf>
    <xf numFmtId="0" fontId="13" fillId="0" borderId="12" applyAlignment="1" pivotButton="0" quotePrefix="0" xfId="0">
      <alignment horizontal="center" vertical="center"/>
    </xf>
    <xf numFmtId="0" fontId="13" fillId="5" borderId="12" applyAlignment="1" pivotButton="0" quotePrefix="0" xfId="0">
      <alignment horizontal="center" vertical="center"/>
    </xf>
    <xf numFmtId="0" fontId="8" fillId="8" borderId="12" applyAlignment="1" pivotButton="0" quotePrefix="0" xfId="0">
      <alignment horizontal="center" vertical="center"/>
    </xf>
    <xf numFmtId="0" fontId="15" fillId="5" borderId="12" applyAlignment="1" pivotButton="0" quotePrefix="0" xfId="0">
      <alignment horizontal="center" vertical="center"/>
    </xf>
    <xf numFmtId="0" fontId="10" fillId="8" borderId="12" applyAlignment="1" pivotButton="0" quotePrefix="0" xfId="0">
      <alignment horizontal="center" vertical="center"/>
    </xf>
    <xf numFmtId="0" fontId="10" fillId="6" borderId="1" applyAlignment="1" pivotButton="0" quotePrefix="0" xfId="0">
      <alignment horizontal="general" vertical="bottom"/>
    </xf>
    <xf numFmtId="0" fontId="10" fillId="5" borderId="2" applyAlignment="1" pivotButton="0" quotePrefix="0" xfId="0">
      <alignment horizontal="general" vertical="bottom"/>
    </xf>
    <xf numFmtId="0" fontId="12" fillId="5" borderId="12" applyAlignment="1" pivotButton="0" quotePrefix="0" xfId="0">
      <alignment horizontal="center" vertical="center"/>
    </xf>
    <xf numFmtId="0" fontId="14" fillId="5" borderId="12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bottom"/>
    </xf>
    <xf numFmtId="0" fontId="13" fillId="6" borderId="12" applyAlignment="1" pivotButton="0" quotePrefix="0" xfId="0">
      <alignment horizontal="center" vertical="center"/>
    </xf>
    <xf numFmtId="0" fontId="15" fillId="6" borderId="12" applyAlignment="1" pivotButton="0" quotePrefix="0" xfId="0">
      <alignment horizontal="center" vertical="center"/>
    </xf>
    <xf numFmtId="0" fontId="10" fillId="6" borderId="6" applyAlignment="1" pivotButton="0" quotePrefix="0" xfId="0">
      <alignment horizontal="general" vertical="bottom"/>
    </xf>
    <xf numFmtId="0" fontId="10" fillId="0" borderId="6" applyAlignment="1" pivotButton="0" quotePrefix="0" xfId="0">
      <alignment horizontal="general" vertical="bottom"/>
    </xf>
    <xf numFmtId="0" fontId="10" fillId="0" borderId="7" applyAlignment="1" pivotButton="0" quotePrefix="0" xfId="0">
      <alignment horizontal="general" vertical="bottom"/>
    </xf>
    <xf numFmtId="0" fontId="0" fillId="0" borderId="15" pivotButton="0" quotePrefix="0" xfId="0"/>
    <xf numFmtId="0" fontId="0" fillId="0" borderId="16" pivotButton="0" quotePrefix="0" xfId="0"/>
    <xf numFmtId="0" fontId="13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4" fillId="9" borderId="0" applyAlignment="1" pivotButton="0" quotePrefix="0" xfId="0">
      <alignment horizontal="general" vertical="bottom"/>
    </xf>
    <xf numFmtId="0" fontId="14" fillId="10" borderId="0" applyAlignment="1" pivotButton="0" quotePrefix="0" xfId="0">
      <alignment horizontal="general" vertical="bottom"/>
    </xf>
    <xf numFmtId="0" fontId="14" fillId="11" borderId="0" applyAlignment="1" pivotButton="0" quotePrefix="0" xfId="0">
      <alignment horizontal="general" vertical="bottom"/>
    </xf>
    <xf numFmtId="0" fontId="14" fillId="12" borderId="0" applyAlignment="1" pivotButton="0" quotePrefix="0" xfId="0">
      <alignment horizontal="general" vertical="bottom"/>
    </xf>
    <xf numFmtId="0" fontId="17" fillId="0" borderId="0" pivotButton="0" quotePrefix="0" xfId="0"/>
    <xf numFmtId="0" fontId="13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6" fillId="3" borderId="12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7" borderId="12" applyAlignment="1" pivotButton="0" quotePrefix="0" xfId="0">
      <alignment horizontal="center" vertical="center"/>
    </xf>
    <xf numFmtId="0" fontId="8" fillId="7" borderId="12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/>
    </xf>
    <xf numFmtId="0" fontId="10" fillId="7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5" borderId="12" applyAlignment="1" pivotButton="0" quotePrefix="0" xfId="0">
      <alignment horizontal="center" vertical="center"/>
    </xf>
    <xf numFmtId="0" fontId="8" fillId="8" borderId="12" applyAlignment="1" pivotButton="0" quotePrefix="0" xfId="0">
      <alignment horizontal="center" vertical="center"/>
    </xf>
    <xf numFmtId="0" fontId="15" fillId="5" borderId="12" applyAlignment="1" pivotButton="0" quotePrefix="0" xfId="0">
      <alignment horizontal="center" vertical="center"/>
    </xf>
    <xf numFmtId="0" fontId="10" fillId="8" borderId="12" applyAlignment="1" pivotButton="0" quotePrefix="0" xfId="0">
      <alignment horizontal="center" vertical="center"/>
    </xf>
    <xf numFmtId="0" fontId="12" fillId="5" borderId="12" applyAlignment="1" pivotButton="0" quotePrefix="0" xfId="0">
      <alignment horizontal="center" vertical="center"/>
    </xf>
    <xf numFmtId="0" fontId="14" fillId="5" borderId="12" applyAlignment="1" pivotButton="0" quotePrefix="0" xfId="0">
      <alignment horizontal="center" vertical="center"/>
    </xf>
    <xf numFmtId="0" fontId="13" fillId="6" borderId="12" applyAlignment="1" pivotButton="0" quotePrefix="0" xfId="0">
      <alignment horizontal="center" vertical="center"/>
    </xf>
    <xf numFmtId="0" fontId="15" fillId="6" borderId="12" applyAlignment="1" pivotButton="0" quotePrefix="0" xfId="0">
      <alignment horizontal="center" vertical="center"/>
    </xf>
    <xf numFmtId="0" fontId="18" fillId="13" borderId="17" pivotButton="0" quotePrefix="0" xfId="0"/>
    <xf numFmtId="0" fontId="19" fillId="0" borderId="17" pivotButton="0" quotePrefix="0" xfId="0"/>
    <xf numFmtId="0" fontId="18" fillId="0" borderId="17" pivotButton="0" quotePrefix="0" xfId="0"/>
    <xf numFmtId="0" fontId="20" fillId="14" borderId="18" applyAlignment="1" pivotButton="0" quotePrefix="0" xfId="0">
      <alignment horizontal="center" wrapText="1"/>
    </xf>
    <xf numFmtId="0" fontId="21" fillId="15" borderId="18" applyAlignment="1" pivotButton="0" quotePrefix="0" xfId="0">
      <alignment horizont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ABAB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E6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0" customWidth="1" style="39" min="1" max="1"/>
    <col width="30" customWidth="1" style="39" min="2" max="2"/>
  </cols>
  <sheetData>
    <row r="1" ht="15" customHeight="1" s="40">
      <c r="A1" s="41" t="inlineStr">
        <is>
          <t>CODICE</t>
        </is>
      </c>
      <c r="B1" s="41" t="inlineStr">
        <is>
          <t>SPECIE</t>
        </is>
      </c>
    </row>
    <row r="2" ht="15" customHeight="1" s="40">
      <c r="A2" s="39" t="inlineStr">
        <is>
          <t>01</t>
        </is>
      </c>
      <c r="B2" s="39" t="inlineStr">
        <is>
          <t>ACERACEAE</t>
        </is>
      </c>
    </row>
    <row r="3" ht="15" customHeight="1" s="40">
      <c r="A3" s="39" t="inlineStr">
        <is>
          <t>02</t>
        </is>
      </c>
      <c r="B3" s="39" t="inlineStr">
        <is>
          <t>ALTRI POLLINI</t>
        </is>
      </c>
    </row>
    <row r="4" ht="15" customHeight="1" s="40">
      <c r="A4" s="39" t="inlineStr">
        <is>
          <t>03</t>
        </is>
      </c>
      <c r="B4" s="39" t="inlineStr">
        <is>
          <t>BETULACEAE</t>
        </is>
      </c>
    </row>
    <row r="5" ht="15" customHeight="1" s="40">
      <c r="A5" s="39" t="inlineStr">
        <is>
          <t>04</t>
        </is>
      </c>
      <c r="B5" s="39" t="inlineStr">
        <is>
          <t>Alnus</t>
        </is>
      </c>
    </row>
    <row r="6" ht="15" customHeight="1" s="40">
      <c r="A6" s="39" t="inlineStr">
        <is>
          <t>05</t>
        </is>
      </c>
      <c r="B6" s="39" t="inlineStr">
        <is>
          <t>Betula</t>
        </is>
      </c>
    </row>
    <row r="7" ht="15" customHeight="1" s="40">
      <c r="A7" s="39" t="inlineStr">
        <is>
          <t>06</t>
        </is>
      </c>
      <c r="B7" s="39" t="inlineStr">
        <is>
          <t>CANNABACEAE</t>
        </is>
      </c>
    </row>
    <row r="8" ht="15" customHeight="1" s="40">
      <c r="A8" s="39" t="inlineStr">
        <is>
          <t>07</t>
        </is>
      </c>
      <c r="B8" s="39" t="inlineStr">
        <is>
          <t>CHENO-AMAR</t>
        </is>
      </c>
    </row>
    <row r="9" ht="15" customHeight="1" s="40">
      <c r="A9" s="39" t="inlineStr">
        <is>
          <t>08</t>
        </is>
      </c>
      <c r="B9" s="39" t="inlineStr">
        <is>
          <t>COMPOSITAE</t>
        </is>
      </c>
    </row>
    <row r="10" ht="15" customHeight="1" s="40">
      <c r="A10" s="39" t="inlineStr">
        <is>
          <t>09</t>
        </is>
      </c>
      <c r="B10" s="39" t="inlineStr">
        <is>
          <t>Altre compositae</t>
        </is>
      </c>
    </row>
    <row r="11" ht="15" customHeight="1" s="40">
      <c r="A11" s="39" t="inlineStr">
        <is>
          <t>10</t>
        </is>
      </c>
      <c r="B11" s="39" t="inlineStr">
        <is>
          <t>Ambrosia</t>
        </is>
      </c>
    </row>
    <row r="12" ht="15" customHeight="1" s="40">
      <c r="A12" s="39" t="inlineStr">
        <is>
          <t>11</t>
        </is>
      </c>
      <c r="B12" s="39" t="inlineStr">
        <is>
          <t>Artemisia</t>
        </is>
      </c>
    </row>
    <row r="13" ht="15" customHeight="1" s="40">
      <c r="A13" s="39" t="inlineStr">
        <is>
          <t>12</t>
        </is>
      </c>
      <c r="B13" s="39" t="inlineStr">
        <is>
          <t>CORYLACEAE (somma c+o)</t>
        </is>
      </c>
    </row>
    <row r="14" ht="15" customHeight="1" s="40">
      <c r="A14" s="39" t="inlineStr">
        <is>
          <t>13</t>
        </is>
      </c>
      <c r="B14" s="39" t="inlineStr">
        <is>
          <t>Carpinus/Ostrya</t>
        </is>
      </c>
    </row>
    <row r="15" ht="15" customHeight="1" s="40">
      <c r="A15" s="39" t="inlineStr">
        <is>
          <t>14</t>
        </is>
      </c>
      <c r="B15" s="39" t="inlineStr">
        <is>
          <t>Carpinus</t>
        </is>
      </c>
    </row>
    <row r="16" ht="15" customHeight="1" s="40">
      <c r="A16" s="39" t="inlineStr">
        <is>
          <t>15</t>
        </is>
      </c>
      <c r="B16" s="39" t="inlineStr">
        <is>
          <t>Ostrya carpinifolia</t>
        </is>
      </c>
    </row>
    <row r="17" ht="15" customHeight="1" s="40">
      <c r="A17" s="39" t="inlineStr">
        <is>
          <t>16</t>
        </is>
      </c>
      <c r="B17" s="39" t="inlineStr">
        <is>
          <t>Corylus avellana</t>
        </is>
      </c>
    </row>
    <row r="18" ht="15" customHeight="1" s="40">
      <c r="A18" s="39" t="inlineStr">
        <is>
          <t>17</t>
        </is>
      </c>
      <c r="B18" s="39" t="inlineStr">
        <is>
          <t>CUP-TAXACEAE</t>
        </is>
      </c>
    </row>
    <row r="19" ht="15" customHeight="1" s="40">
      <c r="A19" s="39" t="inlineStr">
        <is>
          <t>18</t>
        </is>
      </c>
      <c r="B19" s="39" t="inlineStr">
        <is>
          <t>ERICACEAE</t>
        </is>
      </c>
    </row>
    <row r="20" ht="15" customHeight="1" s="40">
      <c r="A20" s="39" t="inlineStr">
        <is>
          <t>19</t>
        </is>
      </c>
      <c r="B20" s="39" t="inlineStr">
        <is>
          <t>EUPHORBIACEAE</t>
        </is>
      </c>
    </row>
    <row r="21" ht="15" customHeight="1" s="40">
      <c r="A21" s="39" t="inlineStr">
        <is>
          <t>20</t>
        </is>
      </c>
      <c r="B21" s="39" t="inlineStr">
        <is>
          <t>FAGACEAE</t>
        </is>
      </c>
    </row>
    <row r="22" ht="15" customHeight="1" s="40">
      <c r="A22" s="39" t="inlineStr">
        <is>
          <t>21</t>
        </is>
      </c>
      <c r="B22" s="39" t="inlineStr">
        <is>
          <t>Castanea sativa</t>
        </is>
      </c>
    </row>
    <row r="23" ht="15" customHeight="1" s="40">
      <c r="A23" s="39" t="inlineStr">
        <is>
          <t>22</t>
        </is>
      </c>
      <c r="B23" s="39" t="inlineStr">
        <is>
          <t>Fagus sylvatica</t>
        </is>
      </c>
    </row>
    <row r="24" ht="15" customHeight="1" s="40">
      <c r="A24" s="39" t="inlineStr">
        <is>
          <t>23</t>
        </is>
      </c>
      <c r="B24" s="39" t="inlineStr">
        <is>
          <t>Quercus</t>
        </is>
      </c>
    </row>
    <row r="25" ht="15" customHeight="1" s="40">
      <c r="A25" s="39" t="inlineStr">
        <is>
          <t>24</t>
        </is>
      </c>
      <c r="B25" s="39" t="inlineStr">
        <is>
          <t>GRAMINEAE</t>
        </is>
      </c>
    </row>
    <row r="26" ht="15" customHeight="1" s="40">
      <c r="A26" s="39" t="inlineStr">
        <is>
          <t>25</t>
        </is>
      </c>
      <c r="B26" s="39" t="inlineStr">
        <is>
          <t>HIPPOCASTANACEAE</t>
        </is>
      </c>
    </row>
    <row r="27" ht="15" customHeight="1" s="40">
      <c r="A27" s="39" t="inlineStr">
        <is>
          <t>26</t>
        </is>
      </c>
      <c r="B27" s="39" t="inlineStr">
        <is>
          <t>JUGLANDACEAE</t>
        </is>
      </c>
    </row>
    <row r="28" ht="15" customHeight="1" s="40">
      <c r="A28" s="39" t="inlineStr">
        <is>
          <t>27</t>
        </is>
      </c>
      <c r="B28" s="39" t="inlineStr">
        <is>
          <t>LAURACEAE</t>
        </is>
      </c>
    </row>
    <row r="29" ht="15" customHeight="1" s="40">
      <c r="A29" s="39" t="inlineStr">
        <is>
          <t>28</t>
        </is>
      </c>
      <c r="B29" s="39" t="inlineStr">
        <is>
          <t>MIMOSACEAE</t>
        </is>
      </c>
    </row>
    <row r="30" ht="15" customHeight="1" s="40">
      <c r="A30" s="39" t="inlineStr">
        <is>
          <t>29</t>
        </is>
      </c>
      <c r="B30" s="39" t="inlineStr">
        <is>
          <t>MORACEAE</t>
        </is>
      </c>
    </row>
    <row r="31" ht="15" customHeight="1" s="40">
      <c r="A31" s="39" t="inlineStr">
        <is>
          <t>30</t>
        </is>
      </c>
      <c r="B31" s="39" t="inlineStr">
        <is>
          <t>MYRTACEAE</t>
        </is>
      </c>
    </row>
    <row r="32" ht="15" customHeight="1" s="40">
      <c r="A32" s="39" t="inlineStr">
        <is>
          <t>31</t>
        </is>
      </c>
      <c r="B32" s="39" t="inlineStr">
        <is>
          <t>OLEACEAE</t>
        </is>
      </c>
    </row>
    <row r="33" ht="15" customHeight="1" s="40">
      <c r="A33" s="39" t="inlineStr">
        <is>
          <t>32</t>
        </is>
      </c>
      <c r="B33" s="39" t="inlineStr">
        <is>
          <t>Altre oleaceae</t>
        </is>
      </c>
    </row>
    <row r="34" ht="15" customHeight="1" s="40">
      <c r="A34" s="39" t="inlineStr">
        <is>
          <t>33</t>
        </is>
      </c>
      <c r="B34" s="39" t="inlineStr">
        <is>
          <t>Fraxinus</t>
        </is>
      </c>
    </row>
    <row r="35" ht="15" customHeight="1" s="40">
      <c r="A35" s="39" t="inlineStr">
        <is>
          <t>34</t>
        </is>
      </c>
      <c r="B35" s="39" t="inlineStr">
        <is>
          <t>Ligustrum</t>
        </is>
      </c>
    </row>
    <row r="36" ht="15" customHeight="1" s="40">
      <c r="A36" s="39" t="inlineStr">
        <is>
          <t>35</t>
        </is>
      </c>
      <c r="B36" s="39" t="inlineStr">
        <is>
          <t>Olea</t>
        </is>
      </c>
    </row>
    <row r="37" ht="15" customHeight="1" s="40">
      <c r="A37" s="39" t="inlineStr">
        <is>
          <t>36</t>
        </is>
      </c>
      <c r="B37" s="39" t="inlineStr">
        <is>
          <t>PINACEAE</t>
        </is>
      </c>
    </row>
    <row r="38" ht="15" customHeight="1" s="40">
      <c r="A38" s="39" t="inlineStr">
        <is>
          <t>37</t>
        </is>
      </c>
      <c r="B38" s="39" t="inlineStr">
        <is>
          <t>PLANTAGINACEAE</t>
        </is>
      </c>
    </row>
    <row r="39" ht="15" customHeight="1" s="40">
      <c r="A39" s="39" t="inlineStr">
        <is>
          <t>38</t>
        </is>
      </c>
      <c r="B39" s="39" t="inlineStr">
        <is>
          <t>PLATANACEAE</t>
        </is>
      </c>
    </row>
    <row r="40" ht="15" customHeight="1" s="40">
      <c r="A40" s="39" t="inlineStr">
        <is>
          <t>39</t>
        </is>
      </c>
      <c r="B40" s="39" t="inlineStr">
        <is>
          <t>POLLINI NON IDENTIFICATI</t>
        </is>
      </c>
    </row>
    <row r="41" ht="15" customHeight="1" s="40">
      <c r="A41" s="39" t="inlineStr">
        <is>
          <t>40</t>
        </is>
      </c>
      <c r="B41" s="39" t="inlineStr">
        <is>
          <t>POLYGONACEAE</t>
        </is>
      </c>
    </row>
    <row r="42" ht="15" customHeight="1" s="40">
      <c r="A42" s="39" t="inlineStr">
        <is>
          <t>41</t>
        </is>
      </c>
      <c r="B42" s="39" t="inlineStr">
        <is>
          <t>SALICACEAE</t>
        </is>
      </c>
    </row>
    <row r="43" ht="15" customHeight="1" s="40">
      <c r="A43" s="39" t="inlineStr">
        <is>
          <t>42</t>
        </is>
      </c>
      <c r="B43" s="39" t="inlineStr">
        <is>
          <t>Populus</t>
        </is>
      </c>
    </row>
    <row r="44" ht="15" customHeight="1" s="40">
      <c r="A44" s="39" t="inlineStr">
        <is>
          <t>43</t>
        </is>
      </c>
      <c r="B44" s="39" t="inlineStr">
        <is>
          <t>Salix</t>
        </is>
      </c>
    </row>
    <row r="45" ht="15" customHeight="1" s="40">
      <c r="A45" s="39" t="inlineStr">
        <is>
          <t>44</t>
        </is>
      </c>
      <c r="B45" s="39" t="inlineStr">
        <is>
          <t>TILIACEAE</t>
        </is>
      </c>
    </row>
    <row r="46" ht="15" customHeight="1" s="40">
      <c r="A46" s="39" t="inlineStr">
        <is>
          <t>45</t>
        </is>
      </c>
      <c r="B46" s="39" t="inlineStr">
        <is>
          <t>ULMACEAE</t>
        </is>
      </c>
    </row>
    <row r="47" ht="15" customHeight="1" s="40">
      <c r="A47" s="39" t="inlineStr">
        <is>
          <t>46</t>
        </is>
      </c>
      <c r="B47" s="39" t="inlineStr">
        <is>
          <t>UMBELLIFERAE</t>
        </is>
      </c>
    </row>
    <row r="48" ht="15" customHeight="1" s="40">
      <c r="A48" s="39" t="inlineStr">
        <is>
          <t>47</t>
        </is>
      </c>
      <c r="B48" s="39" t="inlineStr">
        <is>
          <t>URTICACEAE</t>
        </is>
      </c>
    </row>
    <row r="49" ht="15" customHeight="1" s="40">
      <c r="A49" s="39" t="inlineStr">
        <is>
          <t>48</t>
        </is>
      </c>
      <c r="B49" s="39" t="inlineStr">
        <is>
          <t>Alternaria</t>
        </is>
      </c>
    </row>
    <row r="50" ht="15" customHeight="1" s="40">
      <c r="A50" s="39" t="inlineStr">
        <is>
          <t>49</t>
        </is>
      </c>
      <c r="B50" s="39" t="inlineStr">
        <is>
          <t>Botrytis</t>
        </is>
      </c>
    </row>
    <row r="51" ht="15" customHeight="1" s="40">
      <c r="A51" s="39" t="inlineStr">
        <is>
          <t>50</t>
        </is>
      </c>
      <c r="B51" s="39" t="inlineStr">
        <is>
          <t>Cladosporium</t>
        </is>
      </c>
    </row>
    <row r="52" ht="15" customHeight="1" s="40">
      <c r="A52" s="39" t="inlineStr">
        <is>
          <t>51</t>
        </is>
      </c>
      <c r="B52" s="39" t="inlineStr">
        <is>
          <t>Curvularia</t>
        </is>
      </c>
    </row>
    <row r="53" ht="15" customHeight="1" s="40">
      <c r="A53" s="39" t="inlineStr">
        <is>
          <t>52</t>
        </is>
      </c>
      <c r="B53" s="39" t="inlineStr">
        <is>
          <t>Epicoccum</t>
        </is>
      </c>
    </row>
    <row r="54" ht="15" customHeight="1" s="40">
      <c r="A54" s="39" t="inlineStr">
        <is>
          <t>53</t>
        </is>
      </c>
      <c r="B54" s="39" t="inlineStr">
        <is>
          <t>Helminthosporium</t>
        </is>
      </c>
    </row>
    <row r="55" ht="15" customHeight="1" s="40">
      <c r="A55" s="39" t="inlineStr">
        <is>
          <t>54</t>
        </is>
      </c>
      <c r="B55" s="39" t="inlineStr">
        <is>
          <t>Pithomyces</t>
        </is>
      </c>
    </row>
    <row r="56" ht="15" customHeight="1" s="40">
      <c r="A56" s="39" t="inlineStr">
        <is>
          <t>55</t>
        </is>
      </c>
      <c r="B56" s="39" t="inlineStr">
        <is>
          <t>Pleospora</t>
        </is>
      </c>
    </row>
    <row r="57" ht="15" customHeight="1" s="40">
      <c r="A57" s="39" t="inlineStr">
        <is>
          <t>56</t>
        </is>
      </c>
      <c r="B57" s="39" t="inlineStr">
        <is>
          <t>Polythrincium</t>
        </is>
      </c>
    </row>
    <row r="58" ht="15" customHeight="1" s="40">
      <c r="A58" s="39" t="inlineStr">
        <is>
          <t>57</t>
        </is>
      </c>
      <c r="B58" s="39" t="inlineStr">
        <is>
          <t>Stemphylium</t>
        </is>
      </c>
    </row>
    <row r="59" ht="15" customHeight="1" s="40">
      <c r="A59" s="39" t="inlineStr">
        <is>
          <t>58</t>
        </is>
      </c>
      <c r="B59" s="39" t="inlineStr">
        <is>
          <t>Tetraploa</t>
        </is>
      </c>
    </row>
    <row r="60" ht="15" customHeight="1" s="40">
      <c r="A60" s="39" t="inlineStr">
        <is>
          <t>59</t>
        </is>
      </c>
      <c r="B60" s="39" t="inlineStr">
        <is>
          <t>Torula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D3:Z115"/>
  <sheetViews>
    <sheetView showFormulas="0" showGridLines="1" showRowColHeaders="1" showZeros="1" rightToLeft="0" tabSelected="1" showOutlineSymbols="1" defaultGridColor="1" view="normal" topLeftCell="C1" colorId="64" zoomScale="100" zoomScaleNormal="100" zoomScalePageLayoutView="100" workbookViewId="0">
      <selection pane="topLeft" activeCell="W72" activeCellId="0" sqref="W72"/>
    </sheetView>
  </sheetViews>
  <sheetFormatPr baseColWidth="8" defaultColWidth="8.6796875" defaultRowHeight="15" customHeight="1" zeroHeight="0" outlineLevelRow="0"/>
  <cols>
    <col width="28" customWidth="1" style="39" min="4" max="4"/>
    <col width="10" customWidth="1" style="39" min="5" max="6"/>
    <col width="11" customWidth="1" style="39" min="7" max="13"/>
    <col width="28" customWidth="1" style="39" min="16" max="16"/>
    <col width="10" customWidth="1" style="39" min="17" max="18"/>
    <col width="11" customWidth="1" style="39" min="19" max="25"/>
  </cols>
  <sheetData>
    <row r="3" ht="15" customHeight="1" s="40">
      <c r="G3" s="42" t="inlineStr">
        <is>
          <t>Mese</t>
        </is>
      </c>
      <c r="H3" s="39" t="inlineStr">
        <is>
          <t>Dicembre</t>
        </is>
      </c>
      <c r="I3" s="42" t="inlineStr">
        <is>
          <t>Settimana</t>
        </is>
      </c>
      <c r="J3" s="39" t="inlineStr">
        <is>
          <t>28-12-2020</t>
        </is>
      </c>
      <c r="K3" s="39" t="inlineStr">
        <is>
          <t>03-01-2021</t>
        </is>
      </c>
      <c r="L3" s="42" t="inlineStr">
        <is>
          <t>Anno</t>
        </is>
      </c>
      <c r="M3" s="39" t="n">
        <v>2020</v>
      </c>
      <c r="P3" s="43" t="inlineStr">
        <is>
          <t>Fatt.conv</t>
        </is>
      </c>
      <c r="Q3" s="43" t="n">
        <v>0.4</v>
      </c>
      <c r="S3" s="42" t="inlineStr">
        <is>
          <t>Mese</t>
        </is>
      </c>
      <c r="T3" s="39" t="inlineStr">
        <is>
          <t>Dicembre</t>
        </is>
      </c>
      <c r="U3" s="42" t="inlineStr">
        <is>
          <t>Settimana</t>
        </is>
      </c>
      <c r="V3" s="39" t="inlineStr">
        <is>
          <t>28-12-2020</t>
        </is>
      </c>
      <c r="W3" s="39" t="inlineStr">
        <is>
          <t>03-01-2021</t>
        </is>
      </c>
      <c r="X3" s="42" t="inlineStr">
        <is>
          <t>Anno</t>
        </is>
      </c>
      <c r="Y3" s="39" t="n">
        <v>2020</v>
      </c>
    </row>
    <row r="5" ht="15" customHeight="1" s="40">
      <c r="D5" s="81" t="inlineStr">
        <is>
          <t>POLLINI</t>
        </is>
      </c>
      <c r="E5" s="72" t="n"/>
      <c r="F5" s="73" t="n"/>
      <c r="G5" s="81" t="inlineStr">
        <is>
          <t>LUNEDI</t>
        </is>
      </c>
      <c r="H5" s="81" t="inlineStr">
        <is>
          <t>MARTEDI</t>
        </is>
      </c>
      <c r="I5" s="81" t="inlineStr">
        <is>
          <t>MERC.</t>
        </is>
      </c>
      <c r="J5" s="81" t="inlineStr">
        <is>
          <t>GIOVEDI</t>
        </is>
      </c>
      <c r="K5" s="81" t="inlineStr">
        <is>
          <t>VENERDI</t>
        </is>
      </c>
      <c r="L5" s="81" t="inlineStr">
        <is>
          <t>SABATO</t>
        </is>
      </c>
      <c r="M5" s="81" t="inlineStr">
        <is>
          <t>DOMEN.</t>
        </is>
      </c>
      <c r="P5" s="83" t="inlineStr">
        <is>
          <t>POLLINI</t>
        </is>
      </c>
      <c r="Q5" s="72" t="n"/>
      <c r="R5" s="73" t="n"/>
      <c r="S5" s="81" t="inlineStr">
        <is>
          <t>LUNEDI</t>
        </is>
      </c>
      <c r="T5" s="81" t="inlineStr">
        <is>
          <t>MARTEDI</t>
        </is>
      </c>
      <c r="U5" s="81" t="inlineStr">
        <is>
          <t>MERC.</t>
        </is>
      </c>
      <c r="V5" s="81" t="inlineStr">
        <is>
          <t>GIOVEDI</t>
        </is>
      </c>
      <c r="W5" s="81" t="inlineStr">
        <is>
          <t>VENERDI</t>
        </is>
      </c>
      <c r="X5" s="81" t="inlineStr">
        <is>
          <t>SABATO</t>
        </is>
      </c>
      <c r="Y5" s="47" t="inlineStr">
        <is>
          <t>DOMEN.</t>
        </is>
      </c>
      <c r="Z5" s="48" t="inlineStr">
        <is>
          <t>MEDIA</t>
        </is>
      </c>
    </row>
    <row r="6" ht="15" customHeight="1" s="40">
      <c r="D6" s="84" t="inlineStr">
        <is>
          <t>ACERACEAE</t>
        </is>
      </c>
      <c r="E6" s="72" t="n"/>
      <c r="F6" s="73" t="n"/>
      <c r="G6" s="86" t="n"/>
      <c r="H6" s="87" t="n"/>
      <c r="I6" s="87" t="n"/>
      <c r="J6" s="87" t="n"/>
      <c r="K6" s="87" t="n"/>
      <c r="L6" s="87" t="n"/>
      <c r="M6" s="87" t="n"/>
      <c r="P6" s="88" t="inlineStr">
        <is>
          <t>ACERACEAE</t>
        </is>
      </c>
      <c r="Q6" s="72" t="n"/>
      <c r="R6" s="73" t="n"/>
      <c r="S6" s="89">
        <f>G6*$Q$3</f>
        <v/>
      </c>
      <c r="T6" s="89">
        <f>H6*$Q$3</f>
        <v/>
      </c>
      <c r="U6" s="89">
        <f>I6*$Q$3</f>
        <v/>
      </c>
      <c r="V6" s="89">
        <f>J6*$Q$3</f>
        <v/>
      </c>
      <c r="W6" s="89">
        <f>K6*$Q$3</f>
        <v/>
      </c>
      <c r="X6" s="89">
        <f>L6*$Q$3</f>
        <v/>
      </c>
      <c r="Y6" s="55">
        <f>M6*$Q$3</f>
        <v/>
      </c>
      <c r="Z6" s="56">
        <f>AVERAGE(S6:Y6)</f>
        <v/>
      </c>
    </row>
    <row r="7" ht="15" customHeight="1" s="40">
      <c r="D7" s="90" t="inlineStr">
        <is>
          <t>ALTRI POLLINI</t>
        </is>
      </c>
      <c r="E7" s="72" t="n"/>
      <c r="F7" s="73" t="n"/>
      <c r="G7" s="87" t="n"/>
      <c r="H7" s="87" t="n"/>
      <c r="I7" s="87" t="n"/>
      <c r="J7" s="87" t="n"/>
      <c r="K7" s="87" t="n"/>
      <c r="L7" s="87" t="n"/>
      <c r="M7" s="87" t="n"/>
      <c r="P7" s="82" t="inlineStr">
        <is>
          <t>ALTRI POLLINI</t>
        </is>
      </c>
      <c r="Q7" s="72" t="n"/>
      <c r="R7" s="73" t="n"/>
      <c r="S7" s="89">
        <f>G7*$Q$3</f>
        <v/>
      </c>
      <c r="T7" s="89">
        <f>H7*$Q$3</f>
        <v/>
      </c>
      <c r="U7" s="89">
        <f>I7*$Q$3</f>
        <v/>
      </c>
      <c r="V7" s="89">
        <f>J7*$Q$3</f>
        <v/>
      </c>
      <c r="W7" s="89">
        <f>K7*$Q$3</f>
        <v/>
      </c>
      <c r="X7" s="89">
        <f>L7*$Q$3</f>
        <v/>
      </c>
      <c r="Y7" s="55">
        <f>M7*$Q$3</f>
        <v/>
      </c>
      <c r="Z7" s="56">
        <f>AVERAGE(S7:Y7)</f>
        <v/>
      </c>
    </row>
    <row r="8" ht="15" customHeight="1" s="40">
      <c r="D8" s="90" t="inlineStr">
        <is>
          <t>BETULACEAE</t>
        </is>
      </c>
      <c r="E8" s="72" t="n"/>
      <c r="F8" s="73" t="n"/>
      <c r="G8" s="87" t="n"/>
      <c r="H8" s="86" t="n"/>
      <c r="I8" s="87" t="n"/>
      <c r="J8" s="87" t="n"/>
      <c r="K8" s="87" t="n"/>
      <c r="L8" s="87" t="n"/>
      <c r="M8" s="87" t="n"/>
      <c r="P8" s="82" t="inlineStr">
        <is>
          <t>BETULACEAE</t>
        </is>
      </c>
      <c r="Q8" s="72" t="n"/>
      <c r="R8" s="73" t="n"/>
      <c r="S8" s="89">
        <f>G8*$Q$3</f>
        <v/>
      </c>
      <c r="T8" s="89">
        <f>H8*$Q$3</f>
        <v/>
      </c>
      <c r="U8" s="89">
        <f>I8*$Q$3</f>
        <v/>
      </c>
      <c r="V8" s="89">
        <f>J8*$Q$3</f>
        <v/>
      </c>
      <c r="W8" s="89">
        <f>K8*$Q$3</f>
        <v/>
      </c>
      <c r="X8" s="89">
        <f>L8*$Q$3</f>
        <v/>
      </c>
      <c r="Y8" s="55">
        <f>M8*$Q$3</f>
        <v/>
      </c>
      <c r="Z8" s="56">
        <f>AVERAGE(S8:Y8)</f>
        <v/>
      </c>
    </row>
    <row r="9" ht="15" customHeight="1" s="40">
      <c r="D9" s="90" t="inlineStr">
        <is>
          <t>Alnus</t>
        </is>
      </c>
      <c r="E9" s="72" t="n"/>
      <c r="F9" s="73" t="n"/>
      <c r="G9" s="87" t="n"/>
      <c r="H9" s="87" t="n"/>
      <c r="I9" s="87" t="n"/>
      <c r="J9" s="87" t="n"/>
      <c r="K9" s="86" t="n"/>
      <c r="L9" s="87" t="n"/>
      <c r="M9" s="87" t="n"/>
      <c r="P9" s="82" t="inlineStr">
        <is>
          <t>Alnus</t>
        </is>
      </c>
      <c r="Q9" s="72" t="n"/>
      <c r="R9" s="73" t="n"/>
      <c r="S9" s="89">
        <f>G9*$Q$3</f>
        <v/>
      </c>
      <c r="T9" s="89">
        <f>H9*$Q$3</f>
        <v/>
      </c>
      <c r="U9" s="89">
        <f>I9*$Q$3</f>
        <v/>
      </c>
      <c r="V9" s="89">
        <f>J9*$Q$3</f>
        <v/>
      </c>
      <c r="W9" s="89">
        <f>K9*$Q$3</f>
        <v/>
      </c>
      <c r="X9" s="89">
        <f>L9*$Q$3</f>
        <v/>
      </c>
      <c r="Y9" s="55">
        <f>M9*$Q$3</f>
        <v/>
      </c>
      <c r="Z9" s="56">
        <f>AVERAGE(S9:Y9)</f>
        <v/>
      </c>
    </row>
    <row r="10" ht="15" customHeight="1" s="40">
      <c r="D10" s="91" t="inlineStr">
        <is>
          <t>Betula</t>
        </is>
      </c>
      <c r="E10" s="72" t="n"/>
      <c r="F10" s="73" t="n"/>
      <c r="G10" s="92" t="n"/>
      <c r="H10" s="92" t="n"/>
      <c r="I10" s="92" t="n"/>
      <c r="J10" s="92" t="n"/>
      <c r="K10" s="92" t="n"/>
      <c r="L10" s="92" t="n"/>
      <c r="M10" s="92" t="n"/>
      <c r="P10" s="93" t="inlineStr">
        <is>
          <t>Betula</t>
        </is>
      </c>
      <c r="Q10" s="72" t="n"/>
      <c r="R10" s="73" t="n"/>
      <c r="S10" s="94">
        <f>G10*$Q$3</f>
        <v/>
      </c>
      <c r="T10" s="94">
        <f>H10*$Q$3</f>
        <v/>
      </c>
      <c r="U10" s="94">
        <f>I10*$Q$3</f>
        <v/>
      </c>
      <c r="V10" s="94">
        <f>J10*$Q$3</f>
        <v/>
      </c>
      <c r="W10" s="94">
        <f>K10*$Q$3</f>
        <v/>
      </c>
      <c r="X10" s="94">
        <f>L10*$Q$3</f>
        <v/>
      </c>
      <c r="Y10" s="62">
        <f>M10*$Q$3</f>
        <v/>
      </c>
      <c r="Z10" s="63">
        <f>AVERAGE(S10:Y10)</f>
        <v/>
      </c>
    </row>
    <row r="11" ht="15" customHeight="1" s="40">
      <c r="D11" s="84" t="inlineStr">
        <is>
          <t>CANNABACEAE</t>
        </is>
      </c>
      <c r="E11" s="72" t="n"/>
      <c r="F11" s="73" t="n"/>
      <c r="G11" s="87" t="n"/>
      <c r="H11" s="87" t="n"/>
      <c r="I11" s="87" t="n"/>
      <c r="J11" s="87" t="n"/>
      <c r="K11" s="87" t="n"/>
      <c r="L11" s="87" t="n"/>
      <c r="M11" s="87" t="n"/>
      <c r="P11" s="88" t="inlineStr">
        <is>
          <t>CANNABACEAE</t>
        </is>
      </c>
      <c r="Q11" s="72" t="n"/>
      <c r="R11" s="73" t="n"/>
      <c r="S11" s="89">
        <f>G11*$Q$3</f>
        <v/>
      </c>
      <c r="T11" s="89">
        <f>H11*$Q$3</f>
        <v/>
      </c>
      <c r="U11" s="89">
        <f>I11*$Q$3</f>
        <v/>
      </c>
      <c r="V11" s="89">
        <f>J11*$Q$3</f>
        <v/>
      </c>
      <c r="W11" s="89">
        <f>K11*$Q$3</f>
        <v/>
      </c>
      <c r="X11" s="89">
        <f>L11*$Q$3</f>
        <v/>
      </c>
      <c r="Y11" s="55">
        <f>M11*$Q$3</f>
        <v/>
      </c>
      <c r="Z11" s="56">
        <f>AVERAGE(S11:Y11)</f>
        <v/>
      </c>
    </row>
    <row r="12" ht="15" customHeight="1" s="40">
      <c r="D12" s="90" t="inlineStr">
        <is>
          <t>CHENO-AMAR</t>
        </is>
      </c>
      <c r="E12" s="72" t="n"/>
      <c r="F12" s="73" t="n"/>
      <c r="G12" s="87" t="n"/>
      <c r="H12" s="87" t="n"/>
      <c r="I12" s="87" t="n"/>
      <c r="J12" s="87" t="n"/>
      <c r="K12" s="87" t="n"/>
      <c r="L12" s="87" t="n"/>
      <c r="M12" s="87" t="n"/>
      <c r="P12" s="82" t="inlineStr">
        <is>
          <t>CHENO-AMAR</t>
        </is>
      </c>
      <c r="Q12" s="72" t="n"/>
      <c r="R12" s="73" t="n"/>
      <c r="S12" s="89">
        <f>G12*$Q$3</f>
        <v/>
      </c>
      <c r="T12" s="89">
        <f>H12*$Q$3</f>
        <v/>
      </c>
      <c r="U12" s="89">
        <f>I12*$Q$3</f>
        <v/>
      </c>
      <c r="V12" s="89">
        <f>J12*$Q$3</f>
        <v/>
      </c>
      <c r="W12" s="89">
        <f>K12*$Q$3</f>
        <v/>
      </c>
      <c r="X12" s="89">
        <f>L12*$Q$3</f>
        <v/>
      </c>
      <c r="Y12" s="55">
        <f>M12*$Q$3</f>
        <v/>
      </c>
      <c r="Z12" s="56">
        <f>AVERAGE(S12:Y12)</f>
        <v/>
      </c>
    </row>
    <row r="13" ht="15" customHeight="1" s="40">
      <c r="D13" s="90" t="inlineStr">
        <is>
          <t>COMPOSITAE</t>
        </is>
      </c>
      <c r="E13" s="72" t="n"/>
      <c r="F13" s="73" t="n"/>
      <c r="G13" s="87" t="n"/>
      <c r="H13" s="87" t="n"/>
      <c r="I13" s="87" t="n"/>
      <c r="J13" s="87" t="n"/>
      <c r="K13" s="87" t="n"/>
      <c r="L13" s="87" t="n"/>
      <c r="M13" s="87" t="n"/>
      <c r="P13" s="82" t="inlineStr">
        <is>
          <t>COMPOSITAE</t>
        </is>
      </c>
      <c r="Q13" s="72" t="n"/>
      <c r="R13" s="73" t="n"/>
      <c r="S13" s="89">
        <f>G13*$Q$3</f>
        <v/>
      </c>
      <c r="T13" s="89">
        <f>H13*$Q$3</f>
        <v/>
      </c>
      <c r="U13" s="89">
        <f>I13*$Q$3</f>
        <v/>
      </c>
      <c r="V13" s="89">
        <f>J13*$Q$3</f>
        <v/>
      </c>
      <c r="W13" s="89">
        <f>K13*$Q$3</f>
        <v/>
      </c>
      <c r="X13" s="89">
        <f>L13*$Q$3</f>
        <v/>
      </c>
      <c r="Y13" s="55">
        <f>M13*$Q$3</f>
        <v/>
      </c>
      <c r="Z13" s="56">
        <f>AVERAGE(S13:Y13)</f>
        <v/>
      </c>
    </row>
    <row r="14" ht="15" customHeight="1" s="40">
      <c r="D14" s="90" t="inlineStr">
        <is>
          <t>Altre compositae</t>
        </is>
      </c>
      <c r="E14" s="72" t="n"/>
      <c r="F14" s="73" t="n"/>
      <c r="G14" s="87" t="n"/>
      <c r="H14" s="87" t="n"/>
      <c r="I14" s="87" t="n"/>
      <c r="J14" s="87" t="n"/>
      <c r="K14" s="87" t="n"/>
      <c r="L14" s="87" t="n"/>
      <c r="M14" s="87" t="n"/>
      <c r="P14" s="82" t="inlineStr">
        <is>
          <t>Altre compositae</t>
        </is>
      </c>
      <c r="Q14" s="72" t="n"/>
      <c r="R14" s="73" t="n"/>
      <c r="S14" s="89">
        <f>G14*$Q$3</f>
        <v/>
      </c>
      <c r="T14" s="89">
        <f>H14*$Q$3</f>
        <v/>
      </c>
      <c r="U14" s="89">
        <f>I14*$Q$3</f>
        <v/>
      </c>
      <c r="V14" s="89">
        <f>J14*$Q$3</f>
        <v/>
      </c>
      <c r="W14" s="89">
        <f>K14*$Q$3</f>
        <v/>
      </c>
      <c r="X14" s="89">
        <f>L14*$Q$3</f>
        <v/>
      </c>
      <c r="Y14" s="55">
        <f>M14*$Q$3</f>
        <v/>
      </c>
      <c r="Z14" s="56">
        <f>AVERAGE(S14:Y14)</f>
        <v/>
      </c>
    </row>
    <row r="15" ht="15" customHeight="1" s="40">
      <c r="D15" s="90" t="inlineStr">
        <is>
          <t>Ambrosia</t>
        </is>
      </c>
      <c r="E15" s="72" t="n"/>
      <c r="F15" s="73" t="n"/>
      <c r="G15" s="87" t="n"/>
      <c r="H15" s="87" t="n"/>
      <c r="I15" s="87" t="n"/>
      <c r="J15" s="87" t="n"/>
      <c r="K15" s="87" t="n"/>
      <c r="L15" s="87" t="n"/>
      <c r="M15" s="87" t="n"/>
      <c r="P15" s="82" t="inlineStr">
        <is>
          <t>Ambrosia</t>
        </is>
      </c>
      <c r="Q15" s="72" t="n"/>
      <c r="R15" s="73" t="n"/>
      <c r="S15" s="89">
        <f>G15*$Q$3</f>
        <v/>
      </c>
      <c r="T15" s="89">
        <f>H15*$Q$3</f>
        <v/>
      </c>
      <c r="U15" s="89">
        <f>I15*$Q$3</f>
        <v/>
      </c>
      <c r="V15" s="89">
        <f>J15*$Q$3</f>
        <v/>
      </c>
      <c r="W15" s="89">
        <f>K15*$Q$3</f>
        <v/>
      </c>
      <c r="X15" s="89">
        <f>L15*$Q$3</f>
        <v/>
      </c>
      <c r="Y15" s="55">
        <f>M15*$Q$3</f>
        <v/>
      </c>
      <c r="Z15" s="56">
        <f>AVERAGE(S15:Y15)</f>
        <v/>
      </c>
    </row>
    <row r="16" ht="15" customHeight="1" s="40">
      <c r="D16" s="90" t="inlineStr">
        <is>
          <t>Artemisia</t>
        </is>
      </c>
      <c r="E16" s="72" t="n"/>
      <c r="F16" s="73" t="n"/>
      <c r="G16" s="87" t="n"/>
      <c r="H16" s="87" t="n"/>
      <c r="I16" s="87" t="n"/>
      <c r="J16" s="87" t="n"/>
      <c r="K16" s="87" t="n"/>
      <c r="L16" s="87" t="n"/>
      <c r="M16" s="87" t="n"/>
      <c r="P16" s="82" t="inlineStr">
        <is>
          <t>Artemisia</t>
        </is>
      </c>
      <c r="Q16" s="72" t="n"/>
      <c r="R16" s="73" t="n"/>
      <c r="S16" s="89">
        <f>G16*$Q$3</f>
        <v/>
      </c>
      <c r="T16" s="89">
        <f>H16*$Q$3</f>
        <v/>
      </c>
      <c r="U16" s="89">
        <f>I16*$Q$3</f>
        <v/>
      </c>
      <c r="V16" s="89">
        <f>J16*$Q$3</f>
        <v/>
      </c>
      <c r="W16" s="89">
        <f>K16*$Q$3</f>
        <v/>
      </c>
      <c r="X16" s="89">
        <f>L16*$Q$3</f>
        <v/>
      </c>
      <c r="Y16" s="55">
        <f>M16*$Q$3</f>
        <v/>
      </c>
      <c r="Z16" s="56">
        <f>AVERAGE(S16:Y16)</f>
        <v/>
      </c>
    </row>
    <row r="17" ht="15" customHeight="1" s="40">
      <c r="D17" s="91" t="inlineStr">
        <is>
          <t>CORYLACEAE (somma c+o)</t>
        </is>
      </c>
      <c r="E17" s="72" t="n"/>
      <c r="F17" s="73" t="n"/>
      <c r="G17" s="92" t="n"/>
      <c r="H17" s="92" t="n"/>
      <c r="I17" s="92" t="n"/>
      <c r="J17" s="92" t="n"/>
      <c r="K17" s="92" t="n"/>
      <c r="L17" s="92" t="n"/>
      <c r="M17" s="92" t="n"/>
      <c r="P17" s="93" t="inlineStr">
        <is>
          <t>CORYLACEAE (somma c+o)</t>
        </is>
      </c>
      <c r="Q17" s="72" t="n"/>
      <c r="R17" s="73" t="n"/>
      <c r="S17" s="94">
        <f>G17*$Q$3</f>
        <v/>
      </c>
      <c r="T17" s="94">
        <f>H17*$Q$3</f>
        <v/>
      </c>
      <c r="U17" s="94">
        <f>I17*$Q$3</f>
        <v/>
      </c>
      <c r="V17" s="94">
        <f>J17*$Q$3</f>
        <v/>
      </c>
      <c r="W17" s="94">
        <f>K17*$Q$3</f>
        <v/>
      </c>
      <c r="X17" s="94">
        <f>L17*$Q$3</f>
        <v/>
      </c>
      <c r="Y17" s="62">
        <f>M17*$Q$3</f>
        <v/>
      </c>
      <c r="Z17" s="63">
        <f>AVERAGE(S17:Y17)</f>
        <v/>
      </c>
    </row>
    <row r="18" ht="15" customHeight="1" s="40">
      <c r="D18" s="91" t="inlineStr">
        <is>
          <t>Carpinus/Ostrya</t>
        </is>
      </c>
      <c r="E18" s="72" t="n"/>
      <c r="F18" s="73" t="n"/>
      <c r="G18" s="92" t="n"/>
      <c r="H18" s="92" t="n"/>
      <c r="I18" s="92" t="n"/>
      <c r="J18" s="92" t="n"/>
      <c r="K18" s="92" t="n"/>
      <c r="L18" s="92" t="n"/>
      <c r="M18" s="92" t="n"/>
      <c r="P18" s="93" t="inlineStr">
        <is>
          <t>Carpinus/Ostrya</t>
        </is>
      </c>
      <c r="Q18" s="72" t="n"/>
      <c r="R18" s="73" t="n"/>
      <c r="S18" s="94">
        <f>G18*$Q$3</f>
        <v/>
      </c>
      <c r="T18" s="94">
        <f>H18*$Q$3</f>
        <v/>
      </c>
      <c r="U18" s="94">
        <f>I18*$Q$3</f>
        <v/>
      </c>
      <c r="V18" s="94">
        <f>J18*$Q$3</f>
        <v/>
      </c>
      <c r="W18" s="94">
        <f>K18*$Q$3</f>
        <v/>
      </c>
      <c r="X18" s="94">
        <f>L18*$Q$3</f>
        <v/>
      </c>
      <c r="Y18" s="62">
        <f>M18*$Q$3</f>
        <v/>
      </c>
      <c r="Z18" s="63">
        <f>AVERAGE(S18:Y18)</f>
        <v/>
      </c>
    </row>
    <row r="19" ht="15" customHeight="1" s="40">
      <c r="D19" s="95" t="inlineStr">
        <is>
          <t>Carpinus</t>
        </is>
      </c>
      <c r="E19" s="72" t="n"/>
      <c r="F19" s="73" t="n"/>
      <c r="G19" s="92" t="n"/>
      <c r="H19" s="92" t="n"/>
      <c r="I19" s="92" t="n"/>
      <c r="J19" s="92" t="n"/>
      <c r="K19" s="92" t="n"/>
      <c r="L19" s="92" t="n"/>
      <c r="M19" s="92" t="n"/>
      <c r="P19" s="96" t="inlineStr">
        <is>
          <t>Carpinus</t>
        </is>
      </c>
      <c r="Q19" s="72" t="n"/>
      <c r="R19" s="73" t="n"/>
      <c r="S19" s="94">
        <f>G19*$Q$3</f>
        <v/>
      </c>
      <c r="T19" s="94">
        <f>H19*$Q$3</f>
        <v/>
      </c>
      <c r="U19" s="94">
        <f>I19*$Q$3</f>
        <v/>
      </c>
      <c r="V19" s="94">
        <f>J19*$Q$3</f>
        <v/>
      </c>
      <c r="W19" s="94">
        <f>K19*$Q$3</f>
        <v/>
      </c>
      <c r="X19" s="94">
        <f>L19*$Q$3</f>
        <v/>
      </c>
      <c r="Y19" s="62">
        <f>M19*$Q$3</f>
        <v/>
      </c>
      <c r="Z19" s="63">
        <f>AVERAGE(S19:Y19)</f>
        <v/>
      </c>
    </row>
    <row r="20" ht="15" customHeight="1" s="40">
      <c r="D20" s="95" t="inlineStr">
        <is>
          <t>Ostrya carpinifolia</t>
        </is>
      </c>
      <c r="E20" s="72" t="n"/>
      <c r="F20" s="73" t="n"/>
      <c r="G20" s="92" t="n"/>
      <c r="H20" s="92" t="n"/>
      <c r="I20" s="92" t="n"/>
      <c r="J20" s="92" t="n"/>
      <c r="K20" s="92" t="n"/>
      <c r="L20" s="92" t="n"/>
      <c r="M20" s="92" t="n"/>
      <c r="P20" s="96" t="inlineStr">
        <is>
          <t>Ostrya carpinifolia</t>
        </is>
      </c>
      <c r="Q20" s="72" t="n"/>
      <c r="R20" s="73" t="n"/>
      <c r="S20" s="94">
        <f>G20*$Q$3</f>
        <v/>
      </c>
      <c r="T20" s="94">
        <f>H20*$Q$3</f>
        <v/>
      </c>
      <c r="U20" s="94">
        <f>I20*$Q$3</f>
        <v/>
      </c>
      <c r="V20" s="94">
        <f>J20*$Q$3</f>
        <v/>
      </c>
      <c r="W20" s="94">
        <f>K20*$Q$3</f>
        <v/>
      </c>
      <c r="X20" s="94">
        <f>L20*$Q$3</f>
        <v/>
      </c>
      <c r="Y20" s="62">
        <f>M20*$Q$3</f>
        <v/>
      </c>
      <c r="Z20" s="63">
        <f>AVERAGE(S20:Y20)</f>
        <v/>
      </c>
    </row>
    <row r="21" ht="15" customHeight="1" s="40">
      <c r="D21" s="90" t="inlineStr">
        <is>
          <t>Corylus avellana</t>
        </is>
      </c>
      <c r="E21" s="72" t="n"/>
      <c r="F21" s="73" t="n"/>
      <c r="G21" s="87" t="n"/>
      <c r="H21" s="87" t="n"/>
      <c r="I21" s="87" t="n"/>
      <c r="J21" s="87" t="n"/>
      <c r="K21" s="87" t="n"/>
      <c r="L21" s="87" t="n"/>
      <c r="M21" s="87" t="n"/>
      <c r="P21" s="82" t="inlineStr">
        <is>
          <t>Corylus avellana</t>
        </is>
      </c>
      <c r="Q21" s="72" t="n"/>
      <c r="R21" s="73" t="n"/>
      <c r="S21" s="89">
        <f>G21*$Q$3</f>
        <v/>
      </c>
      <c r="T21" s="89">
        <f>H21*$Q$3</f>
        <v/>
      </c>
      <c r="U21" s="89">
        <f>I21*$Q$3</f>
        <v/>
      </c>
      <c r="V21" s="89">
        <f>J21*$Q$3</f>
        <v/>
      </c>
      <c r="W21" s="89">
        <f>K21*$Q$3</f>
        <v/>
      </c>
      <c r="X21" s="89">
        <f>L21*$Q$3</f>
        <v/>
      </c>
      <c r="Y21" s="55">
        <f>M21*$Q$3</f>
        <v/>
      </c>
      <c r="Z21" s="56">
        <f>AVERAGE(S21:Y21)</f>
        <v/>
      </c>
    </row>
    <row r="22" ht="15" customHeight="1" s="40">
      <c r="D22" s="91" t="inlineStr">
        <is>
          <t>CUP-TAXACEAE</t>
        </is>
      </c>
      <c r="E22" s="72" t="n"/>
      <c r="F22" s="73" t="n"/>
      <c r="G22" s="92" t="n"/>
      <c r="H22" s="92" t="n"/>
      <c r="I22" s="92" t="n"/>
      <c r="J22" s="92" t="n"/>
      <c r="K22" s="92" t="n"/>
      <c r="L22" s="92" t="n"/>
      <c r="M22" s="92" t="n"/>
      <c r="P22" s="93" t="inlineStr">
        <is>
          <t>CUP-TAXACEAE</t>
        </is>
      </c>
      <c r="Q22" s="72" t="n"/>
      <c r="R22" s="73" t="n"/>
      <c r="S22" s="94">
        <f>G22*$Q$3</f>
        <v/>
      </c>
      <c r="T22" s="94">
        <f>H22*$Q$3</f>
        <v/>
      </c>
      <c r="U22" s="94">
        <f>I22*$Q$3</f>
        <v/>
      </c>
      <c r="V22" s="94">
        <f>J22*$Q$3</f>
        <v/>
      </c>
      <c r="W22" s="94">
        <f>K22*$Q$3</f>
        <v/>
      </c>
      <c r="X22" s="94">
        <f>L22*$Q$3</f>
        <v/>
      </c>
      <c r="Y22" s="62">
        <f>M22*$Q$3</f>
        <v/>
      </c>
      <c r="Z22" s="63">
        <f>AVERAGE(S22:Y22)</f>
        <v/>
      </c>
    </row>
    <row r="23" ht="15" customHeight="1" s="40">
      <c r="D23" s="95" t="inlineStr">
        <is>
          <t>ERICACEAE</t>
        </is>
      </c>
      <c r="E23" s="72" t="n"/>
      <c r="F23" s="73" t="n"/>
      <c r="G23" s="92" t="n"/>
      <c r="H23" s="92" t="n"/>
      <c r="I23" s="92" t="n"/>
      <c r="J23" s="92" t="n"/>
      <c r="K23" s="92" t="n"/>
      <c r="L23" s="92" t="n"/>
      <c r="M23" s="92" t="n"/>
      <c r="P23" s="96" t="inlineStr">
        <is>
          <t>ERICACEAE</t>
        </is>
      </c>
      <c r="Q23" s="72" t="n"/>
      <c r="R23" s="73" t="n"/>
      <c r="S23" s="94">
        <f>G23*$Q$3</f>
        <v/>
      </c>
      <c r="T23" s="94">
        <f>H23*$Q$3</f>
        <v/>
      </c>
      <c r="U23" s="94">
        <f>I23*$Q$3</f>
        <v/>
      </c>
      <c r="V23" s="94">
        <f>J23*$Q$3</f>
        <v/>
      </c>
      <c r="W23" s="94">
        <f>K23*$Q$3</f>
        <v/>
      </c>
      <c r="X23" s="94">
        <f>L23*$Q$3</f>
        <v/>
      </c>
      <c r="Y23" s="62">
        <f>M23*$Q$3</f>
        <v/>
      </c>
      <c r="Z23" s="63">
        <f>AVERAGE(S23:Y23)</f>
        <v/>
      </c>
    </row>
    <row r="24" ht="15" customHeight="1" s="40">
      <c r="D24" s="95" t="inlineStr">
        <is>
          <t>EUPHORBIACEAE</t>
        </is>
      </c>
      <c r="E24" s="72" t="n"/>
      <c r="F24" s="73" t="n"/>
      <c r="G24" s="92" t="n"/>
      <c r="H24" s="92" t="n"/>
      <c r="I24" s="92" t="n"/>
      <c r="J24" s="92" t="n"/>
      <c r="K24" s="92" t="n"/>
      <c r="L24" s="92" t="n"/>
      <c r="M24" s="92" t="n"/>
      <c r="P24" s="96" t="inlineStr">
        <is>
          <t>EUPHORBIACEAE</t>
        </is>
      </c>
      <c r="Q24" s="72" t="n"/>
      <c r="R24" s="73" t="n"/>
      <c r="S24" s="94">
        <f>G24*$Q$3</f>
        <v/>
      </c>
      <c r="T24" s="94">
        <f>H24*$Q$3</f>
        <v/>
      </c>
      <c r="U24" s="94">
        <f>I24*$Q$3</f>
        <v/>
      </c>
      <c r="V24" s="94">
        <f>J24*$Q$3</f>
        <v/>
      </c>
      <c r="W24" s="94">
        <f>K24*$Q$3</f>
        <v/>
      </c>
      <c r="X24" s="94">
        <f>L24*$Q$3</f>
        <v/>
      </c>
      <c r="Y24" s="62">
        <f>M24*$Q$3</f>
        <v/>
      </c>
      <c r="Z24" s="63">
        <f>AVERAGE(S24:Y24)</f>
        <v/>
      </c>
    </row>
    <row r="25" ht="15" customHeight="1" s="40">
      <c r="D25" s="90" t="inlineStr">
        <is>
          <t>FAGACEAE</t>
        </is>
      </c>
      <c r="E25" s="72" t="n"/>
      <c r="F25" s="73" t="n"/>
      <c r="G25" s="87" t="n"/>
      <c r="H25" s="87" t="n"/>
      <c r="I25" s="87" t="n"/>
      <c r="J25" s="87" t="n"/>
      <c r="K25" s="87" t="n"/>
      <c r="L25" s="87" t="n"/>
      <c r="M25" s="87" t="n"/>
      <c r="P25" s="82" t="inlineStr">
        <is>
          <t>FAGACEAE</t>
        </is>
      </c>
      <c r="Q25" s="72" t="n"/>
      <c r="R25" s="73" t="n"/>
      <c r="S25" s="89">
        <f>G25*$Q$3</f>
        <v/>
      </c>
      <c r="T25" s="89">
        <f>H25*$Q$3</f>
        <v/>
      </c>
      <c r="U25" s="89">
        <f>I25*$Q$3</f>
        <v/>
      </c>
      <c r="V25" s="89">
        <f>J25*$Q$3</f>
        <v/>
      </c>
      <c r="W25" s="89">
        <f>K25*$Q$3</f>
        <v/>
      </c>
      <c r="X25" s="89">
        <f>L25*$Q$3</f>
        <v/>
      </c>
      <c r="Y25" s="55">
        <f>M25*$Q$3</f>
        <v/>
      </c>
      <c r="Z25" s="56">
        <f>AVERAGE(S25:Y25)</f>
        <v/>
      </c>
    </row>
    <row r="26" ht="15" customHeight="1" s="40">
      <c r="D26" s="90" t="inlineStr">
        <is>
          <t>Castanea sativa</t>
        </is>
      </c>
      <c r="E26" s="72" t="n"/>
      <c r="F26" s="73" t="n"/>
      <c r="G26" s="87" t="n"/>
      <c r="H26" s="87" t="n"/>
      <c r="I26" s="87" t="n"/>
      <c r="J26" s="87" t="n"/>
      <c r="K26" s="87" t="n"/>
      <c r="L26" s="87" t="n"/>
      <c r="M26" s="87" t="n"/>
      <c r="P26" s="82" t="inlineStr">
        <is>
          <t>Castanea sativa</t>
        </is>
      </c>
      <c r="Q26" s="72" t="n"/>
      <c r="R26" s="73" t="n"/>
      <c r="S26" s="89">
        <f>G26*$Q$3</f>
        <v/>
      </c>
      <c r="T26" s="89">
        <f>H26*$Q$3</f>
        <v/>
      </c>
      <c r="U26" s="89">
        <f>I26*$Q$3</f>
        <v/>
      </c>
      <c r="V26" s="89">
        <f>J26*$Q$3</f>
        <v/>
      </c>
      <c r="W26" s="89">
        <f>K26*$Q$3</f>
        <v/>
      </c>
      <c r="X26" s="89">
        <f>L26*$Q$3</f>
        <v/>
      </c>
      <c r="Y26" s="55">
        <f>M26*$Q$3</f>
        <v/>
      </c>
      <c r="Z26" s="56">
        <f>AVERAGE(S26:Y26)</f>
        <v/>
      </c>
    </row>
    <row r="27" ht="15" customHeight="1" s="40">
      <c r="D27" s="91" t="inlineStr">
        <is>
          <t>Fagus sylvatica</t>
        </is>
      </c>
      <c r="E27" s="72" t="n"/>
      <c r="F27" s="73" t="n"/>
      <c r="G27" s="92" t="n"/>
      <c r="H27" s="92" t="n"/>
      <c r="I27" s="92" t="n"/>
      <c r="J27" s="92" t="n"/>
      <c r="K27" s="92" t="n"/>
      <c r="L27" s="92" t="n"/>
      <c r="M27" s="92" t="n"/>
      <c r="P27" s="93" t="inlineStr">
        <is>
          <t>Fagus sylvatica</t>
        </is>
      </c>
      <c r="Q27" s="72" t="n"/>
      <c r="R27" s="73" t="n"/>
      <c r="S27" s="94">
        <f>G27*$Q$3</f>
        <v/>
      </c>
      <c r="T27" s="94">
        <f>H27*$Q$3</f>
        <v/>
      </c>
      <c r="U27" s="94">
        <f>I27*$Q$3</f>
        <v/>
      </c>
      <c r="V27" s="94">
        <f>J27*$Q$3</f>
        <v/>
      </c>
      <c r="W27" s="94">
        <f>K27*$Q$3</f>
        <v/>
      </c>
      <c r="X27" s="94">
        <f>L27*$Q$3</f>
        <v/>
      </c>
      <c r="Y27" s="62">
        <f>M27*$Q$3</f>
        <v/>
      </c>
      <c r="Z27" s="63">
        <f>AVERAGE(S27:Y27)</f>
        <v/>
      </c>
    </row>
    <row r="28" ht="15" customHeight="1" s="40">
      <c r="D28" s="91" t="inlineStr">
        <is>
          <t>Quercus</t>
        </is>
      </c>
      <c r="E28" s="72" t="n"/>
      <c r="F28" s="73" t="n"/>
      <c r="G28" s="92" t="n"/>
      <c r="H28" s="92" t="n"/>
      <c r="I28" s="92" t="n"/>
      <c r="J28" s="92" t="n"/>
      <c r="K28" s="92" t="n"/>
      <c r="L28" s="92" t="n"/>
      <c r="M28" s="92" t="n"/>
      <c r="P28" s="93" t="inlineStr">
        <is>
          <t>Quercus</t>
        </is>
      </c>
      <c r="Q28" s="72" t="n"/>
      <c r="R28" s="73" t="n"/>
      <c r="S28" s="94">
        <f>G28*$Q$3</f>
        <v/>
      </c>
      <c r="T28" s="94">
        <f>H28*$Q$3</f>
        <v/>
      </c>
      <c r="U28" s="94">
        <f>I28*$Q$3</f>
        <v/>
      </c>
      <c r="V28" s="94">
        <f>J28*$Q$3</f>
        <v/>
      </c>
      <c r="W28" s="94">
        <f>K28*$Q$3</f>
        <v/>
      </c>
      <c r="X28" s="94">
        <f>L28*$Q$3</f>
        <v/>
      </c>
      <c r="Y28" s="62">
        <f>M28*$Q$3</f>
        <v/>
      </c>
      <c r="Z28" s="63">
        <f>AVERAGE(S28:Y28)</f>
        <v/>
      </c>
    </row>
    <row r="29" ht="15" customHeight="1" s="40">
      <c r="D29" s="91" t="inlineStr">
        <is>
          <t>GRAMINEAE</t>
        </is>
      </c>
      <c r="E29" s="72" t="n"/>
      <c r="F29" s="73" t="n"/>
      <c r="G29" s="92" t="n"/>
      <c r="H29" s="92" t="n"/>
      <c r="I29" s="92" t="n"/>
      <c r="J29" s="92" t="n"/>
      <c r="K29" s="92" t="n"/>
      <c r="L29" s="92" t="n"/>
      <c r="M29" s="92" t="n"/>
      <c r="P29" s="93" t="inlineStr">
        <is>
          <t>GRAMINEAE</t>
        </is>
      </c>
      <c r="Q29" s="72" t="n"/>
      <c r="R29" s="73" t="n"/>
      <c r="S29" s="94">
        <f>G29*$Q$3</f>
        <v/>
      </c>
      <c r="T29" s="94">
        <f>H29*$Q$3</f>
        <v/>
      </c>
      <c r="U29" s="94">
        <f>I29*$Q$3</f>
        <v/>
      </c>
      <c r="V29" s="94">
        <f>J29*$Q$3</f>
        <v/>
      </c>
      <c r="W29" s="94">
        <f>K29*$Q$3</f>
        <v/>
      </c>
      <c r="X29" s="94">
        <f>L29*$Q$3</f>
        <v/>
      </c>
      <c r="Y29" s="62">
        <f>M29*$Q$3</f>
        <v/>
      </c>
      <c r="Z29" s="63">
        <f>AVERAGE(S29:Y29)</f>
        <v/>
      </c>
    </row>
    <row r="30" ht="15" customHeight="1" s="40">
      <c r="D30" s="84" t="inlineStr">
        <is>
          <t>HIPPOCASTANACEAE</t>
        </is>
      </c>
      <c r="E30" s="72" t="n"/>
      <c r="F30" s="73" t="n"/>
      <c r="G30" s="87" t="n"/>
      <c r="H30" s="87" t="n"/>
      <c r="I30" s="87" t="n"/>
      <c r="J30" s="87" t="n"/>
      <c r="K30" s="87" t="n"/>
      <c r="L30" s="87" t="n"/>
      <c r="M30" s="87" t="n"/>
      <c r="P30" s="88" t="inlineStr">
        <is>
          <t>HIPPOCASTANACEAE</t>
        </is>
      </c>
      <c r="Q30" s="72" t="n"/>
      <c r="R30" s="73" t="n"/>
      <c r="S30" s="89">
        <f>G30*$Q$3</f>
        <v/>
      </c>
      <c r="T30" s="89">
        <f>H30*$Q$3</f>
        <v/>
      </c>
      <c r="U30" s="89">
        <f>I30*$Q$3</f>
        <v/>
      </c>
      <c r="V30" s="89">
        <f>J30*$Q$3</f>
        <v/>
      </c>
      <c r="W30" s="89">
        <f>K30*$Q$3</f>
        <v/>
      </c>
      <c r="X30" s="89">
        <f>L30*$Q$3</f>
        <v/>
      </c>
      <c r="Y30" s="55">
        <f>M30*$Q$3</f>
        <v/>
      </c>
      <c r="Z30" s="56">
        <f>AVERAGE(S30:Y30)</f>
        <v/>
      </c>
    </row>
    <row r="31" ht="15" customHeight="1" s="40">
      <c r="D31" s="84" t="inlineStr">
        <is>
          <t>JUGLANDACEAE</t>
        </is>
      </c>
      <c r="E31" s="72" t="n"/>
      <c r="F31" s="73" t="n"/>
      <c r="G31" s="87" t="n"/>
      <c r="H31" s="87" t="n"/>
      <c r="I31" s="87" t="n"/>
      <c r="J31" s="87" t="n"/>
      <c r="K31" s="87" t="n"/>
      <c r="L31" s="87" t="n"/>
      <c r="M31" s="87" t="n"/>
      <c r="P31" s="88" t="inlineStr">
        <is>
          <t>JUGLANDACEAE</t>
        </is>
      </c>
      <c r="Q31" s="72" t="n"/>
      <c r="R31" s="73" t="n"/>
      <c r="S31" s="89">
        <f>G31*$Q$3</f>
        <v/>
      </c>
      <c r="T31" s="89">
        <f>H31*$Q$3</f>
        <v/>
      </c>
      <c r="U31" s="89">
        <f>I31*$Q$3</f>
        <v/>
      </c>
      <c r="V31" s="89">
        <f>J31*$Q$3</f>
        <v/>
      </c>
      <c r="W31" s="89">
        <f>K31*$Q$3</f>
        <v/>
      </c>
      <c r="X31" s="89">
        <f>L31*$Q$3</f>
        <v/>
      </c>
      <c r="Y31" s="55">
        <f>M31*$Q$3</f>
        <v/>
      </c>
      <c r="Z31" s="56">
        <f>AVERAGE(S31:Y31)</f>
        <v/>
      </c>
    </row>
    <row r="32" ht="15" customHeight="1" s="40">
      <c r="D32" s="84" t="inlineStr">
        <is>
          <t>LAURACEAE</t>
        </is>
      </c>
      <c r="E32" s="72" t="n"/>
      <c r="F32" s="73" t="n"/>
      <c r="G32" s="87" t="n"/>
      <c r="H32" s="87" t="n"/>
      <c r="I32" s="87" t="n"/>
      <c r="J32" s="87" t="n"/>
      <c r="K32" s="87" t="n"/>
      <c r="L32" s="87" t="n"/>
      <c r="M32" s="87" t="n"/>
      <c r="P32" s="88" t="inlineStr">
        <is>
          <t>LAURACEAE</t>
        </is>
      </c>
      <c r="Q32" s="72" t="n"/>
      <c r="R32" s="73" t="n"/>
      <c r="S32" s="89">
        <f>G32*$Q$3</f>
        <v/>
      </c>
      <c r="T32" s="89">
        <f>H32*$Q$3</f>
        <v/>
      </c>
      <c r="U32" s="89">
        <f>I32*$Q$3</f>
        <v/>
      </c>
      <c r="V32" s="89">
        <f>J32*$Q$3</f>
        <v/>
      </c>
      <c r="W32" s="89">
        <f>K32*$Q$3</f>
        <v/>
      </c>
      <c r="X32" s="89">
        <f>L32*$Q$3</f>
        <v/>
      </c>
      <c r="Y32" s="55">
        <f>M32*$Q$3</f>
        <v/>
      </c>
      <c r="Z32" s="56">
        <f>AVERAGE(S32:Y32)</f>
        <v/>
      </c>
    </row>
    <row r="33" ht="15" customHeight="1" s="40">
      <c r="D33" s="84" t="inlineStr">
        <is>
          <t>MIMOSACEAE</t>
        </is>
      </c>
      <c r="E33" s="72" t="n"/>
      <c r="F33" s="73" t="n"/>
      <c r="G33" s="87" t="n"/>
      <c r="H33" s="87" t="n"/>
      <c r="I33" s="87" t="n"/>
      <c r="J33" s="87" t="n"/>
      <c r="K33" s="87" t="n"/>
      <c r="L33" s="87" t="n"/>
      <c r="M33" s="87" t="n"/>
      <c r="P33" s="88" t="inlineStr">
        <is>
          <t>MIMOSACEAE</t>
        </is>
      </c>
      <c r="Q33" s="72" t="n"/>
      <c r="R33" s="73" t="n"/>
      <c r="S33" s="89">
        <f>G33*$Q$3</f>
        <v/>
      </c>
      <c r="T33" s="89">
        <f>H33*$Q$3</f>
        <v/>
      </c>
      <c r="U33" s="89">
        <f>I33*$Q$3</f>
        <v/>
      </c>
      <c r="V33" s="89">
        <f>J33*$Q$3</f>
        <v/>
      </c>
      <c r="W33" s="89">
        <f>K33*$Q$3</f>
        <v/>
      </c>
      <c r="X33" s="89">
        <f>L33*$Q$3</f>
        <v/>
      </c>
      <c r="Y33" s="55">
        <f>M33*$Q$3</f>
        <v/>
      </c>
      <c r="Z33" s="56">
        <f>AVERAGE(S33:Y33)</f>
        <v/>
      </c>
    </row>
    <row r="34" ht="15" customHeight="1" s="40">
      <c r="D34" s="84" t="inlineStr">
        <is>
          <t>MORACEAE</t>
        </is>
      </c>
      <c r="E34" s="72" t="n"/>
      <c r="F34" s="73" t="n"/>
      <c r="G34" s="87" t="n"/>
      <c r="H34" s="87" t="n"/>
      <c r="I34" s="87" t="n"/>
      <c r="J34" s="87" t="n"/>
      <c r="K34" s="87" t="n"/>
      <c r="L34" s="87" t="n"/>
      <c r="M34" s="87" t="n"/>
      <c r="P34" s="88" t="inlineStr">
        <is>
          <t>MORACEAE</t>
        </is>
      </c>
      <c r="Q34" s="72" t="n"/>
      <c r="R34" s="73" t="n"/>
      <c r="S34" s="89">
        <f>G34*$Q$3</f>
        <v/>
      </c>
      <c r="T34" s="89">
        <f>H34*$Q$3</f>
        <v/>
      </c>
      <c r="U34" s="89">
        <f>I34*$Q$3</f>
        <v/>
      </c>
      <c r="V34" s="89">
        <f>J34*$Q$3</f>
        <v/>
      </c>
      <c r="W34" s="89">
        <f>K34*$Q$3</f>
        <v/>
      </c>
      <c r="X34" s="89">
        <f>L34*$Q$3</f>
        <v/>
      </c>
      <c r="Y34" s="55">
        <f>M34*$Q$3</f>
        <v/>
      </c>
      <c r="Z34" s="56">
        <f>AVERAGE(S34:Y34)</f>
        <v/>
      </c>
    </row>
    <row r="35" ht="15" customHeight="1" s="40">
      <c r="D35" s="84" t="inlineStr">
        <is>
          <t>MYRTACEAE</t>
        </is>
      </c>
      <c r="E35" s="72" t="n"/>
      <c r="F35" s="73" t="n"/>
      <c r="G35" s="87" t="n"/>
      <c r="H35" s="87" t="n"/>
      <c r="I35" s="87" t="n"/>
      <c r="J35" s="87" t="n"/>
      <c r="K35" s="87" t="n"/>
      <c r="L35" s="87" t="n"/>
      <c r="M35" s="87" t="n"/>
      <c r="P35" s="88" t="inlineStr">
        <is>
          <t>MYRTACEAE</t>
        </is>
      </c>
      <c r="Q35" s="72" t="n"/>
      <c r="R35" s="73" t="n"/>
      <c r="S35" s="89">
        <f>G35*$Q$3</f>
        <v/>
      </c>
      <c r="T35" s="89">
        <f>H35*$Q$3</f>
        <v/>
      </c>
      <c r="U35" s="89">
        <f>I35*$Q$3</f>
        <v/>
      </c>
      <c r="V35" s="89">
        <f>J35*$Q$3</f>
        <v/>
      </c>
      <c r="W35" s="89">
        <f>K35*$Q$3</f>
        <v/>
      </c>
      <c r="X35" s="89">
        <f>L35*$Q$3</f>
        <v/>
      </c>
      <c r="Y35" s="55">
        <f>M35*$Q$3</f>
        <v/>
      </c>
      <c r="Z35" s="56">
        <f>AVERAGE(S35:Y35)</f>
        <v/>
      </c>
    </row>
    <row r="36" ht="15" customHeight="1" s="40">
      <c r="D36" s="90" t="inlineStr">
        <is>
          <t>OLEACEAE</t>
        </is>
      </c>
      <c r="E36" s="72" t="n"/>
      <c r="F36" s="73" t="n"/>
      <c r="G36" s="87" t="n"/>
      <c r="H36" s="87" t="n"/>
      <c r="I36" s="87" t="n"/>
      <c r="J36" s="87" t="n"/>
      <c r="K36" s="87" t="n"/>
      <c r="L36" s="87" t="n"/>
      <c r="M36" s="87" t="n"/>
      <c r="P36" s="82" t="inlineStr">
        <is>
          <t>OLEACEAE</t>
        </is>
      </c>
      <c r="Q36" s="72" t="n"/>
      <c r="R36" s="73" t="n"/>
      <c r="S36" s="89">
        <f>G36*$Q$3</f>
        <v/>
      </c>
      <c r="T36" s="89">
        <f>H36*$Q$3</f>
        <v/>
      </c>
      <c r="U36" s="89">
        <f>I36*$Q$3</f>
        <v/>
      </c>
      <c r="V36" s="89">
        <f>J36*$Q$3</f>
        <v/>
      </c>
      <c r="W36" s="89">
        <f>K36*$Q$3</f>
        <v/>
      </c>
      <c r="X36" s="89">
        <f>L36*$Q$3</f>
        <v/>
      </c>
      <c r="Y36" s="55">
        <f>M36*$Q$3</f>
        <v/>
      </c>
      <c r="Z36" s="56">
        <f>AVERAGE(S36:Y36)</f>
        <v/>
      </c>
    </row>
    <row r="37" ht="15" customHeight="1" s="40">
      <c r="D37" s="90" t="inlineStr">
        <is>
          <t>Altre oleaceae</t>
        </is>
      </c>
      <c r="E37" s="72" t="n"/>
      <c r="F37" s="73" t="n"/>
      <c r="G37" s="87" t="n"/>
      <c r="H37" s="87" t="n"/>
      <c r="I37" s="87" t="n"/>
      <c r="J37" s="87" t="n"/>
      <c r="K37" s="87" t="n"/>
      <c r="L37" s="87" t="n"/>
      <c r="M37" s="87" t="n"/>
      <c r="P37" s="82" t="inlineStr">
        <is>
          <t>Altre oleaceae</t>
        </is>
      </c>
      <c r="Q37" s="72" t="n"/>
      <c r="R37" s="73" t="n"/>
      <c r="S37" s="89">
        <f>G37*$Q$3</f>
        <v/>
      </c>
      <c r="T37" s="89">
        <f>H37*$Q$3</f>
        <v/>
      </c>
      <c r="U37" s="89">
        <f>I37*$Q$3</f>
        <v/>
      </c>
      <c r="V37" s="89">
        <f>J37*$Q$3</f>
        <v/>
      </c>
      <c r="W37" s="89">
        <f>K37*$Q$3</f>
        <v/>
      </c>
      <c r="X37" s="89">
        <f>L37*$Q$3</f>
        <v/>
      </c>
      <c r="Y37" s="55">
        <f>M37*$Q$3</f>
        <v/>
      </c>
      <c r="Z37" s="56">
        <f>AVERAGE(S37:Y37)</f>
        <v/>
      </c>
    </row>
    <row r="38" ht="15" customHeight="1" s="40">
      <c r="D38" s="91" t="inlineStr">
        <is>
          <t>Fraxinus</t>
        </is>
      </c>
      <c r="E38" s="72" t="n"/>
      <c r="F38" s="73" t="n"/>
      <c r="G38" s="92" t="n"/>
      <c r="H38" s="92" t="n"/>
      <c r="I38" s="92" t="n"/>
      <c r="J38" s="92" t="n"/>
      <c r="K38" s="92" t="n"/>
      <c r="L38" s="92" t="n"/>
      <c r="M38" s="92" t="n"/>
      <c r="P38" s="93" t="inlineStr">
        <is>
          <t>Fraxinus</t>
        </is>
      </c>
      <c r="Q38" s="72" t="n"/>
      <c r="R38" s="73" t="n"/>
      <c r="S38" s="94">
        <f>G38*$Q$3</f>
        <v/>
      </c>
      <c r="T38" s="94">
        <f>H38*$Q$3</f>
        <v/>
      </c>
      <c r="U38" s="94">
        <f>I38*$Q$3</f>
        <v/>
      </c>
      <c r="V38" s="94">
        <f>J38*$Q$3</f>
        <v/>
      </c>
      <c r="W38" s="94">
        <f>K38*$Q$3</f>
        <v/>
      </c>
      <c r="X38" s="94">
        <f>L38*$Q$3</f>
        <v/>
      </c>
      <c r="Y38" s="62">
        <f>M38*$Q$3</f>
        <v/>
      </c>
      <c r="Z38" s="63">
        <f>AVERAGE(S38:Y38)</f>
        <v/>
      </c>
    </row>
    <row r="39" ht="15" customHeight="1" s="40">
      <c r="D39" s="90" t="inlineStr">
        <is>
          <t>Ligustrum</t>
        </is>
      </c>
      <c r="E39" s="72" t="n"/>
      <c r="F39" s="73" t="n"/>
      <c r="G39" s="87" t="n"/>
      <c r="H39" s="87" t="n"/>
      <c r="I39" s="87" t="n"/>
      <c r="J39" s="87" t="n"/>
      <c r="K39" s="87" t="n"/>
      <c r="L39" s="87" t="n"/>
      <c r="M39" s="87" t="n"/>
      <c r="P39" s="82" t="inlineStr">
        <is>
          <t>Ligustrum</t>
        </is>
      </c>
      <c r="Q39" s="72" t="n"/>
      <c r="R39" s="73" t="n"/>
      <c r="S39" s="89">
        <f>G39*$Q$3</f>
        <v/>
      </c>
      <c r="T39" s="89">
        <f>H39*$Q$3</f>
        <v/>
      </c>
      <c r="U39" s="89">
        <f>I39*$Q$3</f>
        <v/>
      </c>
      <c r="V39" s="89">
        <f>J39*$Q$3</f>
        <v/>
      </c>
      <c r="W39" s="89">
        <f>K39*$Q$3</f>
        <v/>
      </c>
      <c r="X39" s="89">
        <f>L39*$Q$3</f>
        <v/>
      </c>
      <c r="Y39" s="55">
        <f>M39*$Q$3</f>
        <v/>
      </c>
      <c r="Z39" s="56">
        <f>AVERAGE(S39:Y39)</f>
        <v/>
      </c>
    </row>
    <row r="40" ht="15" customHeight="1" s="40">
      <c r="D40" s="91" t="inlineStr">
        <is>
          <t>Olea</t>
        </is>
      </c>
      <c r="E40" s="72" t="n"/>
      <c r="F40" s="73" t="n"/>
      <c r="G40" s="92" t="n"/>
      <c r="H40" s="92" t="n"/>
      <c r="I40" s="92" t="n"/>
      <c r="J40" s="92" t="n"/>
      <c r="K40" s="92" t="n"/>
      <c r="L40" s="92" t="n"/>
      <c r="M40" s="92" t="n"/>
      <c r="P40" s="93" t="inlineStr">
        <is>
          <t>Olea</t>
        </is>
      </c>
      <c r="Q40" s="72" t="n"/>
      <c r="R40" s="73" t="n"/>
      <c r="S40" s="94">
        <f>G40*$Q$3</f>
        <v/>
      </c>
      <c r="T40" s="94">
        <f>H40*$Q$3</f>
        <v/>
      </c>
      <c r="U40" s="94">
        <f>I40*$Q$3</f>
        <v/>
      </c>
      <c r="V40" s="94">
        <f>J40*$Q$3</f>
        <v/>
      </c>
      <c r="W40" s="94">
        <f>K40*$Q$3</f>
        <v/>
      </c>
      <c r="X40" s="94">
        <f>L40*$Q$3</f>
        <v/>
      </c>
      <c r="Y40" s="62">
        <f>M40*$Q$3</f>
        <v/>
      </c>
      <c r="Z40" s="63">
        <f>AVERAGE(S40:Y40)</f>
        <v/>
      </c>
    </row>
    <row r="41" ht="15" customHeight="1" s="40">
      <c r="D41" s="95" t="inlineStr">
        <is>
          <t>PINACEAE</t>
        </is>
      </c>
      <c r="E41" s="72" t="n"/>
      <c r="F41" s="73" t="n"/>
      <c r="G41" s="92" t="n"/>
      <c r="H41" s="92" t="n"/>
      <c r="I41" s="92" t="n"/>
      <c r="J41" s="92" t="n"/>
      <c r="K41" s="92" t="n"/>
      <c r="L41" s="92" t="n"/>
      <c r="M41" s="92" t="n"/>
      <c r="P41" s="96" t="inlineStr">
        <is>
          <t>PINACEAE</t>
        </is>
      </c>
      <c r="Q41" s="72" t="n"/>
      <c r="R41" s="73" t="n"/>
      <c r="S41" s="94">
        <f>G41*$Q$3</f>
        <v/>
      </c>
      <c r="T41" s="94">
        <f>H41*$Q$3</f>
        <v/>
      </c>
      <c r="U41" s="94">
        <f>I41*$Q$3</f>
        <v/>
      </c>
      <c r="V41" s="94">
        <f>J41*$Q$3</f>
        <v/>
      </c>
      <c r="W41" s="94">
        <f>K41*$Q$3</f>
        <v/>
      </c>
      <c r="X41" s="94">
        <f>L41*$Q$3</f>
        <v/>
      </c>
      <c r="Y41" s="62">
        <f>M41*$Q$3</f>
        <v/>
      </c>
      <c r="Z41" s="63">
        <f>AVERAGE(S41:Y41)</f>
        <v/>
      </c>
    </row>
    <row r="42" ht="15" customHeight="1" s="40">
      <c r="D42" s="84" t="inlineStr">
        <is>
          <t>PLANTAGINACEAE</t>
        </is>
      </c>
      <c r="E42" s="72" t="n"/>
      <c r="F42" s="73" t="n"/>
      <c r="G42" s="87" t="n"/>
      <c r="H42" s="87" t="n"/>
      <c r="I42" s="87" t="n"/>
      <c r="J42" s="87" t="n"/>
      <c r="K42" s="87" t="n"/>
      <c r="L42" s="87" t="n"/>
      <c r="M42" s="87" t="n"/>
      <c r="P42" s="88" t="inlineStr">
        <is>
          <t>PLANTAGINACEAE</t>
        </is>
      </c>
      <c r="Q42" s="72" t="n"/>
      <c r="R42" s="73" t="n"/>
      <c r="S42" s="89">
        <f>G42*$Q$3</f>
        <v/>
      </c>
      <c r="T42" s="89">
        <f>H42*$Q$3</f>
        <v/>
      </c>
      <c r="U42" s="89">
        <f>I42*$Q$3</f>
        <v/>
      </c>
      <c r="V42" s="89">
        <f>J42*$Q$3</f>
        <v/>
      </c>
      <c r="W42" s="89">
        <f>K42*$Q$3</f>
        <v/>
      </c>
      <c r="X42" s="89">
        <f>L42*$Q$3</f>
        <v/>
      </c>
      <c r="Y42" s="55">
        <f>M42*$Q$3</f>
        <v/>
      </c>
      <c r="Z42" s="56">
        <f>AVERAGE(S42:Y42)</f>
        <v/>
      </c>
    </row>
    <row r="43" ht="15" customHeight="1" s="40">
      <c r="D43" s="84" t="inlineStr">
        <is>
          <t>PLATANACEAE</t>
        </is>
      </c>
      <c r="E43" s="72" t="n"/>
      <c r="F43" s="73" t="n"/>
      <c r="G43" s="87" t="n"/>
      <c r="H43" s="87" t="n"/>
      <c r="I43" s="87" t="n"/>
      <c r="J43" s="87" t="n"/>
      <c r="K43" s="87" t="n"/>
      <c r="L43" s="87" t="n"/>
      <c r="M43" s="87" t="n"/>
      <c r="P43" s="88" t="inlineStr">
        <is>
          <t>PLATANACEAE</t>
        </is>
      </c>
      <c r="Q43" s="72" t="n"/>
      <c r="R43" s="73" t="n"/>
      <c r="S43" s="89">
        <f>G43*$Q$3</f>
        <v/>
      </c>
      <c r="T43" s="89">
        <f>H43*$Q$3</f>
        <v/>
      </c>
      <c r="U43" s="89">
        <f>I43*$Q$3</f>
        <v/>
      </c>
      <c r="V43" s="89">
        <f>J43*$Q$3</f>
        <v/>
      </c>
      <c r="W43" s="89">
        <f>K43*$Q$3</f>
        <v/>
      </c>
      <c r="X43" s="89">
        <f>L43*$Q$3</f>
        <v/>
      </c>
      <c r="Y43" s="55">
        <f>M43*$Q$3</f>
        <v/>
      </c>
      <c r="Z43" s="56">
        <f>AVERAGE(S43:Y43)</f>
        <v/>
      </c>
    </row>
    <row r="44" ht="15" customHeight="1" s="40">
      <c r="D44" s="90" t="inlineStr">
        <is>
          <t>POLLINI NON IDENTIFICATI</t>
        </is>
      </c>
      <c r="E44" s="72" t="n"/>
      <c r="F44" s="73" t="n"/>
      <c r="G44" s="87" t="n"/>
      <c r="H44" s="87" t="n"/>
      <c r="I44" s="87" t="n"/>
      <c r="J44" s="87" t="n"/>
      <c r="K44" s="87" t="n"/>
      <c r="L44" s="87" t="n"/>
      <c r="M44" s="87" t="n"/>
      <c r="P44" s="82" t="inlineStr">
        <is>
          <t>POLLINI NON IDENTIFICATI</t>
        </is>
      </c>
      <c r="Q44" s="72" t="n"/>
      <c r="R44" s="73" t="n"/>
      <c r="S44" s="89">
        <f>G44*$Q$3</f>
        <v/>
      </c>
      <c r="T44" s="89">
        <f>H44*$Q$3</f>
        <v/>
      </c>
      <c r="U44" s="89">
        <f>I44*$Q$3</f>
        <v/>
      </c>
      <c r="V44" s="89">
        <f>J44*$Q$3</f>
        <v/>
      </c>
      <c r="W44" s="89">
        <f>K44*$Q$3</f>
        <v/>
      </c>
      <c r="X44" s="89">
        <f>L44*$Q$3</f>
        <v/>
      </c>
      <c r="Y44" s="55">
        <f>M44*$Q$3</f>
        <v/>
      </c>
      <c r="Z44" s="56">
        <f>AVERAGE(S44:Y44)</f>
        <v/>
      </c>
    </row>
    <row r="45" ht="15" customHeight="1" s="40">
      <c r="D45" s="84" t="inlineStr">
        <is>
          <t>POLYGONACEAE</t>
        </is>
      </c>
      <c r="E45" s="72" t="n"/>
      <c r="F45" s="73" t="n"/>
      <c r="G45" s="87" t="n"/>
      <c r="H45" s="87" t="n"/>
      <c r="I45" s="87" t="n"/>
      <c r="J45" s="87" t="n"/>
      <c r="K45" s="87" t="n"/>
      <c r="L45" s="87" t="n"/>
      <c r="M45" s="87" t="n"/>
      <c r="P45" s="88" t="inlineStr">
        <is>
          <t>POLYGONACEAE</t>
        </is>
      </c>
      <c r="Q45" s="72" t="n"/>
      <c r="R45" s="73" t="n"/>
      <c r="S45" s="89">
        <f>G45*$Q$3</f>
        <v/>
      </c>
      <c r="T45" s="89">
        <f>H45*$Q$3</f>
        <v/>
      </c>
      <c r="U45" s="89">
        <f>I45*$Q$3</f>
        <v/>
      </c>
      <c r="V45" s="89">
        <f>J45*$Q$3</f>
        <v/>
      </c>
      <c r="W45" s="89">
        <f>K45*$Q$3</f>
        <v/>
      </c>
      <c r="X45" s="89">
        <f>L45*$Q$3</f>
        <v/>
      </c>
      <c r="Y45" s="55">
        <f>M45*$Q$3</f>
        <v/>
      </c>
      <c r="Z45" s="56">
        <f>AVERAGE(S45:Y45)</f>
        <v/>
      </c>
    </row>
    <row r="46" ht="15" customHeight="1" s="40">
      <c r="D46" s="90" t="inlineStr">
        <is>
          <t>SALICACEAE</t>
        </is>
      </c>
      <c r="E46" s="72" t="n"/>
      <c r="F46" s="73" t="n"/>
      <c r="G46" s="87" t="n"/>
      <c r="H46" s="87" t="n"/>
      <c r="I46" s="87" t="n"/>
      <c r="J46" s="87" t="n"/>
      <c r="K46" s="87" t="n"/>
      <c r="L46" s="87" t="n"/>
      <c r="M46" s="87" t="n"/>
      <c r="P46" s="82" t="inlineStr">
        <is>
          <t>SALICACEAE</t>
        </is>
      </c>
      <c r="Q46" s="72" t="n"/>
      <c r="R46" s="73" t="n"/>
      <c r="S46" s="89">
        <f>G46*$Q$3</f>
        <v/>
      </c>
      <c r="T46" s="89">
        <f>H46*$Q$3</f>
        <v/>
      </c>
      <c r="U46" s="89">
        <f>I46*$Q$3</f>
        <v/>
      </c>
      <c r="V46" s="89">
        <f>J46*$Q$3</f>
        <v/>
      </c>
      <c r="W46" s="89">
        <f>K46*$Q$3</f>
        <v/>
      </c>
      <c r="X46" s="89">
        <f>L46*$Q$3</f>
        <v/>
      </c>
      <c r="Y46" s="55">
        <f>M46*$Q$3</f>
        <v/>
      </c>
      <c r="Z46" s="56">
        <f>AVERAGE(S46:Y46)</f>
        <v/>
      </c>
    </row>
    <row r="47" ht="15" customHeight="1" s="40">
      <c r="D47" s="90" t="inlineStr">
        <is>
          <t>Populus</t>
        </is>
      </c>
      <c r="E47" s="72" t="n"/>
      <c r="F47" s="73" t="n"/>
      <c r="G47" s="87" t="n"/>
      <c r="H47" s="87" t="n"/>
      <c r="I47" s="87" t="n"/>
      <c r="J47" s="87" t="n"/>
      <c r="K47" s="87" t="n"/>
      <c r="L47" s="87" t="n"/>
      <c r="M47" s="87" t="n"/>
      <c r="P47" s="82" t="inlineStr">
        <is>
          <t>Populus</t>
        </is>
      </c>
      <c r="Q47" s="72" t="n"/>
      <c r="R47" s="73" t="n"/>
      <c r="S47" s="89">
        <f>G47*$Q$3</f>
        <v/>
      </c>
      <c r="T47" s="89">
        <f>H47*$Q$3</f>
        <v/>
      </c>
      <c r="U47" s="89">
        <f>I47*$Q$3</f>
        <v/>
      </c>
      <c r="V47" s="89">
        <f>J47*$Q$3</f>
        <v/>
      </c>
      <c r="W47" s="89">
        <f>K47*$Q$3</f>
        <v/>
      </c>
      <c r="X47" s="89">
        <f>L47*$Q$3</f>
        <v/>
      </c>
      <c r="Y47" s="55">
        <f>M47*$Q$3</f>
        <v/>
      </c>
      <c r="Z47" s="56">
        <f>AVERAGE(S47:Y47)</f>
        <v/>
      </c>
    </row>
    <row r="48" ht="15" customHeight="1" s="40">
      <c r="D48" s="90" t="inlineStr">
        <is>
          <t>Salix</t>
        </is>
      </c>
      <c r="E48" s="72" t="n"/>
      <c r="F48" s="73" t="n"/>
      <c r="G48" s="87" t="n"/>
      <c r="H48" s="87" t="n"/>
      <c r="I48" s="87" t="n"/>
      <c r="J48" s="87" t="n"/>
      <c r="K48" s="87" t="n"/>
      <c r="L48" s="87" t="n"/>
      <c r="M48" s="87" t="n"/>
      <c r="P48" s="82" t="inlineStr">
        <is>
          <t>Salix</t>
        </is>
      </c>
      <c r="Q48" s="72" t="n"/>
      <c r="R48" s="73" t="n"/>
      <c r="S48" s="89">
        <f>G48*$Q$3</f>
        <v/>
      </c>
      <c r="T48" s="89">
        <f>H48*$Q$3</f>
        <v/>
      </c>
      <c r="U48" s="89">
        <f>I48*$Q$3</f>
        <v/>
      </c>
      <c r="V48" s="89">
        <f>J48*$Q$3</f>
        <v/>
      </c>
      <c r="W48" s="89">
        <f>K48*$Q$3</f>
        <v/>
      </c>
      <c r="X48" s="89">
        <f>L48*$Q$3</f>
        <v/>
      </c>
      <c r="Y48" s="55">
        <f>M48*$Q$3</f>
        <v/>
      </c>
      <c r="Z48" s="56">
        <f>AVERAGE(S48:Y48)</f>
        <v/>
      </c>
    </row>
    <row r="49" ht="15" customHeight="1" s="40">
      <c r="D49" s="84" t="inlineStr">
        <is>
          <t>TILIACEAE</t>
        </is>
      </c>
      <c r="E49" s="72" t="n"/>
      <c r="F49" s="73" t="n"/>
      <c r="G49" s="87" t="n"/>
      <c r="H49" s="87" t="n"/>
      <c r="I49" s="87" t="n"/>
      <c r="J49" s="87" t="n"/>
      <c r="K49" s="87" t="n"/>
      <c r="L49" s="87" t="n"/>
      <c r="M49" s="87" t="n"/>
      <c r="P49" s="88" t="inlineStr">
        <is>
          <t>TILIACEAE</t>
        </is>
      </c>
      <c r="Q49" s="72" t="n"/>
      <c r="R49" s="73" t="n"/>
      <c r="S49" s="89">
        <f>G49*$Q$3</f>
        <v/>
      </c>
      <c r="T49" s="89">
        <f>H49*$Q$3</f>
        <v/>
      </c>
      <c r="U49" s="89">
        <f>I49*$Q$3</f>
        <v/>
      </c>
      <c r="V49" s="89">
        <f>J49*$Q$3</f>
        <v/>
      </c>
      <c r="W49" s="89">
        <f>K49*$Q$3</f>
        <v/>
      </c>
      <c r="X49" s="89">
        <f>L49*$Q$3</f>
        <v/>
      </c>
      <c r="Y49" s="55">
        <f>M49*$Q$3</f>
        <v/>
      </c>
      <c r="Z49" s="56">
        <f>AVERAGE(S49:Y49)</f>
        <v/>
      </c>
    </row>
    <row r="50" ht="15" customHeight="1" s="40">
      <c r="D50" s="84" t="inlineStr">
        <is>
          <t>ULMACEAE</t>
        </is>
      </c>
      <c r="E50" s="72" t="n"/>
      <c r="F50" s="73" t="n"/>
      <c r="G50" s="87" t="n"/>
      <c r="H50" s="87" t="n"/>
      <c r="I50" s="87" t="n"/>
      <c r="J50" s="87" t="n"/>
      <c r="K50" s="87" t="n"/>
      <c r="L50" s="87" t="n"/>
      <c r="M50" s="87" t="n"/>
      <c r="P50" s="88" t="inlineStr">
        <is>
          <t>ULMACEAE</t>
        </is>
      </c>
      <c r="Q50" s="72" t="n"/>
      <c r="R50" s="73" t="n"/>
      <c r="S50" s="89">
        <f>G50*$Q$3</f>
        <v/>
      </c>
      <c r="T50" s="89">
        <f>H50*$Q$3</f>
        <v/>
      </c>
      <c r="U50" s="89">
        <f>I50*$Q$3</f>
        <v/>
      </c>
      <c r="V50" s="89">
        <f>J50*$Q$3</f>
        <v/>
      </c>
      <c r="W50" s="89">
        <f>K50*$Q$3</f>
        <v/>
      </c>
      <c r="X50" s="89">
        <f>L50*$Q$3</f>
        <v/>
      </c>
      <c r="Y50" s="55">
        <f>M50*$Q$3</f>
        <v/>
      </c>
      <c r="Z50" s="56">
        <f>AVERAGE(S50:Y50)</f>
        <v/>
      </c>
    </row>
    <row r="51" ht="15" customHeight="1" s="40">
      <c r="D51" s="84" t="inlineStr">
        <is>
          <t>UMBELLIFERAE</t>
        </is>
      </c>
      <c r="E51" s="72" t="n"/>
      <c r="F51" s="73" t="n"/>
      <c r="G51" s="87" t="n"/>
      <c r="H51" s="87" t="n"/>
      <c r="I51" s="87" t="n"/>
      <c r="J51" s="87" t="n"/>
      <c r="K51" s="87" t="n"/>
      <c r="L51" s="87" t="n"/>
      <c r="M51" s="87" t="n"/>
      <c r="P51" s="88" t="inlineStr">
        <is>
          <t>UMBELLIFERAE</t>
        </is>
      </c>
      <c r="Q51" s="72" t="n"/>
      <c r="R51" s="73" t="n"/>
      <c r="S51" s="89">
        <f>G51*$Q$3</f>
        <v/>
      </c>
      <c r="T51" s="89">
        <f>H51*$Q$3</f>
        <v/>
      </c>
      <c r="U51" s="89">
        <f>I51*$Q$3</f>
        <v/>
      </c>
      <c r="V51" s="89">
        <f>J51*$Q$3</f>
        <v/>
      </c>
      <c r="W51" s="89">
        <f>K51*$Q$3</f>
        <v/>
      </c>
      <c r="X51" s="89">
        <f>L51*$Q$3</f>
        <v/>
      </c>
      <c r="Y51" s="55">
        <f>M51*$Q$3</f>
        <v/>
      </c>
      <c r="Z51" s="56">
        <f>AVERAGE(S51:Y51)</f>
        <v/>
      </c>
    </row>
    <row r="52" ht="15" customHeight="1" s="40">
      <c r="D52" s="91" t="inlineStr">
        <is>
          <t>URTICACEAE</t>
        </is>
      </c>
      <c r="E52" s="72" t="n"/>
      <c r="F52" s="73" t="n"/>
      <c r="G52" s="92" t="n"/>
      <c r="H52" s="92" t="n"/>
      <c r="I52" s="92" t="n"/>
      <c r="J52" s="92" t="n"/>
      <c r="K52" s="92" t="n"/>
      <c r="L52" s="92" t="n"/>
      <c r="M52" s="92" t="n"/>
      <c r="P52" s="93" t="inlineStr">
        <is>
          <t>URTICACEAE</t>
        </is>
      </c>
      <c r="Q52" s="72" t="n"/>
      <c r="R52" s="73" t="n"/>
      <c r="S52" s="94">
        <f>G52*$Q$3</f>
        <v/>
      </c>
      <c r="T52" s="94">
        <f>H52*$Q$3</f>
        <v/>
      </c>
      <c r="U52" s="94">
        <f>I52*$Q$3</f>
        <v/>
      </c>
      <c r="V52" s="94">
        <f>J52*$Q$3</f>
        <v/>
      </c>
      <c r="W52" s="94">
        <f>K52*$Q$3</f>
        <v/>
      </c>
      <c r="X52" s="94">
        <f>L52*$Q$3</f>
        <v/>
      </c>
      <c r="Y52" s="62">
        <f>M52*$Q$3</f>
        <v/>
      </c>
      <c r="Z52" s="63">
        <f>AVERAGE(S52:Y52)</f>
        <v/>
      </c>
    </row>
    <row r="53" ht="15" customHeight="1" s="40">
      <c r="D53" s="90" t="inlineStr">
        <is>
          <t>Totali</t>
        </is>
      </c>
      <c r="E53" s="72" t="n"/>
      <c r="F53" s="73" t="n"/>
      <c r="G53" s="90">
        <f>SUM(G6:G52)</f>
        <v/>
      </c>
      <c r="H53" s="90">
        <f>SUM(H6:H52)</f>
        <v/>
      </c>
      <c r="I53" s="90">
        <f>SUM(I6:I52)</f>
        <v/>
      </c>
      <c r="J53" s="90">
        <f>SUM(J6:J52)</f>
        <v/>
      </c>
      <c r="K53" s="90">
        <f>SUM(K6:K52)</f>
        <v/>
      </c>
      <c r="L53" s="90">
        <f>SUM(L6:L52)</f>
        <v/>
      </c>
      <c r="M53" s="90">
        <f>SUM(M6:M52)</f>
        <v/>
      </c>
      <c r="P53" s="90" t="inlineStr">
        <is>
          <t>Totali</t>
        </is>
      </c>
      <c r="Q53" s="72" t="n"/>
      <c r="R53" s="73" t="n"/>
      <c r="S53" s="90">
        <f>SUM(S6:S52)</f>
        <v/>
      </c>
      <c r="T53" s="90">
        <f>SUM(T6:T52)</f>
        <v/>
      </c>
      <c r="U53" s="90">
        <f>SUM(U6:U52)</f>
        <v/>
      </c>
      <c r="V53" s="90">
        <f>SUM(V6:V52)</f>
        <v/>
      </c>
      <c r="W53" s="90">
        <f>SUM(W6:W52)</f>
        <v/>
      </c>
      <c r="X53" s="90">
        <f>SUM(X6:X52)</f>
        <v/>
      </c>
      <c r="Y53" s="55">
        <f>SUM(Y6:Y52)</f>
        <v/>
      </c>
      <c r="Z53" s="56">
        <f>AVERAGE(S53:Y53)</f>
        <v/>
      </c>
    </row>
    <row r="57" ht="15" customHeight="1" s="40">
      <c r="D57" s="81" t="inlineStr">
        <is>
          <t>SPORE</t>
        </is>
      </c>
      <c r="E57" s="72" t="n"/>
      <c r="F57" s="73" t="n"/>
      <c r="G57" s="81" t="inlineStr">
        <is>
          <t>LUNEDI</t>
        </is>
      </c>
      <c r="H57" s="81" t="inlineStr">
        <is>
          <t>MARTEDI</t>
        </is>
      </c>
      <c r="I57" s="81" t="inlineStr">
        <is>
          <t>MERC.</t>
        </is>
      </c>
      <c r="J57" s="81" t="inlineStr">
        <is>
          <t>GIOVEDI</t>
        </is>
      </c>
      <c r="K57" s="81" t="inlineStr">
        <is>
          <t>VENERDI</t>
        </is>
      </c>
      <c r="L57" s="81" t="inlineStr">
        <is>
          <t>SABATO</t>
        </is>
      </c>
      <c r="M57" s="81" t="inlineStr">
        <is>
          <t>DOMEN.</t>
        </is>
      </c>
      <c r="P57" s="83" t="inlineStr">
        <is>
          <t>SPORE</t>
        </is>
      </c>
      <c r="Q57" s="72" t="n"/>
      <c r="R57" s="73" t="n"/>
      <c r="S57" s="81" t="inlineStr">
        <is>
          <t>LUNEDI</t>
        </is>
      </c>
      <c r="T57" s="81" t="inlineStr">
        <is>
          <t>MARTEDI</t>
        </is>
      </c>
      <c r="U57" s="81" t="inlineStr">
        <is>
          <t>MERC.</t>
        </is>
      </c>
      <c r="V57" s="81" t="inlineStr">
        <is>
          <t>GIOVEDI</t>
        </is>
      </c>
      <c r="W57" s="81" t="inlineStr">
        <is>
          <t>VENERDI</t>
        </is>
      </c>
      <c r="X57" s="81" t="inlineStr">
        <is>
          <t>SABATO</t>
        </is>
      </c>
      <c r="Y57" s="66" t="inlineStr">
        <is>
          <t>DOMEN.</t>
        </is>
      </c>
      <c r="Z57" s="48" t="inlineStr">
        <is>
          <t>MEDIA</t>
        </is>
      </c>
    </row>
    <row r="58" ht="15" customHeight="1" s="40">
      <c r="D58" s="97" t="inlineStr">
        <is>
          <t>Alternaria</t>
        </is>
      </c>
      <c r="E58" s="72" t="n"/>
      <c r="F58" s="73" t="n"/>
      <c r="G58" s="92" t="n"/>
      <c r="H58" s="92" t="n"/>
      <c r="I58" s="92" t="n"/>
      <c r="J58" s="92" t="n"/>
      <c r="K58" s="92" t="n"/>
      <c r="L58" s="92" t="n"/>
      <c r="M58" s="92" t="n"/>
      <c r="P58" s="98" t="inlineStr">
        <is>
          <t>Alternaria</t>
        </is>
      </c>
      <c r="Q58" s="72" t="n"/>
      <c r="R58" s="73" t="n"/>
      <c r="S58" s="94">
        <f>G58*$Q$3</f>
        <v/>
      </c>
      <c r="T58" s="94">
        <f>H58*$Q$3</f>
        <v/>
      </c>
      <c r="U58" s="94">
        <f>I58*$Q$3</f>
        <v/>
      </c>
      <c r="V58" s="94">
        <f>J58*$Q$3</f>
        <v/>
      </c>
      <c r="W58" s="94">
        <f>K58*$Q$3</f>
        <v/>
      </c>
      <c r="X58" s="94">
        <f>L58*$Q$3</f>
        <v/>
      </c>
      <c r="Y58" s="69">
        <f>M58*$Q$3</f>
        <v/>
      </c>
      <c r="Z58" s="56">
        <f>AVERAGE(S58:Y58)</f>
        <v/>
      </c>
    </row>
    <row r="59" ht="15" customHeight="1" s="40">
      <c r="D59" s="84" t="inlineStr">
        <is>
          <t>Botrytis</t>
        </is>
      </c>
      <c r="E59" s="72" t="n"/>
      <c r="F59" s="73" t="n"/>
      <c r="G59" s="87" t="n"/>
      <c r="H59" s="87" t="n"/>
      <c r="I59" s="87" t="n"/>
      <c r="J59" s="87" t="n"/>
      <c r="K59" s="87" t="n"/>
      <c r="L59" s="87" t="n"/>
      <c r="M59" s="87" t="n"/>
      <c r="P59" s="88" t="inlineStr">
        <is>
          <t>Botrytis</t>
        </is>
      </c>
      <c r="Q59" s="72" t="n"/>
      <c r="R59" s="73" t="n"/>
      <c r="S59" s="89">
        <f>G59*$Q$3</f>
        <v/>
      </c>
      <c r="T59" s="89">
        <f>H59*$Q$3</f>
        <v/>
      </c>
      <c r="U59" s="89">
        <f>I59*$Q$3</f>
        <v/>
      </c>
      <c r="V59" s="89">
        <f>J59*$Q$3</f>
        <v/>
      </c>
      <c r="W59" s="89">
        <f>K59*$Q$3</f>
        <v/>
      </c>
      <c r="X59" s="89">
        <f>L59*$Q$3</f>
        <v/>
      </c>
      <c r="Y59" s="70">
        <f>M59*$Q$3</f>
        <v/>
      </c>
      <c r="Z59" s="56">
        <f>AVERAGE(S59:Y59)</f>
        <v/>
      </c>
    </row>
    <row r="60" ht="15" customHeight="1" s="40">
      <c r="D60" s="84" t="inlineStr">
        <is>
          <t>Cladosporium</t>
        </is>
      </c>
      <c r="E60" s="72" t="n"/>
      <c r="F60" s="73" t="n"/>
      <c r="G60" s="87" t="n"/>
      <c r="H60" s="87" t="n"/>
      <c r="I60" s="87" t="n"/>
      <c r="J60" s="87" t="n"/>
      <c r="K60" s="87" t="n"/>
      <c r="L60" s="87" t="n"/>
      <c r="M60" s="87" t="n"/>
      <c r="P60" s="88" t="inlineStr">
        <is>
          <t>Cladosporium</t>
        </is>
      </c>
      <c r="Q60" s="72" t="n"/>
      <c r="R60" s="73" t="n"/>
      <c r="S60" s="89">
        <f>G60*$Q$3</f>
        <v/>
      </c>
      <c r="T60" s="89">
        <f>H60*$Q$3</f>
        <v/>
      </c>
      <c r="U60" s="89">
        <f>I60*$Q$3</f>
        <v/>
      </c>
      <c r="V60" s="89">
        <f>J60*$Q$3</f>
        <v/>
      </c>
      <c r="W60" s="89">
        <f>K60*$Q$3</f>
        <v/>
      </c>
      <c r="X60" s="89">
        <f>L60*$Q$3</f>
        <v/>
      </c>
      <c r="Y60" s="70">
        <f>M60*$Q$3</f>
        <v/>
      </c>
      <c r="Z60" s="56">
        <f>AVERAGE(S60:Y60)</f>
        <v/>
      </c>
    </row>
    <row r="61" ht="15" customHeight="1" s="40">
      <c r="D61" s="84" t="inlineStr">
        <is>
          <t>Curvularia</t>
        </is>
      </c>
      <c r="E61" s="72" t="n"/>
      <c r="F61" s="73" t="n"/>
      <c r="G61" s="87" t="n"/>
      <c r="H61" s="87" t="n"/>
      <c r="I61" s="87" t="n"/>
      <c r="J61" s="87" t="n"/>
      <c r="K61" s="87" t="n"/>
      <c r="L61" s="87" t="n"/>
      <c r="M61" s="87" t="n"/>
      <c r="P61" s="88" t="inlineStr">
        <is>
          <t>Curvularia</t>
        </is>
      </c>
      <c r="Q61" s="72" t="n"/>
      <c r="R61" s="73" t="n"/>
      <c r="S61" s="89">
        <f>G61*$Q$3</f>
        <v/>
      </c>
      <c r="T61" s="89">
        <f>H61*$Q$3</f>
        <v/>
      </c>
      <c r="U61" s="89">
        <f>I61*$Q$3</f>
        <v/>
      </c>
      <c r="V61" s="89">
        <f>J61*$Q$3</f>
        <v/>
      </c>
      <c r="W61" s="89">
        <f>K61*$Q$3</f>
        <v/>
      </c>
      <c r="X61" s="89">
        <f>L61*$Q$3</f>
        <v/>
      </c>
      <c r="Y61" s="70">
        <f>M61*$Q$3</f>
        <v/>
      </c>
      <c r="Z61" s="56">
        <f>AVERAGE(S61:Y61)</f>
        <v/>
      </c>
    </row>
    <row r="62" ht="15" customHeight="1" s="40">
      <c r="D62" s="84" t="inlineStr">
        <is>
          <t>Epicoccum</t>
        </is>
      </c>
      <c r="E62" s="72" t="n"/>
      <c r="F62" s="73" t="n"/>
      <c r="G62" s="87" t="n"/>
      <c r="H62" s="87" t="n"/>
      <c r="I62" s="87" t="n"/>
      <c r="J62" s="87" t="n"/>
      <c r="K62" s="87" t="n"/>
      <c r="L62" s="87" t="n"/>
      <c r="M62" s="87" t="n"/>
      <c r="P62" s="88" t="inlineStr">
        <is>
          <t>Epicoccum</t>
        </is>
      </c>
      <c r="Q62" s="72" t="n"/>
      <c r="R62" s="73" t="n"/>
      <c r="S62" s="89">
        <f>G62*$Q$3</f>
        <v/>
      </c>
      <c r="T62" s="89">
        <f>H62*$Q$3</f>
        <v/>
      </c>
      <c r="U62" s="89">
        <f>I62*$Q$3</f>
        <v/>
      </c>
      <c r="V62" s="89">
        <f>J62*$Q$3</f>
        <v/>
      </c>
      <c r="W62" s="89">
        <f>K62*$Q$3</f>
        <v/>
      </c>
      <c r="X62" s="89">
        <f>L62*$Q$3</f>
        <v/>
      </c>
      <c r="Y62" s="70">
        <f>M62*$Q$3</f>
        <v/>
      </c>
      <c r="Z62" s="56">
        <f>AVERAGE(S62:Y62)</f>
        <v/>
      </c>
    </row>
    <row r="63" ht="15" customHeight="1" s="40">
      <c r="D63" s="84" t="inlineStr">
        <is>
          <t>Helminthosporium</t>
        </is>
      </c>
      <c r="E63" s="72" t="n"/>
      <c r="F63" s="73" t="n"/>
      <c r="G63" s="87" t="n"/>
      <c r="H63" s="87" t="n"/>
      <c r="I63" s="87" t="n"/>
      <c r="J63" s="87" t="n"/>
      <c r="K63" s="87" t="n"/>
      <c r="L63" s="87" t="n"/>
      <c r="M63" s="87" t="n"/>
      <c r="P63" s="88" t="inlineStr">
        <is>
          <t>Helminthosporium</t>
        </is>
      </c>
      <c r="Q63" s="72" t="n"/>
      <c r="R63" s="73" t="n"/>
      <c r="S63" s="89">
        <f>G63*$Q$3</f>
        <v/>
      </c>
      <c r="T63" s="89">
        <f>H63*$Q$3</f>
        <v/>
      </c>
      <c r="U63" s="89">
        <f>I63*$Q$3</f>
        <v/>
      </c>
      <c r="V63" s="89">
        <f>J63*$Q$3</f>
        <v/>
      </c>
      <c r="W63" s="89">
        <f>K63*$Q$3</f>
        <v/>
      </c>
      <c r="X63" s="89">
        <f>L63*$Q$3</f>
        <v/>
      </c>
      <c r="Y63" s="70">
        <f>M63*$Q$3</f>
        <v/>
      </c>
      <c r="Z63" s="56">
        <f>AVERAGE(S63:Y63)</f>
        <v/>
      </c>
    </row>
    <row r="64" ht="15" customHeight="1" s="40">
      <c r="D64" s="84" t="inlineStr">
        <is>
          <t>Pithomyces</t>
        </is>
      </c>
      <c r="E64" s="72" t="n"/>
      <c r="F64" s="73" t="n"/>
      <c r="G64" s="87" t="n"/>
      <c r="H64" s="87" t="n"/>
      <c r="I64" s="87" t="n"/>
      <c r="J64" s="87" t="n"/>
      <c r="K64" s="87" t="n"/>
      <c r="L64" s="87" t="n"/>
      <c r="M64" s="87" t="n"/>
      <c r="P64" s="88" t="inlineStr">
        <is>
          <t>Pithomyces</t>
        </is>
      </c>
      <c r="Q64" s="72" t="n"/>
      <c r="R64" s="73" t="n"/>
      <c r="S64" s="89">
        <f>G64*$Q$3</f>
        <v/>
      </c>
      <c r="T64" s="89">
        <f>H64*$Q$3</f>
        <v/>
      </c>
      <c r="U64" s="89">
        <f>I64*$Q$3</f>
        <v/>
      </c>
      <c r="V64" s="89">
        <f>J64*$Q$3</f>
        <v/>
      </c>
      <c r="W64" s="89">
        <f>K64*$Q$3</f>
        <v/>
      </c>
      <c r="X64" s="89">
        <f>L64*$Q$3</f>
        <v/>
      </c>
      <c r="Y64" s="70">
        <f>M64*$Q$3</f>
        <v/>
      </c>
      <c r="Z64" s="56">
        <f>AVERAGE(S64:Y64)</f>
        <v/>
      </c>
    </row>
    <row r="65" ht="15" customHeight="1" s="40">
      <c r="D65" s="84" t="inlineStr">
        <is>
          <t>Pleospora</t>
        </is>
      </c>
      <c r="E65" s="72" t="n"/>
      <c r="F65" s="73" t="n"/>
      <c r="G65" s="87" t="n"/>
      <c r="H65" s="87" t="n"/>
      <c r="I65" s="87" t="n"/>
      <c r="J65" s="87" t="n"/>
      <c r="K65" s="87" t="n"/>
      <c r="L65" s="87" t="n"/>
      <c r="M65" s="87" t="n"/>
      <c r="P65" s="88" t="inlineStr">
        <is>
          <t>Pleospora</t>
        </is>
      </c>
      <c r="Q65" s="72" t="n"/>
      <c r="R65" s="73" t="n"/>
      <c r="S65" s="89">
        <f>G65*$Q$3</f>
        <v/>
      </c>
      <c r="T65" s="89">
        <f>H65*$Q$3</f>
        <v/>
      </c>
      <c r="U65" s="89">
        <f>I65*$Q$3</f>
        <v/>
      </c>
      <c r="V65" s="89">
        <f>J65*$Q$3</f>
        <v/>
      </c>
      <c r="W65" s="89">
        <f>K65*$Q$3</f>
        <v/>
      </c>
      <c r="X65" s="89">
        <f>L65*$Q$3</f>
        <v/>
      </c>
      <c r="Y65" s="70">
        <f>M65*$Q$3</f>
        <v/>
      </c>
      <c r="Z65" s="56">
        <f>AVERAGE(S65:Y65)</f>
        <v/>
      </c>
    </row>
    <row r="66" ht="15" customHeight="1" s="40">
      <c r="D66" s="84" t="inlineStr">
        <is>
          <t>Polythrincium</t>
        </is>
      </c>
      <c r="E66" s="72" t="n"/>
      <c r="F66" s="73" t="n"/>
      <c r="G66" s="87" t="n"/>
      <c r="H66" s="87" t="n"/>
      <c r="I66" s="87" t="n"/>
      <c r="J66" s="87" t="n"/>
      <c r="K66" s="87" t="n"/>
      <c r="L66" s="87" t="n"/>
      <c r="M66" s="87" t="n"/>
      <c r="P66" s="88" t="inlineStr">
        <is>
          <t>Polythrincium</t>
        </is>
      </c>
      <c r="Q66" s="72" t="n"/>
      <c r="R66" s="73" t="n"/>
      <c r="S66" s="89">
        <f>G66*$Q$3</f>
        <v/>
      </c>
      <c r="T66" s="89">
        <f>H66*$Q$3</f>
        <v/>
      </c>
      <c r="U66" s="89">
        <f>I66*$Q$3</f>
        <v/>
      </c>
      <c r="V66" s="89">
        <f>J66*$Q$3</f>
        <v/>
      </c>
      <c r="W66" s="89">
        <f>K66*$Q$3</f>
        <v/>
      </c>
      <c r="X66" s="89">
        <f>L66*$Q$3</f>
        <v/>
      </c>
      <c r="Y66" s="70">
        <f>M66*$Q$3</f>
        <v/>
      </c>
      <c r="Z66" s="56">
        <f>AVERAGE(S66:Y66)</f>
        <v/>
      </c>
    </row>
    <row r="67" ht="15" customHeight="1" s="40">
      <c r="D67" s="84" t="inlineStr">
        <is>
          <t>Stemphylium</t>
        </is>
      </c>
      <c r="E67" s="72" t="n"/>
      <c r="F67" s="73" t="n"/>
      <c r="G67" s="87" t="n"/>
      <c r="H67" s="87" t="n"/>
      <c r="I67" s="87" t="n"/>
      <c r="J67" s="87" t="n"/>
      <c r="K67" s="87" t="n"/>
      <c r="L67" s="87" t="n"/>
      <c r="M67" s="87" t="n"/>
      <c r="P67" s="88" t="inlineStr">
        <is>
          <t>Stemphylium</t>
        </is>
      </c>
      <c r="Q67" s="72" t="n"/>
      <c r="R67" s="73" t="n"/>
      <c r="S67" s="89">
        <f>G67*$Q$3</f>
        <v/>
      </c>
      <c r="T67" s="89">
        <f>H67*$Q$3</f>
        <v/>
      </c>
      <c r="U67" s="89">
        <f>I67*$Q$3</f>
        <v/>
      </c>
      <c r="V67" s="89">
        <f>J67*$Q$3</f>
        <v/>
      </c>
      <c r="W67" s="89">
        <f>K67*$Q$3</f>
        <v/>
      </c>
      <c r="X67" s="89">
        <f>L67*$Q$3</f>
        <v/>
      </c>
      <c r="Y67" s="70">
        <f>M67*$Q$3</f>
        <v/>
      </c>
      <c r="Z67" s="56">
        <f>AVERAGE(S67:Y67)</f>
        <v/>
      </c>
    </row>
    <row r="68" ht="15" customHeight="1" s="40">
      <c r="D68" s="84" t="inlineStr">
        <is>
          <t>Tetraploa</t>
        </is>
      </c>
      <c r="E68" s="72" t="n"/>
      <c r="F68" s="73" t="n"/>
      <c r="G68" s="87" t="n"/>
      <c r="H68" s="87" t="n"/>
      <c r="I68" s="87" t="n"/>
      <c r="J68" s="87" t="n"/>
      <c r="K68" s="87" t="n"/>
      <c r="L68" s="87" t="n"/>
      <c r="M68" s="87" t="n"/>
      <c r="P68" s="88" t="inlineStr">
        <is>
          <t>Tetraploa</t>
        </is>
      </c>
      <c r="Q68" s="72" t="n"/>
      <c r="R68" s="73" t="n"/>
      <c r="S68" s="89">
        <f>G68*$Q$3</f>
        <v/>
      </c>
      <c r="T68" s="89">
        <f>H68*$Q$3</f>
        <v/>
      </c>
      <c r="U68" s="89">
        <f>I68*$Q$3</f>
        <v/>
      </c>
      <c r="V68" s="89">
        <f>J68*$Q$3</f>
        <v/>
      </c>
      <c r="W68" s="89">
        <f>K68*$Q$3</f>
        <v/>
      </c>
      <c r="X68" s="89">
        <f>L68*$Q$3</f>
        <v/>
      </c>
      <c r="Y68" s="70">
        <f>M68*$Q$3</f>
        <v/>
      </c>
      <c r="Z68" s="56">
        <f>AVERAGE(S68:Y68)</f>
        <v/>
      </c>
    </row>
    <row r="69" ht="15" customHeight="1" s="40">
      <c r="D69" s="84" t="inlineStr">
        <is>
          <t>Torula</t>
        </is>
      </c>
      <c r="E69" s="72" t="n"/>
      <c r="F69" s="73" t="n"/>
      <c r="G69" s="87" t="n"/>
      <c r="H69" s="87" t="n"/>
      <c r="I69" s="87" t="n"/>
      <c r="J69" s="87" t="n"/>
      <c r="K69" s="87" t="n"/>
      <c r="L69" s="87" t="n"/>
      <c r="M69" s="87" t="n"/>
      <c r="P69" s="88" t="inlineStr">
        <is>
          <t>Torula</t>
        </is>
      </c>
      <c r="Q69" s="72" t="n"/>
      <c r="R69" s="73" t="n"/>
      <c r="S69" s="89">
        <f>G69*$Q$3</f>
        <v/>
      </c>
      <c r="T69" s="89">
        <f>H69*$Q$3</f>
        <v/>
      </c>
      <c r="U69" s="89">
        <f>I69*$Q$3</f>
        <v/>
      </c>
      <c r="V69" s="89">
        <f>J69*$Q$3</f>
        <v/>
      </c>
      <c r="W69" s="89">
        <f>K69*$Q$3</f>
        <v/>
      </c>
      <c r="X69" s="89">
        <f>L69*$Q$3</f>
        <v/>
      </c>
      <c r="Y69" s="70">
        <f>M69*$Q$3</f>
        <v/>
      </c>
      <c r="Z69" s="56">
        <f>AVERAGE(S69:Y69)</f>
        <v/>
      </c>
    </row>
    <row r="70" ht="15" customHeight="1" s="40">
      <c r="D70" s="90" t="inlineStr">
        <is>
          <t>Totali</t>
        </is>
      </c>
      <c r="E70" s="72" t="n"/>
      <c r="F70" s="73" t="n"/>
      <c r="G70" s="90">
        <f>SUM(G58:G69)</f>
        <v/>
      </c>
      <c r="H70" s="90">
        <f>SUM(H58:H69)</f>
        <v/>
      </c>
      <c r="I70" s="90">
        <f>SUM(I58:I69)</f>
        <v/>
      </c>
      <c r="J70" s="90">
        <f>SUM(J58:J69)</f>
        <v/>
      </c>
      <c r="K70" s="90">
        <f>SUM(K58:K69)</f>
        <v/>
      </c>
      <c r="L70" s="90">
        <f>SUM(L58:L69)</f>
        <v/>
      </c>
      <c r="M70" s="90">
        <f>SUM(M58:M69)</f>
        <v/>
      </c>
      <c r="P70" s="90" t="inlineStr">
        <is>
          <t>Totali</t>
        </is>
      </c>
      <c r="Q70" s="72" t="n"/>
      <c r="R70" s="73" t="n"/>
      <c r="S70" s="90">
        <f>SUM(S58:S69)</f>
        <v/>
      </c>
      <c r="T70" s="90">
        <f>SUM(T58:T69)</f>
        <v/>
      </c>
      <c r="U70" s="90">
        <f>SUM(U58:U69)</f>
        <v/>
      </c>
      <c r="V70" s="90">
        <f>SUM(V58:V69)</f>
        <v/>
      </c>
      <c r="W70" s="90">
        <f>SUM(W58:W69)</f>
        <v/>
      </c>
      <c r="X70" s="90">
        <f>SUM(X58:X69)</f>
        <v/>
      </c>
      <c r="Y70" s="71">
        <f>SUM(Y58:Y69)</f>
        <v/>
      </c>
      <c r="Z70" s="56">
        <f>AVERAGE(S70:Y70)</f>
        <v/>
      </c>
    </row>
    <row r="72">
      <c r="D72" s="99" t="n"/>
      <c r="E72" s="99" t="n"/>
      <c r="F72" s="99" t="n"/>
      <c r="G72" s="99" t="n"/>
      <c r="H72" s="99" t="n"/>
      <c r="I72" s="99" t="n"/>
      <c r="J72" s="99" t="n"/>
      <c r="K72" s="99" t="n"/>
      <c r="L72" s="99" t="n"/>
      <c r="M72" s="99" t="n"/>
      <c r="N72" s="99" t="n"/>
      <c r="O72" s="99" t="n"/>
      <c r="P72" s="99" t="n"/>
      <c r="Q72" s="99" t="n"/>
      <c r="R72" s="99" t="n"/>
      <c r="S72" s="99" t="n"/>
      <c r="T72" s="99" t="n"/>
      <c r="U72" s="99" t="n"/>
      <c r="V72" s="99" t="n"/>
      <c r="W72" s="99" t="n"/>
      <c r="X72" s="99" t="n"/>
      <c r="Y72" s="99" t="n"/>
    </row>
    <row r="73">
      <c r="D73" s="100" t="inlineStr">
        <is>
          <t>BOLLETTINO POLLINICO - Dicembre 2020</t>
        </is>
      </c>
      <c r="E73" s="101" t="n"/>
      <c r="F73" s="101" t="n"/>
      <c r="G73" s="101" t="n"/>
      <c r="H73" s="101" t="n"/>
      <c r="I73" s="101" t="n"/>
      <c r="J73" s="101" t="n"/>
      <c r="K73" s="101" t="n"/>
      <c r="L73" s="101" t="n"/>
      <c r="M73" s="101" t="n"/>
      <c r="N73" s="101" t="n"/>
      <c r="O73" s="101" t="n"/>
      <c r="P73" s="101" t="n"/>
      <c r="Q73" s="101" t="n"/>
      <c r="R73" s="101" t="n"/>
      <c r="S73" s="101" t="n"/>
      <c r="T73" s="101" t="n"/>
      <c r="U73" s="101" t="n"/>
      <c r="V73" s="101" t="n"/>
      <c r="W73" s="101" t="n"/>
      <c r="X73" s="101" t="n"/>
      <c r="Y73" s="101" t="n"/>
    </row>
    <row r="74">
      <c r="D74" s="101" t="n"/>
      <c r="E74" s="101" t="n"/>
      <c r="F74" s="101" t="n"/>
      <c r="G74" s="101" t="n"/>
      <c r="H74" s="101" t="n"/>
      <c r="I74" s="101" t="n"/>
      <c r="J74" s="101" t="n"/>
      <c r="K74" s="101" t="n"/>
      <c r="L74" s="101" t="n"/>
      <c r="M74" s="101" t="n"/>
      <c r="N74" s="101" t="n"/>
      <c r="O74" s="101" t="n"/>
      <c r="P74" s="101" t="n"/>
      <c r="Q74" s="101" t="n"/>
      <c r="R74" s="101" t="n"/>
      <c r="S74" s="101" t="n"/>
      <c r="T74" s="101" t="n"/>
      <c r="U74" s="101" t="n"/>
      <c r="V74" s="101" t="n"/>
      <c r="W74" s="101" t="n"/>
      <c r="X74" s="101" t="n"/>
      <c r="Y74" s="101" t="n"/>
    </row>
    <row r="75">
      <c r="D75" s="102" t="inlineStr">
        <is>
          <t>Famiglia/Specie</t>
        </is>
      </c>
      <c r="E75" s="102" t="inlineStr">
        <is>
          <t>Lunedi 28</t>
        </is>
      </c>
      <c r="F75" s="102" t="inlineStr">
        <is>
          <t>Martedi 29</t>
        </is>
      </c>
      <c r="G75" s="102" t="inlineStr">
        <is>
          <t>Mercoledi 30</t>
        </is>
      </c>
      <c r="H75" s="102" t="inlineStr">
        <is>
          <t>Giovedi 31</t>
        </is>
      </c>
      <c r="I75" s="102" t="inlineStr">
        <is>
          <t>Venerdi 1</t>
        </is>
      </c>
      <c r="J75" s="102" t="inlineStr">
        <is>
          <t>Sabato 2</t>
        </is>
      </c>
      <c r="K75" s="102" t="inlineStr">
        <is>
          <t>Domenica 3</t>
        </is>
      </c>
      <c r="L75" s="102" t="inlineStr">
        <is>
          <t>Media (p/m3)</t>
        </is>
      </c>
      <c r="M75" s="101" t="n"/>
      <c r="N75" s="101" t="n"/>
      <c r="O75" s="101" t="n"/>
      <c r="P75" s="103" t="inlineStr">
        <is>
          <t>Famiglia/Specie</t>
        </is>
      </c>
      <c r="Q75" s="103" t="inlineStr">
        <is>
          <t>Lunedi 28</t>
        </is>
      </c>
      <c r="R75" s="103" t="inlineStr">
        <is>
          <t>Martedi 29</t>
        </is>
      </c>
      <c r="S75" s="103" t="inlineStr">
        <is>
          <t>Mercoledi 30</t>
        </is>
      </c>
      <c r="T75" s="103" t="inlineStr">
        <is>
          <t>Giovedi 31</t>
        </is>
      </c>
      <c r="U75" s="103" t="inlineStr">
        <is>
          <t>Venerdi 1</t>
        </is>
      </c>
      <c r="V75" s="103" t="inlineStr">
        <is>
          <t>Sabato 2</t>
        </is>
      </c>
      <c r="W75" s="103" t="inlineStr">
        <is>
          <t>Domenica 3</t>
        </is>
      </c>
      <c r="X75" s="103" t="inlineStr">
        <is>
          <t>Media (p/m3)</t>
        </is>
      </c>
      <c r="Y75" s="103" t="inlineStr">
        <is>
          <t>Tendenza</t>
        </is>
      </c>
    </row>
    <row r="76">
      <c r="D76" s="101" t="inlineStr">
        <is>
          <t>Nessun dato nella settimana.</t>
        </is>
      </c>
      <c r="E76" s="101" t="n"/>
      <c r="F76" s="101" t="n"/>
      <c r="G76" s="101" t="n"/>
      <c r="H76" s="101" t="n"/>
      <c r="I76" s="101" t="n"/>
      <c r="J76" s="101" t="n"/>
      <c r="K76" s="101" t="n"/>
      <c r="L76" s="101" t="n"/>
      <c r="M76" s="101" t="n"/>
      <c r="N76" s="101" t="n"/>
      <c r="O76" s="101" t="n"/>
      <c r="P76" s="101" t="n"/>
      <c r="Q76" s="101" t="n"/>
      <c r="R76" s="101" t="n"/>
      <c r="S76" s="101" t="n"/>
      <c r="T76" s="101" t="n"/>
      <c r="U76" s="101" t="n"/>
      <c r="V76" s="101" t="n"/>
      <c r="W76" s="101" t="n"/>
      <c r="X76" s="101" t="n"/>
      <c r="Y76" s="101" t="n"/>
    </row>
    <row r="77">
      <c r="D77" s="101" t="n"/>
      <c r="E77" s="101" t="n"/>
      <c r="F77" s="101" t="n"/>
      <c r="G77" s="101" t="n"/>
      <c r="H77" s="101" t="n"/>
      <c r="I77" s="101" t="n"/>
      <c r="J77" s="101" t="n"/>
      <c r="K77" s="101" t="n"/>
      <c r="L77" s="101" t="n"/>
      <c r="M77" s="101" t="n"/>
      <c r="N77" s="101" t="n"/>
      <c r="O77" s="101" t="n"/>
      <c r="P77" s="101" t="n"/>
      <c r="Q77" s="101" t="n"/>
      <c r="R77" s="101" t="n"/>
      <c r="S77" s="101" t="n"/>
      <c r="T77" s="101" t="n"/>
      <c r="U77" s="101" t="n"/>
      <c r="V77" s="101" t="n"/>
      <c r="W77" s="101" t="n"/>
      <c r="X77" s="101" t="n"/>
      <c r="Y77" s="101" t="n"/>
    </row>
    <row r="78">
      <c r="D78" s="101" t="n"/>
      <c r="E78" s="101" t="n"/>
      <c r="F78" s="101" t="n"/>
      <c r="G78" s="101" t="n"/>
      <c r="H78" s="101" t="n"/>
      <c r="I78" s="101" t="n"/>
      <c r="J78" s="101" t="n"/>
      <c r="K78" s="101" t="n"/>
      <c r="L78" s="101" t="n"/>
      <c r="M78" s="101" t="n"/>
      <c r="N78" s="101" t="n"/>
      <c r="O78" s="101" t="n"/>
      <c r="P78" s="101" t="n"/>
      <c r="Q78" s="101" t="n"/>
      <c r="R78" s="101" t="n"/>
      <c r="S78" s="101" t="n"/>
      <c r="T78" s="101" t="n"/>
      <c r="U78" s="101" t="n"/>
      <c r="V78" s="101" t="n"/>
      <c r="W78" s="101" t="n"/>
      <c r="X78" s="101" t="n"/>
      <c r="Y78" s="101" t="n"/>
    </row>
    <row r="79">
      <c r="D79" s="101" t="n"/>
      <c r="E79" s="101" t="n"/>
      <c r="F79" s="101" t="n"/>
      <c r="G79" s="101" t="n"/>
      <c r="H79" s="101" t="n"/>
      <c r="I79" s="101" t="n"/>
      <c r="J79" s="101" t="n"/>
      <c r="K79" s="101" t="n"/>
      <c r="L79" s="101" t="n"/>
      <c r="M79" s="101" t="n"/>
      <c r="N79" s="101" t="n"/>
      <c r="O79" s="101" t="n"/>
      <c r="P79" s="101" t="n"/>
      <c r="Q79" s="101" t="n"/>
      <c r="R79" s="101" t="n"/>
      <c r="S79" s="101" t="n"/>
      <c r="T79" s="101" t="n"/>
      <c r="U79" s="101" t="n"/>
      <c r="V79" s="101" t="n"/>
      <c r="W79" s="101" t="n"/>
      <c r="X79" s="101" t="n"/>
      <c r="Y79" s="101" t="n"/>
    </row>
    <row r="80">
      <c r="D80" s="101" t="n"/>
      <c r="E80" s="101" t="n"/>
      <c r="F80" s="101" t="n"/>
      <c r="G80" s="101" t="n"/>
      <c r="H80" s="101" t="n"/>
      <c r="I80" s="101" t="n"/>
      <c r="J80" s="101" t="n"/>
      <c r="K80" s="101" t="n"/>
      <c r="L80" s="101" t="n"/>
      <c r="M80" s="101" t="n"/>
      <c r="N80" s="101" t="n"/>
      <c r="O80" s="101" t="n"/>
      <c r="P80" s="101" t="n"/>
      <c r="Q80" s="101" t="n"/>
      <c r="R80" s="101" t="n"/>
      <c r="S80" s="101" t="n"/>
      <c r="T80" s="101" t="n"/>
      <c r="U80" s="101" t="n"/>
      <c r="V80" s="101" t="n"/>
      <c r="W80" s="101" t="n"/>
      <c r="X80" s="101" t="n"/>
      <c r="Y80" s="101" t="n"/>
    </row>
    <row r="81">
      <c r="D81" s="101" t="n"/>
      <c r="E81" s="101" t="n"/>
      <c r="F81" s="101" t="n"/>
      <c r="G81" s="101" t="n"/>
      <c r="H81" s="101" t="n"/>
      <c r="I81" s="101" t="n"/>
      <c r="J81" s="101" t="n"/>
      <c r="K81" s="101" t="n"/>
      <c r="L81" s="101" t="n"/>
      <c r="M81" s="101" t="n"/>
      <c r="N81" s="101" t="n"/>
      <c r="O81" s="101" t="n"/>
      <c r="P81" s="101" t="n"/>
      <c r="Q81" s="101" t="n"/>
      <c r="R81" s="101" t="n"/>
      <c r="S81" s="101" t="n"/>
      <c r="T81" s="101" t="n"/>
      <c r="U81" s="101" t="n"/>
      <c r="V81" s="101" t="n"/>
      <c r="W81" s="101" t="n"/>
      <c r="X81" s="101" t="n"/>
      <c r="Y81" s="101" t="n"/>
    </row>
    <row r="82">
      <c r="D82" s="101" t="n"/>
      <c r="E82" s="101" t="n"/>
      <c r="F82" s="101" t="n"/>
      <c r="G82" s="101" t="n"/>
      <c r="H82" s="101" t="n"/>
      <c r="I82" s="101" t="n"/>
      <c r="J82" s="101" t="n"/>
      <c r="K82" s="101" t="n"/>
      <c r="L82" s="101" t="n"/>
      <c r="M82" s="101" t="n"/>
      <c r="N82" s="101" t="n"/>
      <c r="O82" s="101" t="n"/>
      <c r="P82" s="101" t="n"/>
      <c r="Q82" s="101" t="n"/>
      <c r="R82" s="101" t="n"/>
      <c r="S82" s="101" t="n"/>
      <c r="T82" s="101" t="n"/>
      <c r="U82" s="101" t="n"/>
      <c r="V82" s="101" t="n"/>
      <c r="W82" s="101" t="n"/>
      <c r="X82" s="101" t="n"/>
      <c r="Y82" s="101" t="n"/>
    </row>
    <row r="83">
      <c r="D83" s="101" t="n"/>
      <c r="E83" s="101" t="n"/>
      <c r="F83" s="101" t="n"/>
      <c r="G83" s="101" t="n"/>
      <c r="H83" s="101" t="n"/>
      <c r="I83" s="101" t="n"/>
      <c r="J83" s="101" t="n"/>
      <c r="K83" s="101" t="n"/>
      <c r="L83" s="101" t="n"/>
      <c r="M83" s="101" t="n"/>
      <c r="N83" s="101" t="n"/>
      <c r="O83" s="101" t="n"/>
      <c r="P83" s="101" t="n"/>
      <c r="Q83" s="101" t="n"/>
      <c r="R83" s="101" t="n"/>
      <c r="S83" s="101" t="n"/>
      <c r="T83" s="101" t="n"/>
      <c r="U83" s="101" t="n"/>
      <c r="V83" s="101" t="n"/>
      <c r="W83" s="101" t="n"/>
      <c r="X83" s="101" t="n"/>
      <c r="Y83" s="101" t="n"/>
    </row>
    <row r="84">
      <c r="D84" s="101" t="n"/>
      <c r="E84" s="101" t="n"/>
      <c r="F84" s="101" t="n"/>
      <c r="G84" s="101" t="n"/>
      <c r="H84" s="101" t="n"/>
      <c r="I84" s="101" t="n"/>
      <c r="J84" s="101" t="n"/>
      <c r="K84" s="101" t="n"/>
      <c r="L84" s="101" t="n"/>
      <c r="M84" s="101" t="n"/>
      <c r="N84" s="101" t="n"/>
      <c r="O84" s="101" t="n"/>
      <c r="P84" s="101" t="n"/>
      <c r="Q84" s="101" t="n"/>
      <c r="R84" s="101" t="n"/>
      <c r="S84" s="101" t="n"/>
      <c r="T84" s="101" t="n"/>
      <c r="U84" s="101" t="n"/>
      <c r="V84" s="101" t="n"/>
      <c r="W84" s="101" t="n"/>
      <c r="X84" s="101" t="n"/>
      <c r="Y84" s="101" t="n"/>
    </row>
    <row r="85">
      <c r="D85" s="101" t="n"/>
      <c r="E85" s="101" t="n"/>
      <c r="F85" s="101" t="n"/>
      <c r="G85" s="101" t="n"/>
      <c r="H85" s="101" t="n"/>
      <c r="I85" s="101" t="n"/>
      <c r="J85" s="101" t="n"/>
      <c r="K85" s="101" t="n"/>
      <c r="L85" s="101" t="n"/>
      <c r="M85" s="101" t="n"/>
      <c r="N85" s="101" t="n"/>
      <c r="O85" s="101" t="n"/>
      <c r="P85" s="101" t="n"/>
      <c r="Q85" s="101" t="n"/>
      <c r="R85" s="101" t="n"/>
      <c r="S85" s="101" t="n"/>
      <c r="T85" s="101" t="n"/>
      <c r="U85" s="101" t="n"/>
      <c r="V85" s="101" t="n"/>
      <c r="W85" s="101" t="n"/>
      <c r="X85" s="101" t="n"/>
      <c r="Y85" s="101" t="n"/>
    </row>
    <row r="86">
      <c r="D86" s="101" t="n"/>
      <c r="E86" s="101" t="n"/>
      <c r="F86" s="101" t="n"/>
      <c r="G86" s="101" t="n"/>
      <c r="H86" s="101" t="n"/>
      <c r="I86" s="101" t="n"/>
      <c r="J86" s="101" t="n"/>
      <c r="K86" s="101" t="n"/>
      <c r="L86" s="101" t="n"/>
      <c r="M86" s="101" t="n"/>
      <c r="N86" s="101" t="n"/>
      <c r="O86" s="101" t="n"/>
      <c r="P86" s="101" t="n"/>
      <c r="Q86" s="101" t="n"/>
      <c r="R86" s="101" t="n"/>
      <c r="S86" s="101" t="n"/>
      <c r="T86" s="101" t="n"/>
      <c r="U86" s="101" t="n"/>
      <c r="V86" s="101" t="n"/>
      <c r="W86" s="101" t="n"/>
      <c r="X86" s="101" t="n"/>
      <c r="Y86" s="101" t="n"/>
    </row>
    <row r="87">
      <c r="D87" s="101" t="n"/>
      <c r="E87" s="101" t="n"/>
      <c r="F87" s="101" t="n"/>
      <c r="G87" s="101" t="n"/>
      <c r="H87" s="101" t="n"/>
      <c r="I87" s="101" t="n"/>
      <c r="J87" s="101" t="n"/>
      <c r="K87" s="101" t="n"/>
      <c r="L87" s="101" t="n"/>
      <c r="M87" s="101" t="n"/>
      <c r="N87" s="101" t="n"/>
      <c r="O87" s="101" t="n"/>
      <c r="P87" s="101" t="n"/>
      <c r="Q87" s="101" t="n"/>
      <c r="R87" s="101" t="n"/>
      <c r="S87" s="101" t="n"/>
      <c r="T87" s="101" t="n"/>
      <c r="U87" s="101" t="n"/>
      <c r="V87" s="101" t="n"/>
      <c r="W87" s="101" t="n"/>
      <c r="X87" s="101" t="n"/>
      <c r="Y87" s="101" t="n"/>
    </row>
    <row r="88">
      <c r="D88" s="101" t="n"/>
      <c r="E88" s="101" t="n"/>
      <c r="F88" s="101" t="n"/>
      <c r="G88" s="101" t="n"/>
      <c r="H88" s="101" t="n"/>
      <c r="I88" s="101" t="n"/>
      <c r="J88" s="101" t="n"/>
      <c r="K88" s="101" t="n"/>
      <c r="L88" s="101" t="n"/>
      <c r="M88" s="101" t="n"/>
      <c r="N88" s="101" t="n"/>
      <c r="O88" s="101" t="n"/>
      <c r="P88" s="101" t="n"/>
      <c r="Q88" s="101" t="n"/>
      <c r="R88" s="101" t="n"/>
      <c r="S88" s="101" t="n"/>
      <c r="T88" s="101" t="n"/>
      <c r="U88" s="101" t="n"/>
      <c r="V88" s="101" t="n"/>
      <c r="W88" s="101" t="n"/>
      <c r="X88" s="101" t="n"/>
      <c r="Y88" s="101" t="n"/>
    </row>
    <row r="89">
      <c r="D89" s="101" t="n"/>
      <c r="E89" s="101" t="n"/>
      <c r="F89" s="101" t="n"/>
      <c r="G89" s="101" t="n"/>
      <c r="H89" s="101" t="n"/>
      <c r="I89" s="101" t="n"/>
      <c r="J89" s="101" t="n"/>
      <c r="K89" s="101" t="n"/>
      <c r="L89" s="101" t="n"/>
      <c r="M89" s="101" t="n"/>
      <c r="N89" s="101" t="n"/>
      <c r="O89" s="101" t="n"/>
      <c r="P89" s="101" t="n"/>
      <c r="Q89" s="101" t="n"/>
      <c r="R89" s="101" t="n"/>
      <c r="S89" s="101" t="n"/>
      <c r="T89" s="101" t="n"/>
      <c r="U89" s="101" t="n"/>
      <c r="V89" s="101" t="n"/>
      <c r="W89" s="101" t="n"/>
      <c r="X89" s="101" t="n"/>
      <c r="Y89" s="101" t="n"/>
    </row>
    <row r="90">
      <c r="D90" s="101" t="n"/>
      <c r="E90" s="101" t="n"/>
      <c r="F90" s="101" t="n"/>
      <c r="G90" s="101" t="n"/>
      <c r="H90" s="101" t="n"/>
      <c r="I90" s="101" t="n"/>
      <c r="J90" s="101" t="n"/>
      <c r="K90" s="101" t="n"/>
      <c r="L90" s="101" t="n"/>
      <c r="M90" s="101" t="n"/>
      <c r="N90" s="101" t="n"/>
      <c r="O90" s="101" t="n"/>
      <c r="P90" s="101" t="n"/>
      <c r="Q90" s="101" t="n"/>
      <c r="R90" s="101" t="n"/>
      <c r="S90" s="101" t="n"/>
      <c r="T90" s="101" t="n"/>
      <c r="U90" s="101" t="n"/>
      <c r="V90" s="101" t="n"/>
      <c r="W90" s="101" t="n"/>
      <c r="X90" s="101" t="n"/>
      <c r="Y90" s="101" t="n"/>
    </row>
    <row r="91">
      <c r="D91" s="101" t="n"/>
      <c r="E91" s="101" t="n"/>
      <c r="F91" s="101" t="n"/>
      <c r="G91" s="101" t="n"/>
      <c r="H91" s="101" t="n"/>
      <c r="I91" s="101" t="n"/>
      <c r="J91" s="101" t="n"/>
      <c r="K91" s="101" t="n"/>
      <c r="L91" s="101" t="n"/>
      <c r="M91" s="101" t="n"/>
      <c r="N91" s="101" t="n"/>
      <c r="O91" s="101" t="n"/>
      <c r="P91" s="101" t="n"/>
      <c r="Q91" s="101" t="n"/>
      <c r="R91" s="101" t="n"/>
      <c r="S91" s="101" t="n"/>
      <c r="T91" s="101" t="n"/>
      <c r="U91" s="101" t="n"/>
      <c r="V91" s="101" t="n"/>
      <c r="W91" s="101" t="n"/>
      <c r="X91" s="101" t="n"/>
      <c r="Y91" s="101" t="n"/>
    </row>
    <row r="92">
      <c r="D92" s="101" t="n"/>
      <c r="E92" s="101" t="n"/>
      <c r="F92" s="101" t="n"/>
      <c r="G92" s="101" t="n"/>
      <c r="H92" s="101" t="n"/>
      <c r="I92" s="101" t="n"/>
      <c r="J92" s="101" t="n"/>
      <c r="K92" s="101" t="n"/>
      <c r="L92" s="101" t="n"/>
      <c r="M92" s="101" t="n"/>
      <c r="N92" s="101" t="n"/>
      <c r="O92" s="101" t="n"/>
      <c r="P92" s="101" t="n"/>
      <c r="Q92" s="101" t="n"/>
      <c r="R92" s="101" t="n"/>
      <c r="S92" s="101" t="n"/>
      <c r="T92" s="101" t="n"/>
      <c r="U92" s="101" t="n"/>
      <c r="V92" s="101" t="n"/>
      <c r="W92" s="101" t="n"/>
      <c r="X92" s="101" t="n"/>
      <c r="Y92" s="101" t="n"/>
    </row>
    <row r="93">
      <c r="D93" s="101" t="n"/>
      <c r="E93" s="101" t="n"/>
      <c r="F93" s="101" t="n"/>
      <c r="G93" s="101" t="n"/>
      <c r="H93" s="101" t="n"/>
      <c r="I93" s="101" t="n"/>
      <c r="J93" s="101" t="n"/>
      <c r="K93" s="101" t="n"/>
      <c r="L93" s="101" t="n"/>
      <c r="M93" s="101" t="n"/>
      <c r="N93" s="101" t="n"/>
      <c r="O93" s="101" t="n"/>
      <c r="P93" s="101" t="n"/>
      <c r="Q93" s="101" t="n"/>
      <c r="R93" s="101" t="n"/>
      <c r="S93" s="101" t="n"/>
      <c r="T93" s="101" t="n"/>
      <c r="U93" s="101" t="n"/>
      <c r="V93" s="101" t="n"/>
      <c r="W93" s="101" t="n"/>
      <c r="X93" s="101" t="n"/>
      <c r="Y93" s="101" t="n"/>
    </row>
    <row r="94">
      <c r="D94" s="101" t="n"/>
      <c r="E94" s="101" t="n"/>
      <c r="F94" s="101" t="n"/>
      <c r="G94" s="101" t="n"/>
      <c r="H94" s="101" t="n"/>
      <c r="I94" s="101" t="n"/>
      <c r="J94" s="101" t="n"/>
      <c r="K94" s="101" t="n"/>
      <c r="L94" s="101" t="n"/>
      <c r="M94" s="101" t="n"/>
      <c r="N94" s="101" t="n"/>
      <c r="O94" s="101" t="n"/>
      <c r="P94" s="101" t="n"/>
      <c r="Q94" s="101" t="n"/>
      <c r="R94" s="101" t="n"/>
      <c r="S94" s="101" t="n"/>
      <c r="T94" s="101" t="n"/>
      <c r="U94" s="101" t="n"/>
      <c r="V94" s="101" t="n"/>
      <c r="W94" s="101" t="n"/>
      <c r="X94" s="101" t="n"/>
      <c r="Y94" s="101" t="n"/>
    </row>
    <row r="95">
      <c r="D95" s="101" t="n"/>
      <c r="E95" s="101" t="n"/>
      <c r="F95" s="101" t="n"/>
      <c r="G95" s="101" t="n"/>
      <c r="H95" s="101" t="n"/>
      <c r="I95" s="101" t="n"/>
      <c r="J95" s="101" t="n"/>
      <c r="K95" s="101" t="n"/>
      <c r="L95" s="101" t="n"/>
      <c r="M95" s="101" t="n"/>
      <c r="N95" s="101" t="n"/>
      <c r="O95" s="101" t="n"/>
      <c r="P95" s="101" t="n"/>
      <c r="Q95" s="101" t="n"/>
      <c r="R95" s="101" t="n"/>
      <c r="S95" s="101" t="n"/>
      <c r="T95" s="101" t="n"/>
      <c r="U95" s="101" t="n"/>
      <c r="V95" s="101" t="n"/>
      <c r="W95" s="101" t="n"/>
      <c r="X95" s="101" t="n"/>
      <c r="Y95" s="101" t="n"/>
    </row>
    <row r="96">
      <c r="D96" s="101" t="n"/>
      <c r="E96" s="101" t="n"/>
      <c r="F96" s="101" t="n"/>
      <c r="G96" s="101" t="n"/>
      <c r="H96" s="101" t="n"/>
      <c r="I96" s="101" t="n"/>
      <c r="J96" s="101" t="n"/>
      <c r="K96" s="101" t="n"/>
      <c r="L96" s="101" t="n"/>
      <c r="M96" s="101" t="n"/>
      <c r="N96" s="101" t="n"/>
      <c r="O96" s="101" t="n"/>
      <c r="P96" s="101" t="n"/>
      <c r="Q96" s="101" t="n"/>
      <c r="R96" s="101" t="n"/>
      <c r="S96" s="101" t="n"/>
      <c r="T96" s="101" t="n"/>
      <c r="U96" s="101" t="n"/>
      <c r="V96" s="101" t="n"/>
      <c r="W96" s="101" t="n"/>
      <c r="X96" s="101" t="n"/>
      <c r="Y96" s="101" t="n"/>
    </row>
    <row r="97">
      <c r="D97" s="101" t="n"/>
      <c r="E97" s="101" t="n"/>
      <c r="F97" s="101" t="n"/>
      <c r="G97" s="101" t="n"/>
      <c r="H97" s="101" t="n"/>
      <c r="I97" s="101" t="n"/>
      <c r="J97" s="101" t="n"/>
      <c r="K97" s="101" t="n"/>
      <c r="L97" s="101" t="n"/>
      <c r="M97" s="101" t="n"/>
      <c r="N97" s="101" t="n"/>
      <c r="O97" s="101" t="n"/>
      <c r="P97" s="101" t="n"/>
      <c r="Q97" s="101" t="n"/>
      <c r="R97" s="101" t="n"/>
      <c r="S97" s="101" t="n"/>
      <c r="T97" s="101" t="n"/>
      <c r="U97" s="101" t="n"/>
      <c r="V97" s="101" t="n"/>
      <c r="W97" s="101" t="n"/>
      <c r="X97" s="101" t="n"/>
      <c r="Y97" s="101" t="n"/>
    </row>
    <row r="98">
      <c r="D98" s="101" t="n"/>
      <c r="E98" s="101" t="n"/>
      <c r="F98" s="101" t="n"/>
      <c r="G98" s="101" t="n"/>
      <c r="H98" s="101" t="n"/>
      <c r="I98" s="101" t="n"/>
      <c r="J98" s="101" t="n"/>
      <c r="K98" s="101" t="n"/>
      <c r="L98" s="101" t="n"/>
      <c r="M98" s="101" t="n"/>
      <c r="N98" s="101" t="n"/>
      <c r="O98" s="101" t="n"/>
      <c r="P98" s="101" t="n"/>
      <c r="Q98" s="101" t="n"/>
      <c r="R98" s="101" t="n"/>
      <c r="S98" s="101" t="n"/>
      <c r="T98" s="101" t="n"/>
      <c r="U98" s="101" t="n"/>
      <c r="V98" s="101" t="n"/>
      <c r="W98" s="101" t="n"/>
      <c r="X98" s="101" t="n"/>
      <c r="Y98" s="101" t="n"/>
    </row>
    <row r="99">
      <c r="D99" s="101" t="n"/>
      <c r="E99" s="101" t="n"/>
      <c r="F99" s="101" t="n"/>
      <c r="G99" s="101" t="n"/>
      <c r="H99" s="101" t="n"/>
      <c r="I99" s="101" t="n"/>
      <c r="J99" s="101" t="n"/>
      <c r="K99" s="101" t="n"/>
      <c r="L99" s="101" t="n"/>
      <c r="M99" s="101" t="n"/>
      <c r="N99" s="101" t="n"/>
      <c r="O99" s="101" t="n"/>
      <c r="P99" s="101" t="n"/>
      <c r="Q99" s="101" t="n"/>
      <c r="R99" s="101" t="n"/>
      <c r="S99" s="101" t="n"/>
      <c r="T99" s="101" t="n"/>
      <c r="U99" s="101" t="n"/>
      <c r="V99" s="101" t="n"/>
      <c r="W99" s="101" t="n"/>
      <c r="X99" s="101" t="n"/>
      <c r="Y99" s="101" t="n"/>
    </row>
    <row r="100">
      <c r="D100" s="101" t="n"/>
      <c r="E100" s="101" t="n"/>
      <c r="F100" s="101" t="n"/>
      <c r="G100" s="101" t="n"/>
      <c r="H100" s="101" t="n"/>
      <c r="I100" s="101" t="n"/>
      <c r="J100" s="101" t="n"/>
      <c r="K100" s="101" t="n"/>
      <c r="L100" s="101" t="n"/>
      <c r="M100" s="101" t="n"/>
      <c r="N100" s="101" t="n"/>
      <c r="O100" s="101" t="n"/>
      <c r="P100" s="101" t="n"/>
      <c r="Q100" s="101" t="n"/>
      <c r="R100" s="101" t="n"/>
      <c r="S100" s="101" t="n"/>
      <c r="T100" s="101" t="n"/>
      <c r="U100" s="101" t="n"/>
      <c r="V100" s="101" t="n"/>
      <c r="W100" s="101" t="n"/>
      <c r="X100" s="101" t="n"/>
      <c r="Y100" s="101" t="n"/>
    </row>
    <row r="101">
      <c r="D101" s="101" t="n"/>
      <c r="E101" s="101" t="n"/>
      <c r="F101" s="101" t="n"/>
      <c r="G101" s="101" t="n"/>
      <c r="H101" s="101" t="n"/>
      <c r="I101" s="101" t="n"/>
      <c r="J101" s="101" t="n"/>
      <c r="K101" s="101" t="n"/>
      <c r="L101" s="101" t="n"/>
      <c r="M101" s="101" t="n"/>
      <c r="N101" s="101" t="n"/>
      <c r="O101" s="101" t="n"/>
      <c r="P101" s="101" t="n"/>
      <c r="Q101" s="101" t="n"/>
      <c r="R101" s="101" t="n"/>
      <c r="S101" s="101" t="n"/>
      <c r="T101" s="101" t="n"/>
      <c r="U101" s="101" t="n"/>
      <c r="V101" s="101" t="n"/>
      <c r="W101" s="101" t="n"/>
      <c r="X101" s="101" t="n"/>
      <c r="Y101" s="101" t="n"/>
    </row>
    <row r="102">
      <c r="D102" s="101" t="n"/>
      <c r="E102" s="101" t="n"/>
      <c r="F102" s="101" t="n"/>
      <c r="G102" s="101" t="n"/>
      <c r="H102" s="101" t="n"/>
      <c r="I102" s="101" t="n"/>
      <c r="J102" s="101" t="n"/>
      <c r="K102" s="101" t="n"/>
      <c r="L102" s="101" t="n"/>
      <c r="M102" s="101" t="n"/>
      <c r="N102" s="101" t="n"/>
      <c r="O102" s="101" t="n"/>
      <c r="P102" s="101" t="n"/>
      <c r="Q102" s="101" t="n"/>
      <c r="R102" s="101" t="n"/>
      <c r="S102" s="101" t="n"/>
      <c r="T102" s="101" t="n"/>
      <c r="U102" s="101" t="n"/>
      <c r="V102" s="101" t="n"/>
      <c r="W102" s="101" t="n"/>
      <c r="X102" s="101" t="n"/>
      <c r="Y102" s="101" t="n"/>
    </row>
    <row r="103">
      <c r="D103" s="101" t="n"/>
      <c r="E103" s="101" t="n"/>
      <c r="F103" s="101" t="n"/>
      <c r="G103" s="101" t="n"/>
      <c r="H103" s="101" t="n"/>
      <c r="I103" s="101" t="n"/>
      <c r="J103" s="101" t="n"/>
      <c r="K103" s="101" t="n"/>
      <c r="L103" s="101" t="n"/>
      <c r="M103" s="101" t="n"/>
      <c r="N103" s="101" t="n"/>
      <c r="O103" s="101" t="n"/>
      <c r="P103" s="101" t="n"/>
      <c r="Q103" s="101" t="n"/>
      <c r="R103" s="101" t="n"/>
      <c r="S103" s="101" t="n"/>
      <c r="T103" s="101" t="n"/>
      <c r="U103" s="101" t="n"/>
      <c r="V103" s="101" t="n"/>
      <c r="W103" s="101" t="n"/>
      <c r="X103" s="101" t="n"/>
      <c r="Y103" s="101" t="n"/>
    </row>
    <row r="104">
      <c r="D104" s="101" t="n"/>
      <c r="E104" s="101" t="n"/>
      <c r="F104" s="101" t="n"/>
      <c r="G104" s="101" t="n"/>
      <c r="H104" s="101" t="n"/>
      <c r="I104" s="101" t="n"/>
      <c r="J104" s="101" t="n"/>
      <c r="K104" s="101" t="n"/>
      <c r="L104" s="101" t="n"/>
      <c r="M104" s="101" t="n"/>
      <c r="N104" s="101" t="n"/>
      <c r="O104" s="101" t="n"/>
      <c r="P104" s="101" t="n"/>
      <c r="Q104" s="101" t="n"/>
      <c r="R104" s="101" t="n"/>
      <c r="S104" s="101" t="n"/>
      <c r="T104" s="101" t="n"/>
      <c r="U104" s="101" t="n"/>
      <c r="V104" s="101" t="n"/>
      <c r="W104" s="101" t="n"/>
      <c r="X104" s="101" t="n"/>
      <c r="Y104" s="101" t="n"/>
    </row>
    <row r="105">
      <c r="D105" s="101" t="n"/>
      <c r="E105" s="101" t="n"/>
      <c r="F105" s="101" t="n"/>
      <c r="G105" s="101" t="n"/>
      <c r="H105" s="101" t="n"/>
      <c r="I105" s="101" t="n"/>
      <c r="J105" s="101" t="n"/>
      <c r="K105" s="101" t="n"/>
      <c r="L105" s="101" t="n"/>
      <c r="M105" s="101" t="n"/>
      <c r="N105" s="101" t="n"/>
      <c r="O105" s="101" t="n"/>
      <c r="P105" s="101" t="n"/>
      <c r="Q105" s="101" t="n"/>
      <c r="R105" s="101" t="n"/>
      <c r="S105" s="101" t="n"/>
      <c r="T105" s="101" t="n"/>
      <c r="U105" s="101" t="n"/>
      <c r="V105" s="101" t="n"/>
      <c r="W105" s="101" t="n"/>
      <c r="X105" s="101" t="n"/>
      <c r="Y105" s="101" t="n"/>
    </row>
    <row r="106">
      <c r="D106" s="101" t="n"/>
      <c r="E106" s="101" t="n"/>
      <c r="F106" s="101" t="n"/>
      <c r="G106" s="101" t="n"/>
      <c r="H106" s="101" t="n"/>
      <c r="I106" s="101" t="n"/>
      <c r="J106" s="101" t="n"/>
      <c r="K106" s="101" t="n"/>
      <c r="L106" s="101" t="n"/>
      <c r="M106" s="101" t="n"/>
      <c r="N106" s="101" t="n"/>
      <c r="O106" s="101" t="n"/>
      <c r="P106" s="101" t="n"/>
      <c r="Q106" s="101" t="n"/>
      <c r="R106" s="101" t="n"/>
      <c r="S106" s="101" t="n"/>
      <c r="T106" s="101" t="n"/>
      <c r="U106" s="101" t="n"/>
      <c r="V106" s="101" t="n"/>
      <c r="W106" s="101" t="n"/>
      <c r="X106" s="101" t="n"/>
      <c r="Y106" s="101" t="n"/>
    </row>
    <row r="107">
      <c r="D107" s="101" t="n"/>
      <c r="E107" s="101" t="n"/>
      <c r="F107" s="101" t="n"/>
      <c r="G107" s="101" t="n"/>
      <c r="H107" s="101" t="n"/>
      <c r="I107" s="101" t="n"/>
      <c r="J107" s="101" t="n"/>
      <c r="K107" s="101" t="n"/>
      <c r="L107" s="101" t="n"/>
      <c r="M107" s="101" t="n"/>
      <c r="N107" s="101" t="n"/>
      <c r="O107" s="101" t="n"/>
      <c r="P107" s="101" t="n"/>
      <c r="Q107" s="101" t="n"/>
      <c r="R107" s="101" t="n"/>
      <c r="S107" s="101" t="n"/>
      <c r="T107" s="101" t="n"/>
      <c r="U107" s="101" t="n"/>
      <c r="V107" s="101" t="n"/>
      <c r="W107" s="101" t="n"/>
      <c r="X107" s="101" t="n"/>
      <c r="Y107" s="101" t="n"/>
    </row>
    <row r="108">
      <c r="D108" s="101" t="n"/>
      <c r="E108" s="101" t="n"/>
      <c r="F108" s="101" t="n"/>
      <c r="G108" s="101" t="n"/>
      <c r="H108" s="101" t="n"/>
      <c r="I108" s="101" t="n"/>
      <c r="J108" s="101" t="n"/>
      <c r="K108" s="101" t="n"/>
      <c r="L108" s="101" t="n"/>
      <c r="M108" s="101" t="n"/>
      <c r="N108" s="101" t="n"/>
      <c r="O108" s="101" t="n"/>
      <c r="P108" s="101" t="n"/>
      <c r="Q108" s="101" t="n"/>
      <c r="R108" s="101" t="n"/>
      <c r="S108" s="101" t="n"/>
      <c r="T108" s="101" t="n"/>
      <c r="U108" s="101" t="n"/>
      <c r="V108" s="101" t="n"/>
      <c r="W108" s="101" t="n"/>
      <c r="X108" s="101" t="n"/>
      <c r="Y108" s="101" t="n"/>
    </row>
    <row r="109">
      <c r="D109" s="101" t="n"/>
      <c r="E109" s="101" t="n"/>
      <c r="F109" s="101" t="n"/>
      <c r="G109" s="101" t="n"/>
      <c r="H109" s="101" t="n"/>
      <c r="I109" s="101" t="n"/>
      <c r="J109" s="101" t="n"/>
      <c r="K109" s="101" t="n"/>
      <c r="L109" s="101" t="n"/>
      <c r="M109" s="101" t="n"/>
      <c r="N109" s="101" t="n"/>
      <c r="O109" s="101" t="n"/>
      <c r="P109" s="101" t="n"/>
      <c r="Q109" s="101" t="n"/>
      <c r="R109" s="101" t="n"/>
      <c r="S109" s="101" t="n"/>
      <c r="T109" s="101" t="n"/>
      <c r="U109" s="101" t="n"/>
      <c r="V109" s="101" t="n"/>
      <c r="W109" s="101" t="n"/>
      <c r="X109" s="101" t="n"/>
      <c r="Y109" s="101" t="n"/>
    </row>
    <row r="110">
      <c r="D110" s="101" t="n"/>
      <c r="E110" s="101" t="n"/>
      <c r="F110" s="101" t="n"/>
      <c r="G110" s="101" t="n"/>
      <c r="H110" s="101" t="n"/>
      <c r="I110" s="101" t="n"/>
      <c r="J110" s="101" t="n"/>
      <c r="K110" s="101" t="n"/>
      <c r="L110" s="101" t="n"/>
      <c r="M110" s="101" t="n"/>
      <c r="N110" s="101" t="n"/>
      <c r="O110" s="101" t="n"/>
      <c r="P110" s="101" t="n"/>
      <c r="Q110" s="101" t="n"/>
      <c r="R110" s="101" t="n"/>
      <c r="S110" s="101" t="n"/>
      <c r="T110" s="101" t="n"/>
      <c r="U110" s="101" t="n"/>
      <c r="V110" s="101" t="n"/>
      <c r="W110" s="101" t="n"/>
      <c r="X110" s="101" t="n"/>
      <c r="Y110" s="101" t="n"/>
    </row>
    <row r="111">
      <c r="D111" s="101" t="n"/>
      <c r="E111" s="101" t="n"/>
      <c r="F111" s="101" t="n"/>
      <c r="G111" s="101" t="n"/>
      <c r="H111" s="101" t="n"/>
      <c r="I111" s="101" t="n"/>
      <c r="J111" s="101" t="n"/>
      <c r="K111" s="101" t="n"/>
      <c r="L111" s="101" t="n"/>
      <c r="M111" s="101" t="n"/>
      <c r="N111" s="101" t="n"/>
      <c r="O111" s="101" t="n"/>
      <c r="P111" s="101" t="n"/>
      <c r="Q111" s="101" t="n"/>
      <c r="R111" s="101" t="n"/>
      <c r="S111" s="101" t="n"/>
      <c r="T111" s="101" t="n"/>
      <c r="U111" s="101" t="n"/>
      <c r="V111" s="101" t="n"/>
      <c r="W111" s="101" t="n"/>
      <c r="X111" s="101" t="n"/>
      <c r="Y111" s="101" t="n"/>
    </row>
    <row r="112">
      <c r="D112" s="101" t="n"/>
      <c r="E112" s="101" t="n"/>
      <c r="F112" s="101" t="n"/>
      <c r="G112" s="101" t="n"/>
      <c r="H112" s="101" t="n"/>
      <c r="I112" s="101" t="n"/>
      <c r="J112" s="101" t="n"/>
      <c r="K112" s="101" t="n"/>
      <c r="L112" s="101" t="n"/>
      <c r="M112" s="101" t="n"/>
      <c r="N112" s="101" t="n"/>
      <c r="O112" s="101" t="n"/>
      <c r="P112" s="101" t="n"/>
      <c r="Q112" s="101" t="n"/>
      <c r="R112" s="101" t="n"/>
      <c r="S112" s="101" t="n"/>
      <c r="T112" s="101" t="n"/>
      <c r="U112" s="101" t="n"/>
      <c r="V112" s="101" t="n"/>
      <c r="W112" s="101" t="n"/>
      <c r="X112" s="101" t="n"/>
      <c r="Y112" s="101" t="n"/>
    </row>
    <row r="113">
      <c r="D113" s="101" t="n"/>
      <c r="E113" s="101" t="n"/>
      <c r="F113" s="101" t="n"/>
      <c r="G113" s="101" t="n"/>
      <c r="H113" s="101" t="n"/>
      <c r="I113" s="101" t="n"/>
      <c r="J113" s="101" t="n"/>
      <c r="K113" s="101" t="n"/>
      <c r="L113" s="101" t="n"/>
      <c r="M113" s="101" t="n"/>
      <c r="N113" s="101" t="n"/>
      <c r="O113" s="101" t="n"/>
      <c r="P113" s="101" t="n"/>
      <c r="Q113" s="101" t="n"/>
      <c r="R113" s="101" t="n"/>
      <c r="S113" s="101" t="n"/>
      <c r="T113" s="101" t="n"/>
      <c r="U113" s="101" t="n"/>
      <c r="V113" s="101" t="n"/>
      <c r="W113" s="101" t="n"/>
      <c r="X113" s="101" t="n"/>
      <c r="Y113" s="101" t="n"/>
    </row>
    <row r="114">
      <c r="D114" s="101" t="n"/>
      <c r="E114" s="101" t="n"/>
      <c r="F114" s="101" t="n"/>
      <c r="G114" s="101" t="n"/>
      <c r="H114" s="101" t="n"/>
      <c r="I114" s="101" t="n"/>
      <c r="J114" s="101" t="n"/>
      <c r="K114" s="101" t="n"/>
      <c r="L114" s="101" t="n"/>
      <c r="M114" s="101" t="n"/>
      <c r="N114" s="101" t="n"/>
      <c r="O114" s="101" t="n"/>
      <c r="P114" s="101" t="n"/>
      <c r="Q114" s="101" t="n"/>
      <c r="R114" s="101" t="n"/>
      <c r="S114" s="101" t="n"/>
      <c r="T114" s="101" t="n"/>
      <c r="U114" s="101" t="n"/>
      <c r="V114" s="101" t="n"/>
      <c r="W114" s="101" t="n"/>
      <c r="X114" s="101" t="n"/>
      <c r="Y114" s="101" t="n"/>
    </row>
    <row r="115">
      <c r="D115" s="101" t="n"/>
      <c r="E115" s="101" t="n"/>
      <c r="F115" s="101" t="n"/>
      <c r="G115" s="101" t="n"/>
      <c r="H115" s="101" t="n"/>
      <c r="I115" s="101" t="n"/>
      <c r="J115" s="101" t="n"/>
      <c r="K115" s="101" t="n"/>
      <c r="L115" s="101" t="n"/>
      <c r="M115" s="101" t="n"/>
      <c r="N115" s="101" t="n"/>
      <c r="O115" s="101" t="n"/>
      <c r="P115" s="101" t="n"/>
      <c r="Q115" s="101" t="n"/>
      <c r="R115" s="101" t="n"/>
      <c r="S115" s="101" t="n"/>
      <c r="T115" s="101" t="n"/>
      <c r="U115" s="101" t="n"/>
      <c r="V115" s="101" t="n"/>
      <c r="W115" s="101" t="n"/>
      <c r="X115" s="101" t="n"/>
      <c r="Y115" s="101" t="n"/>
    </row>
  </sheetData>
  <mergeCells count="126">
    <mergeCell ref="P52:R52"/>
    <mergeCell ref="D11:F11"/>
    <mergeCell ref="P49:R49"/>
    <mergeCell ref="P27:R27"/>
    <mergeCell ref="P36:R36"/>
    <mergeCell ref="D66:F66"/>
    <mergeCell ref="P17:R17"/>
    <mergeCell ref="D53:F53"/>
    <mergeCell ref="D47:F47"/>
    <mergeCell ref="D28:F28"/>
    <mergeCell ref="D37:F37"/>
    <mergeCell ref="P19:R19"/>
    <mergeCell ref="P28:R28"/>
    <mergeCell ref="D12:F12"/>
    <mergeCell ref="P37:R37"/>
    <mergeCell ref="D9:F9"/>
    <mergeCell ref="D30:F30"/>
    <mergeCell ref="P12:R12"/>
    <mergeCell ref="D39:F39"/>
    <mergeCell ref="P30:R30"/>
    <mergeCell ref="D14:F14"/>
    <mergeCell ref="D29:F29"/>
    <mergeCell ref="D23:F23"/>
    <mergeCell ref="P5:R5"/>
    <mergeCell ref="P62:R62"/>
    <mergeCell ref="P14:R14"/>
    <mergeCell ref="P38:R38"/>
    <mergeCell ref="P40:R40"/>
    <mergeCell ref="D57:F57"/>
    <mergeCell ref="D27:F27"/>
    <mergeCell ref="P65:R65"/>
    <mergeCell ref="D41:F41"/>
    <mergeCell ref="D17:F17"/>
    <mergeCell ref="P67:R67"/>
    <mergeCell ref="D43:F43"/>
    <mergeCell ref="P16:R16"/>
    <mergeCell ref="P57:R57"/>
    <mergeCell ref="P66:R66"/>
    <mergeCell ref="P18:R18"/>
    <mergeCell ref="P53:R53"/>
    <mergeCell ref="D68:F68"/>
    <mergeCell ref="D25:F25"/>
    <mergeCell ref="P68:R68"/>
    <mergeCell ref="D67:F67"/>
    <mergeCell ref="D5:F5"/>
    <mergeCell ref="P45:R45"/>
    <mergeCell ref="D60:F60"/>
    <mergeCell ref="D69:F69"/>
    <mergeCell ref="P20:R20"/>
    <mergeCell ref="P29:R29"/>
    <mergeCell ref="D31:F31"/>
    <mergeCell ref="D46:F46"/>
    <mergeCell ref="P44:R44"/>
    <mergeCell ref="D40:F40"/>
    <mergeCell ref="P22:R22"/>
    <mergeCell ref="P31:R31"/>
    <mergeCell ref="D21:F21"/>
    <mergeCell ref="P6:R6"/>
    <mergeCell ref="P21:R21"/>
    <mergeCell ref="P8:R8"/>
    <mergeCell ref="D32:F32"/>
    <mergeCell ref="P70:R70"/>
    <mergeCell ref="P48:R48"/>
    <mergeCell ref="P23:R23"/>
    <mergeCell ref="D7:F7"/>
    <mergeCell ref="D16:F16"/>
    <mergeCell ref="P7:R7"/>
    <mergeCell ref="D18:F18"/>
    <mergeCell ref="D58:F58"/>
    <mergeCell ref="P43:R43"/>
    <mergeCell ref="D8:F8"/>
    <mergeCell ref="D33:F33"/>
    <mergeCell ref="D42:F42"/>
    <mergeCell ref="D51:F51"/>
    <mergeCell ref="P33:R33"/>
    <mergeCell ref="P42:R42"/>
    <mergeCell ref="D35:F35"/>
    <mergeCell ref="D50:F50"/>
    <mergeCell ref="D44:F44"/>
    <mergeCell ref="D59:F59"/>
    <mergeCell ref="P35:R35"/>
    <mergeCell ref="D20:F20"/>
    <mergeCell ref="D34:F34"/>
    <mergeCell ref="P25:R25"/>
    <mergeCell ref="D22:F22"/>
    <mergeCell ref="P60:R60"/>
    <mergeCell ref="D36:F36"/>
    <mergeCell ref="P9:R9"/>
    <mergeCell ref="P69:R69"/>
    <mergeCell ref="D45:F45"/>
    <mergeCell ref="D6:F6"/>
    <mergeCell ref="P59:R59"/>
    <mergeCell ref="D13:F13"/>
    <mergeCell ref="P11:R11"/>
    <mergeCell ref="P46:R46"/>
    <mergeCell ref="D61:F61"/>
    <mergeCell ref="D70:F70"/>
    <mergeCell ref="D48:F48"/>
    <mergeCell ref="P61:R61"/>
    <mergeCell ref="P39:R39"/>
    <mergeCell ref="P32:R32"/>
    <mergeCell ref="D62:F62"/>
    <mergeCell ref="P13:R13"/>
    <mergeCell ref="P47:R47"/>
    <mergeCell ref="D15:F15"/>
    <mergeCell ref="D24:F24"/>
    <mergeCell ref="D64:F64"/>
    <mergeCell ref="D38:F38"/>
    <mergeCell ref="P15:R15"/>
    <mergeCell ref="P24:R24"/>
    <mergeCell ref="P58:R58"/>
    <mergeCell ref="D26:F26"/>
    <mergeCell ref="P64:R64"/>
    <mergeCell ref="P51:R51"/>
    <mergeCell ref="P26:R26"/>
    <mergeCell ref="D63:F63"/>
    <mergeCell ref="D10:F10"/>
    <mergeCell ref="D19:F19"/>
    <mergeCell ref="P63:R63"/>
    <mergeCell ref="P10:R10"/>
    <mergeCell ref="P41:R41"/>
    <mergeCell ref="P50:R50"/>
    <mergeCell ref="D65:F65"/>
    <mergeCell ref="D52:F52"/>
    <mergeCell ref="P34:R34"/>
    <mergeCell ref="D49:F4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4" customWidth="1" style="39" min="1" max="1"/>
    <col width="8" customWidth="1" style="39" min="2" max="2"/>
    <col width="30" customWidth="1" style="39" min="3" max="3"/>
  </cols>
  <sheetData>
    <row r="1" ht="15" customHeight="1" s="40">
      <c r="A1" s="42" t="inlineStr">
        <is>
          <t>Data</t>
        </is>
      </c>
      <c r="B1" s="42" t="inlineStr">
        <is>
          <t>Codice</t>
        </is>
      </c>
      <c r="C1" s="42" t="inlineStr">
        <is>
          <t>Specie</t>
        </is>
      </c>
    </row>
    <row r="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5" customWidth="1" style="40" min="1" max="1"/>
    <col width="8.710000000000001" customWidth="1" style="40" min="6" max="6"/>
  </cols>
  <sheetData>
    <row r="1">
      <c r="A1" s="74" t="inlineStr">
        <is>
          <t>Valori di Riferimento delle Concentrazioni Polliniche</t>
        </is>
      </c>
    </row>
    <row r="2">
      <c r="A2" s="75" t="inlineStr">
        <is>
          <t>Famiglie Polliniche</t>
        </is>
      </c>
      <c r="B2" s="75" t="inlineStr">
        <is>
          <t>Assente</t>
        </is>
      </c>
      <c r="C2" s="75" t="inlineStr">
        <is>
          <t>Bassa</t>
        </is>
      </c>
      <c r="D2" s="75" t="inlineStr">
        <is>
          <t>Media</t>
        </is>
      </c>
      <c r="E2" s="75" t="inlineStr">
        <is>
          <t>Alta</t>
        </is>
      </c>
    </row>
    <row r="3">
      <c r="A3" s="75" t="inlineStr">
        <is>
          <t>Betulaceae</t>
        </is>
      </c>
      <c r="B3" s="76" t="inlineStr">
        <is>
          <t>0 - 0,5</t>
        </is>
      </c>
      <c r="C3" s="77" t="inlineStr">
        <is>
          <t>0,6 - 15,9</t>
        </is>
      </c>
      <c r="D3" s="78" t="inlineStr">
        <is>
          <t>16 - 49,9</t>
        </is>
      </c>
      <c r="E3" s="79" t="inlineStr">
        <is>
          <t>&gt; 50</t>
        </is>
      </c>
    </row>
    <row r="4">
      <c r="A4" s="75" t="inlineStr">
        <is>
          <t>Composite</t>
        </is>
      </c>
      <c r="B4" s="76" t="inlineStr">
        <is>
          <t>0 – 0</t>
        </is>
      </c>
      <c r="C4" s="77" t="inlineStr">
        <is>
          <t>0,1 – 4,9</t>
        </is>
      </c>
      <c r="D4" s="78" t="inlineStr">
        <is>
          <t>5 – 24,9</t>
        </is>
      </c>
      <c r="E4" s="79" t="inlineStr">
        <is>
          <t>&gt;25</t>
        </is>
      </c>
    </row>
    <row r="5">
      <c r="A5" s="75" t="inlineStr">
        <is>
          <t>Corilacee</t>
        </is>
      </c>
      <c r="B5" s="76" t="inlineStr">
        <is>
          <t>0 – 0,5</t>
        </is>
      </c>
      <c r="C5" s="77" t="inlineStr">
        <is>
          <t>0,6 – 15,9</t>
        </is>
      </c>
      <c r="D5" s="78" t="inlineStr">
        <is>
          <t>16 - 49,9</t>
        </is>
      </c>
      <c r="E5" s="79" t="inlineStr">
        <is>
          <t>&gt; 50</t>
        </is>
      </c>
    </row>
    <row r="6">
      <c r="A6" s="75" t="inlineStr">
        <is>
          <t>Fagaceae</t>
        </is>
      </c>
      <c r="B6" s="76" t="inlineStr">
        <is>
          <t>0 – 0,9</t>
        </is>
      </c>
      <c r="C6" s="77" t="inlineStr">
        <is>
          <t>1 – 19,9</t>
        </is>
      </c>
      <c r="D6" s="78" t="inlineStr">
        <is>
          <t>20 – 39,9</t>
        </is>
      </c>
      <c r="E6" s="79" t="inlineStr">
        <is>
          <t>&gt; 40</t>
        </is>
      </c>
    </row>
    <row r="7">
      <c r="A7" s="75" t="inlineStr">
        <is>
          <t>Graminaceae</t>
        </is>
      </c>
      <c r="B7" s="76" t="inlineStr">
        <is>
          <t>0 - 0,5</t>
        </is>
      </c>
      <c r="C7" s="77" t="inlineStr">
        <is>
          <t>0,6 - 9,9</t>
        </is>
      </c>
      <c r="D7" s="78" t="inlineStr">
        <is>
          <t>10 - 29,9</t>
        </is>
      </c>
      <c r="E7" s="79" t="inlineStr">
        <is>
          <t>&gt; 30</t>
        </is>
      </c>
    </row>
    <row r="8">
      <c r="A8" s="75" t="inlineStr">
        <is>
          <t>Oleaceae</t>
        </is>
      </c>
      <c r="B8" s="76" t="inlineStr">
        <is>
          <t>0 - 0,5</t>
        </is>
      </c>
      <c r="C8" s="77" t="inlineStr">
        <is>
          <t>0,6 - 4,9</t>
        </is>
      </c>
      <c r="D8" s="78" t="inlineStr">
        <is>
          <t>5 - 24,9</t>
        </is>
      </c>
      <c r="E8" s="79" t="inlineStr">
        <is>
          <t>&gt; 25</t>
        </is>
      </c>
    </row>
    <row r="9">
      <c r="A9" s="75" t="inlineStr">
        <is>
          <t>Plantaginaceae</t>
        </is>
      </c>
      <c r="B9" s="76" t="inlineStr">
        <is>
          <t>0 – 0</t>
        </is>
      </c>
      <c r="C9" s="77" t="inlineStr">
        <is>
          <t>0,1 – 0,4</t>
        </is>
      </c>
      <c r="D9" s="78" t="inlineStr">
        <is>
          <t>0,5 – 1,9</t>
        </is>
      </c>
      <c r="E9" s="79" t="inlineStr">
        <is>
          <t>&gt; 2,0</t>
        </is>
      </c>
    </row>
    <row r="10">
      <c r="A10" s="75" t="inlineStr">
        <is>
          <t>Urticaceae</t>
        </is>
      </c>
      <c r="B10" s="76" t="inlineStr">
        <is>
          <t>0 - 1,9</t>
        </is>
      </c>
      <c r="C10" s="77" t="inlineStr">
        <is>
          <t>2 - 19,9</t>
        </is>
      </c>
      <c r="D10" s="78" t="inlineStr">
        <is>
          <t>20 - 69,9</t>
        </is>
      </c>
      <c r="E10" s="79" t="inlineStr">
        <is>
          <t>&gt; 70</t>
        </is>
      </c>
    </row>
    <row r="11">
      <c r="A11" s="75" t="inlineStr">
        <is>
          <t>Cupressaceae + Taxaceae</t>
        </is>
      </c>
      <c r="B11" s="76" t="inlineStr">
        <is>
          <t>0 – 3,9</t>
        </is>
      </c>
      <c r="C11" s="77" t="inlineStr">
        <is>
          <t>4 – 29,9</t>
        </is>
      </c>
      <c r="D11" s="78" t="inlineStr">
        <is>
          <t>30 – 89,9</t>
        </is>
      </c>
      <c r="E11" s="79" t="inlineStr">
        <is>
          <t>&gt; 90</t>
        </is>
      </c>
    </row>
    <row r="12">
      <c r="A12" s="75" t="inlineStr">
        <is>
          <t>Cheno-Amarantaceae</t>
        </is>
      </c>
      <c r="B12" s="76" t="inlineStr">
        <is>
          <t>0 -0</t>
        </is>
      </c>
      <c r="C12" s="77" t="inlineStr">
        <is>
          <t>0,1 – 4,9</t>
        </is>
      </c>
      <c r="D12" s="78" t="inlineStr">
        <is>
          <t>5 – 24,9</t>
        </is>
      </c>
      <c r="E12" s="79" t="inlineStr">
        <is>
          <t>&gt; 25</t>
        </is>
      </c>
    </row>
    <row r="13">
      <c r="A13" s="75" t="inlineStr">
        <is>
          <t>Ulmaceae</t>
        </is>
      </c>
      <c r="B13" s="76" t="inlineStr">
        <is>
          <t>0 - 0,9</t>
        </is>
      </c>
      <c r="C13" s="77" t="inlineStr">
        <is>
          <t>1 - 19,9</t>
        </is>
      </c>
      <c r="D13" s="78" t="inlineStr">
        <is>
          <t>20 - 39,9</t>
        </is>
      </c>
      <c r="E13" s="79" t="inlineStr">
        <is>
          <t>&gt; 40</t>
        </is>
      </c>
    </row>
    <row r="14">
      <c r="A14" s="75" t="inlineStr">
        <is>
          <t>Platanaceae</t>
        </is>
      </c>
      <c r="B14" s="76" t="inlineStr">
        <is>
          <t>0 - 0,9</t>
        </is>
      </c>
      <c r="C14" s="77" t="inlineStr">
        <is>
          <t>1 - 19,9</t>
        </is>
      </c>
      <c r="D14" s="78" t="inlineStr">
        <is>
          <t>20 - 39,9</t>
        </is>
      </c>
      <c r="E14" s="79" t="inlineStr">
        <is>
          <t>&gt; 40</t>
        </is>
      </c>
    </row>
    <row r="15">
      <c r="A15" s="75" t="inlineStr">
        <is>
          <t>Aceracee</t>
        </is>
      </c>
      <c r="B15" s="76" t="inlineStr">
        <is>
          <t>0 - 0,9</t>
        </is>
      </c>
      <c r="C15" s="77" t="inlineStr">
        <is>
          <t>1 - 19,9</t>
        </is>
      </c>
      <c r="D15" s="78" t="inlineStr">
        <is>
          <t>20 - 39,9</t>
        </is>
      </c>
      <c r="E15" s="79" t="inlineStr">
        <is>
          <t>&gt; 40</t>
        </is>
      </c>
    </row>
    <row r="16">
      <c r="A16" s="75" t="inlineStr">
        <is>
          <t>Pinaceae</t>
        </is>
      </c>
      <c r="B16" s="76" t="inlineStr">
        <is>
          <t>0 - 0,9</t>
        </is>
      </c>
      <c r="C16" s="77" t="inlineStr">
        <is>
          <t>0,9 – 14,9</t>
        </is>
      </c>
      <c r="D16" s="78" t="inlineStr">
        <is>
          <t xml:space="preserve">15 – 49.9 </t>
        </is>
      </c>
      <c r="E16" s="79" t="inlineStr">
        <is>
          <t>&gt; 50</t>
        </is>
      </c>
    </row>
    <row r="17">
      <c r="A17" s="75" t="inlineStr">
        <is>
          <t>Salicaceae</t>
        </is>
      </c>
      <c r="B17" s="76" t="inlineStr">
        <is>
          <t>0 - 0,9</t>
        </is>
      </c>
      <c r="C17" s="77" t="inlineStr">
        <is>
          <t>1 - 19,9</t>
        </is>
      </c>
      <c r="D17" s="78" t="inlineStr">
        <is>
          <t>20 - 39,9</t>
        </is>
      </c>
      <c r="E17" s="79" t="inlineStr">
        <is>
          <t>&gt; 40</t>
        </is>
      </c>
    </row>
    <row r="18">
      <c r="A18" s="75" t="inlineStr">
        <is>
          <t>Spore Fungine</t>
        </is>
      </c>
      <c r="B18" s="75" t="inlineStr">
        <is>
          <t>Assente</t>
        </is>
      </c>
      <c r="C18" s="75" t="inlineStr">
        <is>
          <t>Bassa</t>
        </is>
      </c>
      <c r="D18" s="75" t="inlineStr">
        <is>
          <t>Media</t>
        </is>
      </c>
      <c r="E18" s="75" t="inlineStr">
        <is>
          <t>Alta</t>
        </is>
      </c>
    </row>
    <row r="19">
      <c r="A19" s="75" t="inlineStr">
        <is>
          <t>Alternaria</t>
        </is>
      </c>
      <c r="B19" s="76" t="inlineStr">
        <is>
          <t>0 – 1</t>
        </is>
      </c>
      <c r="C19" s="77" t="inlineStr">
        <is>
          <t>2 – 19</t>
        </is>
      </c>
      <c r="D19" s="78" t="inlineStr">
        <is>
          <t>20 – 100</t>
        </is>
      </c>
      <c r="E19" s="79" t="inlineStr">
        <is>
          <t>&gt; 100</t>
        </is>
      </c>
    </row>
    <row r="20">
      <c r="A20" s="75" t="inlineStr">
        <is>
          <t>Cladosporium</t>
        </is>
      </c>
      <c r="B20" s="76" t="inlineStr">
        <is>
          <t>&lt; 100</t>
        </is>
      </c>
      <c r="C20" s="77" t="inlineStr">
        <is>
          <t>101 - 499</t>
        </is>
      </c>
      <c r="D20" s="78" t="inlineStr">
        <is>
          <t>499 - 1000</t>
        </is>
      </c>
      <c r="E20" s="79" t="inlineStr">
        <is>
          <t>&gt; 1000</t>
        </is>
      </c>
    </row>
    <row r="21">
      <c r="A21" s="80" t="n"/>
      <c r="B21" s="80" t="n"/>
      <c r="C21" s="80" t="n"/>
      <c r="D21" s="80" t="n"/>
      <c r="E21" s="80" t="n"/>
    </row>
    <row r="22">
      <c r="A22" s="80" t="n"/>
      <c r="B22" s="80" t="n"/>
      <c r="C22" s="80" t="n"/>
      <c r="D22" s="80" t="n"/>
      <c r="E22" s="80" t="n"/>
    </row>
    <row r="23">
      <c r="A23" s="80" t="n"/>
      <c r="B23" s="80" t="n"/>
      <c r="C23" s="80" t="n"/>
      <c r="D23" s="80" t="n"/>
      <c r="E23" s="80" t="n"/>
    </row>
    <row r="24">
      <c r="A24" s="75" t="inlineStr">
        <is>
          <t>Legenda</t>
        </is>
      </c>
      <c r="B24" s="75" t="inlineStr">
        <is>
          <t>Famiglie polliniche</t>
        </is>
      </c>
      <c r="C24" s="75" t="inlineStr">
        <is>
          <t>Input da cui prendere ed eventualmente sommare se tabella risultante inferiore a 5 voci</t>
        </is>
      </c>
      <c r="D24" s="80" t="n"/>
      <c r="E24" s="80" t="n"/>
    </row>
    <row r="25">
      <c r="A25" s="80" t="n"/>
      <c r="B25" s="75" t="inlineStr">
        <is>
          <t>Betulaceae</t>
        </is>
      </c>
      <c r="C25" s="75" t="inlineStr">
        <is>
          <t>Betula, Alnus</t>
        </is>
      </c>
      <c r="D25" s="80" t="n"/>
      <c r="E25" s="80" t="n"/>
    </row>
    <row r="26">
      <c r="A26" s="80" t="n"/>
      <c r="B26" s="75" t="inlineStr">
        <is>
          <t>Composite</t>
        </is>
      </c>
      <c r="C26" s="75" t="inlineStr">
        <is>
          <t>Artemisia, Ambrosia Altre compositae, compositae</t>
        </is>
      </c>
      <c r="D26" s="80" t="n"/>
      <c r="E26" s="80" t="n"/>
    </row>
    <row r="27">
      <c r="A27" s="80" t="n"/>
      <c r="B27" s="75" t="inlineStr">
        <is>
          <t>Corilacee</t>
        </is>
      </c>
      <c r="C27" s="75" t="inlineStr">
        <is>
          <t>CORYLACEAE, Carpinus/ostyra, Carpinus, Ostyra carpinifolia</t>
        </is>
      </c>
      <c r="D27" s="80" t="n"/>
      <c r="E27" s="80" t="n"/>
    </row>
    <row r="28">
      <c r="A28" s="80" t="n"/>
      <c r="B28" s="75" t="inlineStr">
        <is>
          <t>Fagaceae</t>
        </is>
      </c>
      <c r="C28" s="75" t="inlineStr">
        <is>
          <t>FAGACEAE, Fagus sylvatica, quercus, castanea sativa</t>
        </is>
      </c>
      <c r="D28" s="80" t="n"/>
      <c r="E28" s="80" t="n"/>
    </row>
    <row r="29">
      <c r="A29" s="80" t="n"/>
      <c r="B29" s="75" t="inlineStr">
        <is>
          <t>Graminaceae</t>
        </is>
      </c>
      <c r="C29" s="75" t="inlineStr">
        <is>
          <t>Gramineae</t>
        </is>
      </c>
      <c r="D29" s="80" t="n"/>
      <c r="E29" s="80" t="n"/>
    </row>
    <row r="30">
      <c r="A30" s="80" t="n"/>
      <c r="B30" s="75" t="inlineStr">
        <is>
          <t>Oleaceae</t>
        </is>
      </c>
      <c r="C30" s="75" t="inlineStr">
        <is>
          <t>Olea, ligustrum fraxinus, OLEACEA, Altre oleaceae</t>
        </is>
      </c>
      <c r="D30" s="80" t="n"/>
      <c r="E30" s="80" t="n"/>
    </row>
    <row r="31">
      <c r="A31" s="80" t="n"/>
      <c r="B31" s="75" t="inlineStr">
        <is>
          <t>Plantaginaceae</t>
        </is>
      </c>
      <c r="C31" s="75" t="inlineStr">
        <is>
          <t>Plantaginaceae</t>
        </is>
      </c>
      <c r="D31" s="80" t="n"/>
      <c r="E31" s="80" t="n"/>
    </row>
    <row r="32">
      <c r="A32" s="80" t="n"/>
      <c r="B32" s="75" t="inlineStr">
        <is>
          <t>Urticaceae</t>
        </is>
      </c>
      <c r="C32" s="75" t="inlineStr">
        <is>
          <t>Urticaceae</t>
        </is>
      </c>
      <c r="D32" s="80" t="n"/>
      <c r="E32" s="80" t="n"/>
    </row>
    <row r="33">
      <c r="A33" s="80" t="n"/>
      <c r="B33" s="75" t="inlineStr">
        <is>
          <t>Cupressaceae + Taxaceae</t>
        </is>
      </c>
      <c r="C33" s="75" t="inlineStr">
        <is>
          <t>CUP-TAXACEAE</t>
        </is>
      </c>
      <c r="D33" s="80" t="n"/>
      <c r="E33" s="80" t="n"/>
    </row>
    <row r="34">
      <c r="A34" s="80" t="n"/>
      <c r="B34" s="75" t="inlineStr">
        <is>
          <t>Cheno-Amarantaceae</t>
        </is>
      </c>
      <c r="C34" s="80" t="n"/>
      <c r="D34" s="80" t="n"/>
      <c r="E34" s="80" t="n"/>
    </row>
    <row r="35">
      <c r="A35" s="80" t="n"/>
      <c r="B35" s="75" t="inlineStr">
        <is>
          <t>Ulmaceae</t>
        </is>
      </c>
      <c r="C35" s="75" t="inlineStr">
        <is>
          <t>ULMACEAE</t>
        </is>
      </c>
      <c r="D35" s="80" t="n"/>
      <c r="E35" s="80" t="n"/>
    </row>
    <row r="36">
      <c r="A36" s="80" t="n"/>
      <c r="B36" s="75" t="inlineStr">
        <is>
          <t>Platanaceae</t>
        </is>
      </c>
      <c r="C36" s="75" t="inlineStr">
        <is>
          <t>Platanaceae</t>
        </is>
      </c>
      <c r="D36" s="80" t="n"/>
      <c r="E36" s="80" t="n"/>
    </row>
    <row r="37">
      <c r="A37" s="80" t="n"/>
      <c r="B37" s="75" t="inlineStr">
        <is>
          <t>Aceracee</t>
        </is>
      </c>
      <c r="C37" s="75" t="inlineStr">
        <is>
          <t>ACERACEAE</t>
        </is>
      </c>
      <c r="D37" s="80" t="n"/>
      <c r="E37" s="80" t="n"/>
    </row>
    <row r="38">
      <c r="A38" s="80" t="n"/>
      <c r="B38" s="75" t="inlineStr">
        <is>
          <t>Pinaceae</t>
        </is>
      </c>
      <c r="C38" s="75" t="inlineStr">
        <is>
          <t>Pinaceae</t>
        </is>
      </c>
      <c r="D38" s="80" t="n"/>
      <c r="E38" s="80" t="n"/>
    </row>
    <row r="39">
      <c r="A39" s="80" t="n"/>
      <c r="B39" s="75" t="inlineStr">
        <is>
          <t>Salicaceae</t>
        </is>
      </c>
      <c r="C39" s="75" t="inlineStr">
        <is>
          <t>Populus, Salix, SALICACEAE</t>
        </is>
      </c>
      <c r="D39" s="80" t="n"/>
      <c r="E39" s="80" t="n"/>
    </row>
    <row r="40">
      <c r="A40" s="80" t="n"/>
      <c r="B40" s="75" t="inlineStr">
        <is>
          <t>Spore Fungine</t>
        </is>
      </c>
      <c r="C40" s="75" t="n"/>
      <c r="D40" s="80" t="n"/>
      <c r="E40" s="80" t="n"/>
    </row>
    <row r="41">
      <c r="A41" s="80" t="n"/>
      <c r="B41" s="75" t="inlineStr">
        <is>
          <t>Alternaria</t>
        </is>
      </c>
      <c r="C41" s="75" t="inlineStr">
        <is>
          <t>Alternaria</t>
        </is>
      </c>
      <c r="D41" s="80" t="n"/>
      <c r="E41" s="80" t="n"/>
    </row>
    <row r="42">
      <c r="A42" s="80" t="n"/>
      <c r="B42" s="75" t="inlineStr">
        <is>
          <t>Cladosporium</t>
        </is>
      </c>
      <c r="C42" s="75" t="inlineStr">
        <is>
          <t>Cladosposrium</t>
        </is>
      </c>
      <c r="D42" s="80" t="n"/>
      <c r="E42" s="80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it-IT</dc:language>
  <dcterms:created xmlns:dcterms="http://purl.org/dc/terms/" xmlns:xsi="http://www.w3.org/2001/XMLSchema-instance" xsi:type="dcterms:W3CDTF">2026-02-10T16:05:20Z</dcterms:created>
  <dcterms:modified xmlns:dcterms="http://purl.org/dc/terms/" xmlns:xsi="http://www.w3.org/2001/XMLSchema-instance" xsi:type="dcterms:W3CDTF">2026-03-05T08:28:59Z</dcterms:modified>
  <cp:lastModifiedBy>Simone Bettella</cp:lastModifiedBy>
  <cp:revision>2</cp:revision>
</cp:coreProperties>
</file>