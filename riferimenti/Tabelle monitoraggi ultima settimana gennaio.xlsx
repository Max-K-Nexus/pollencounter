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0.xml.rels" ContentType="application/vnd.openxmlformats-package.relationships+xml"/>
  <Override PartName="/xl/worksheets/_rels/sheet15.xml.rels" ContentType="application/vnd.openxmlformats-package.relationships+xml"/>
  <Override PartName="/xl/worksheets/_rels/sheet81.xml.rels" ContentType="application/vnd.openxmlformats-package.relationships+xml"/>
  <Override PartName="/xl/worksheets/_rels/sheet16.xml.rels" ContentType="application/vnd.openxmlformats-package.relationships+xml"/>
  <Override PartName="/xl/worksheets/_rels/sheet82.xml.rels" ContentType="application/vnd.openxmlformats-package.relationships+xml"/>
  <Override PartName="/xl/worksheets/_rels/sheet17.xml.rels" ContentType="application/vnd.openxmlformats-package.relationships+xml"/>
  <Override PartName="/xl/worksheets/_rels/sheet83.xml.rels" ContentType="application/vnd.openxmlformats-package.relationships+xml"/>
  <Override PartName="/xl/worksheets/_rels/sheet18.xml.rels" ContentType="application/vnd.openxmlformats-package.relationships+xml"/>
  <Override PartName="/xl/worksheets/_rels/sheet57.xml.rels" ContentType="application/vnd.openxmlformats-package.relationships+xml"/>
  <Override PartName="/xl/worksheets/_rels/sheet100.xml.rels" ContentType="application/vnd.openxmlformats-package.relationships+xml"/>
  <Override PartName="/xl/worksheets/_rels/sheet58.xml.rels" ContentType="application/vnd.openxmlformats-package.relationships+xml"/>
  <Override PartName="/xl/worksheets/_rels/sheet101.xml.rels" ContentType="application/vnd.openxmlformats-package.relationships+xml"/>
  <Override PartName="/xl/worksheets/_rels/sheet59.xml.rels" ContentType="application/vnd.openxmlformats-package.relationships+xml"/>
  <Override PartName="/xl/worksheets/_rels/sheet102.xml.rels" ContentType="application/vnd.openxmlformats-package.relationships+xml"/>
  <Override PartName="/xl/worksheets/_rels/sheet25.xml.rels" ContentType="application/vnd.openxmlformats-package.relationships+xml"/>
  <Override PartName="/xl/worksheets/_rels/sheet90.xml.rels" ContentType="application/vnd.openxmlformats-package.relationships+xml"/>
  <Override PartName="/xl/worksheets/_rels/sheet26.xml.rels" ContentType="application/vnd.openxmlformats-package.relationships+xml"/>
  <Override PartName="/xl/worksheets/_rels/sheet91.xml.rels" ContentType="application/vnd.openxmlformats-package.relationships+xml"/>
  <Override PartName="/xl/worksheets/_rels/sheet27.xml.rels" ContentType="application/vnd.openxmlformats-package.relationships+xml"/>
  <Override PartName="/xl/worksheets/_rels/sheet92.xml.rels" ContentType="application/vnd.openxmlformats-package.relationships+xml"/>
  <Override PartName="/xl/worksheets/_rels/sheet93.xml.rels" ContentType="application/vnd.openxmlformats-package.relationships+xml"/>
  <Override PartName="/xl/worksheets/_rels/sheet28.xml.rels" ContentType="application/vnd.openxmlformats-package.relationships+xml"/>
  <Override PartName="/xl/worksheets/_rels/sheet94.xml.rels" ContentType="application/vnd.openxmlformats-package.relationships+xml"/>
  <Override PartName="/xl/worksheets/_rels/sheet29.xml.rels" ContentType="application/vnd.openxmlformats-package.relationships+xml"/>
  <Override PartName="/xl/worksheets/_rels/sheet79.xml.rels" ContentType="application/vnd.openxmlformats-package.relationships+xml"/>
  <Override PartName="/xl/worksheets/_rels/sheet84.xml.rels" ContentType="application/vnd.openxmlformats-package.relationships+xml"/>
  <Override PartName="/xl/worksheets/_rels/sheet19.xml.rels" ContentType="application/vnd.openxmlformats-package.relationships+xml"/>
  <Override PartName="/xl/worksheets/_rels/sheet88.xml.rels" ContentType="application/vnd.openxmlformats-package.relationships+xml"/>
  <Override PartName="/xl/worksheets/_rels/sheet89.xml.rels" ContentType="application/vnd.openxmlformats-package.relationships+xml"/>
  <Override PartName="/xl/worksheets/_rels/sheet1.xml.rels" ContentType="application/vnd.openxmlformats-package.relationships+xml"/>
  <Override PartName="/xl/worksheets/_rels/sheet66.xml.rels" ContentType="application/vnd.openxmlformats-package.relationships+xml"/>
  <Override PartName="/xl/worksheets/_rels/sheet95.xml.rels" ContentType="application/vnd.openxmlformats-package.relationships+xml"/>
  <Override PartName="/xl/worksheets/_rels/sheet2.xml.rels" ContentType="application/vnd.openxmlformats-package.relationships+xml"/>
  <Override PartName="/xl/worksheets/_rels/sheet67.xml.rels" ContentType="application/vnd.openxmlformats-package.relationships+xml"/>
  <Override PartName="/xl/worksheets/_rels/sheet96.xml.rels" ContentType="application/vnd.openxmlformats-package.relationships+xml"/>
  <Override PartName="/xl/worksheets/_rels/sheet87.xml.rels" ContentType="application/vnd.openxmlformats-package.relationships+xml"/>
  <Override PartName="/xl/worksheets/_rels/sheet62.xml.rels" ContentType="application/vnd.openxmlformats-package.relationships+xml"/>
  <Override PartName="/xl/worksheets/_rels/sheet99.xml.rels" ContentType="application/vnd.openxmlformats-package.relationships+xml"/>
  <Override PartName="/xl/worksheets/_rels/sheet64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60.xml.rels" ContentType="application/vnd.openxmlformats-package.relationships+xml"/>
  <Override PartName="/xl/worksheets/_rels/sheet97.xml.rels" ContentType="application/vnd.openxmlformats-package.relationships+xml"/>
  <Override PartName="/xl/worksheets/_rels/sheet86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32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6.xml.rels" ContentType="application/vnd.openxmlformats-package.relationships+xml"/>
  <Override PartName="/xl/worksheets/_rels/sheet63.xml.rels" ContentType="application/vnd.openxmlformats-package.relationships+xml"/>
  <Override PartName="/xl/worksheets/_rels/sheet35.xml.rels" ContentType="application/vnd.openxmlformats-package.relationships+xml"/>
  <Override PartName="/xl/worksheets/_rels/sheet36.xml.rels" ContentType="application/vnd.openxmlformats-package.relationships+xml"/>
  <Override PartName="/xl/worksheets/_rels/sheet37.xml.rels" ContentType="application/vnd.openxmlformats-package.relationships+xml"/>
  <Override PartName="/xl/worksheets/_rels/sheet38.xml.rels" ContentType="application/vnd.openxmlformats-package.relationships+xml"/>
  <Override PartName="/xl/worksheets/_rels/sheet40.xml.rels" ContentType="application/vnd.openxmlformats-package.relationships+xml"/>
  <Override PartName="/xl/worksheets/_rels/sheet77.xml.rels" ContentType="application/vnd.openxmlformats-package.relationships+xml"/>
  <Override PartName="/xl/worksheets/_rels/sheet21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53.xml.rels" ContentType="application/vnd.openxmlformats-package.relationships+xml"/>
  <Override PartName="/xl/worksheets/_rels/sheet39.xml.rels" ContentType="application/vnd.openxmlformats-package.relationships+xml"/>
  <Override PartName="/xl/worksheets/_rels/sheet41.xml.rels" ContentType="application/vnd.openxmlformats-package.relationships+xml"/>
  <Override PartName="/xl/worksheets/_rels/sheet78.xml.rels" ContentType="application/vnd.openxmlformats-package.relationships+xml"/>
  <Override PartName="/xl/worksheets/_rels/sheet52.xml.rels" ContentType="application/vnd.openxmlformats-package.relationships+xml"/>
  <Override PartName="/xl/worksheets/_rels/sheet105.xml.rels" ContentType="application/vnd.openxmlformats-package.relationships+xml"/>
  <Override PartName="/xl/worksheets/_rels/sheet51.xml.rels" ContentType="application/vnd.openxmlformats-package.relationships+xml"/>
  <Override PartName="/xl/worksheets/_rels/sheet104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50.xml.rels" ContentType="application/vnd.openxmlformats-package.relationships+xml"/>
  <Override PartName="/xl/worksheets/_rels/sheet103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.xml.rels" ContentType="application/vnd.openxmlformats-package.relationships+xml"/>
  <Override PartName="/xl/worksheets/_rels/sheet20.xml.rels" ContentType="application/vnd.openxmlformats-package.relationships+xml"/>
  <Override PartName="/xl/worksheets/_rels/sheet31.xml.rels" ContentType="application/vnd.openxmlformats-package.relationships+xml"/>
  <Override PartName="/xl/worksheets/_rels/sheet9.xml.rels" ContentType="application/vnd.openxmlformats-package.relationships+xml"/>
  <Override PartName="/xl/worksheets/_rels/sheet24.xml.rels" ContentType="application/vnd.openxmlformats-package.relationships+xml"/>
  <Override PartName="/xl/worksheets/_rels/sheet14.xml.rels" ContentType="application/vnd.openxmlformats-package.relationships+xml"/>
  <Override PartName="/xl/worksheets/_rels/sheet30.xml.rels" ContentType="application/vnd.openxmlformats-package.relationships+xml"/>
  <Override PartName="/xl/worksheets/_rels/sheet8.xml.rels" ContentType="application/vnd.openxmlformats-package.relationships+xml"/>
  <Override PartName="/xl/worksheets/_rels/sheet65.xml.rels" ContentType="application/vnd.openxmlformats-package.relationships+xml"/>
  <Override PartName="/xl/worksheets/_rels/sheet23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22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70.xml.rels" ContentType="application/vnd.openxmlformats-package.relationships+xml"/>
  <Override PartName="/xl/worksheets/_rels/sheet71.xml.rels" ContentType="application/vnd.openxmlformats-package.relationships+xml"/>
  <Override PartName="/xl/worksheets/_rels/sheet72.xml.rels" ContentType="application/vnd.openxmlformats-package.relationships+xml"/>
  <Override PartName="/xl/worksheets/_rels/sheet73.xml.rels" ContentType="application/vnd.openxmlformats-package.relationships+xml"/>
  <Override PartName="/xl/worksheets/_rels/sheet74.xml.rels" ContentType="application/vnd.openxmlformats-package.relationships+xml"/>
  <Override PartName="/xl/worksheets/_rels/sheet75.xml.rels" ContentType="application/vnd.openxmlformats-package.relationships+xml"/>
  <Override PartName="/xl/worksheets/_rels/sheet76.xml.rels" ContentType="application/vnd.openxmlformats-package.relationships+xml"/>
  <Override PartName="/xl/worksheets/_rels/sheet85.xml.rels" ContentType="application/vnd.openxmlformats-package.relationships+xml"/>
  <Override PartName="/xl/worksheets/_rels/sheet98.xml.rels" ContentType="application/vnd.openxmlformats-package.relationships+xml"/>
  <Override PartName="/xl/worksheets/_rels/sheet61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4.xml" ContentType="application/vnd.openxmlformats-officedocument.spreadsheetml.worksheet+xml"/>
  <Override PartName="/xl/worksheets/sheet48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47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03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102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2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70.xml" ContentType="application/vnd.openxmlformats-officedocument.spreadsheetml.worksheet+xml"/>
  <Override PartName="/xl/worksheets/sheet69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4.xml" ContentType="application/vnd.openxmlformats-officedocument.spreadsheetml.worksheet+xml"/>
  <Override PartName="/xl/worksheets/sheet101.xml" ContentType="application/vnd.openxmlformats-officedocument.spreadsheetml.worksheet+xml"/>
  <Override PartName="/xl/worksheets/sheet64.xml" ContentType="application/vnd.openxmlformats-officedocument.spreadsheetml.worksheet+xml"/>
  <Override PartName="/xl/worksheets/sheet88.xml" ContentType="application/vnd.openxmlformats-officedocument.spreadsheetml.worksheet+xml"/>
  <Override PartName="/xl/worksheets/sheet73.xml" ContentType="application/vnd.openxmlformats-officedocument.spreadsheetml.worksheet+xml"/>
  <Override PartName="/xl/worksheets/sheet100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99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87.xml" ContentType="application/vnd.openxmlformats-officedocument.spreadsheetml.worksheet+xml"/>
  <Override PartName="/xl/worksheets/sheet98.xml" ContentType="application/vnd.openxmlformats-officedocument.spreadsheetml.worksheet+xml"/>
  <Override PartName="/xl/worksheets/sheet61.xml" ContentType="application/vnd.openxmlformats-officedocument.spreadsheetml.worksheet+xml"/>
  <Override PartName="/xl/worksheets/sheet2.xml" ContentType="application/vnd.openxmlformats-officedocument.spreadsheetml.worksheet+xml"/>
  <Override PartName="/xl/worksheets/sheet86.xml" ContentType="application/vnd.openxmlformats-officedocument.spreadsheetml.worksheet+xml"/>
  <Override PartName="/xl/worksheets/sheet97.xml" ContentType="application/vnd.openxmlformats-officedocument.spreadsheetml.worksheet+xml"/>
  <Override PartName="/xl/worksheets/sheet60.xml" ContentType="application/vnd.openxmlformats-officedocument.spreadsheetml.worksheet+xml"/>
  <Override PartName="/xl/worksheets/sheet1.xml" ContentType="application/vnd.openxmlformats-officedocument.spreadsheetml.worksheet+xml"/>
  <Override PartName="/xl/worksheets/sheet8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89.xml" ContentType="application/vnd.openxmlformats-officedocument.spreadsheetml.worksheet+xml"/>
  <Override PartName="/xl/worksheets/sheet79.xml" ContentType="application/vnd.openxmlformats-officedocument.spreadsheetml.worksheet+xml"/>
  <Override PartName="/xl/worksheets/sheet29.xml" ContentType="application/vnd.openxmlformats-officedocument.spreadsheetml.worksheet+xml"/>
  <Override PartName="/xl/worksheets/sheet94.xml" ContentType="application/vnd.openxmlformats-officedocument.spreadsheetml.worksheet+xml"/>
  <Override PartName="/xl/worksheets/sheet28.xml" ContentType="application/vnd.openxmlformats-officedocument.spreadsheetml.worksheet+xml"/>
  <Override PartName="/xl/worksheets/sheet93.xml" ContentType="application/vnd.openxmlformats-officedocument.spreadsheetml.worksheet+xml"/>
  <Override PartName="/xl/worksheets/sheet92.xml" ContentType="application/vnd.openxmlformats-officedocument.spreadsheetml.worksheet+xml"/>
  <Override PartName="/xl/worksheets/sheet27.xml" ContentType="application/vnd.openxmlformats-officedocument.spreadsheetml.worksheet+xml"/>
  <Override PartName="/xl/worksheets/sheet91.xml" ContentType="application/vnd.openxmlformats-officedocument.spreadsheetml.worksheet+xml"/>
  <Override PartName="/xl/worksheets/sheet26.xml" ContentType="application/vnd.openxmlformats-officedocument.spreadsheetml.worksheet+xml"/>
  <Override PartName="/xl/worksheets/sheet90.xml" ContentType="application/vnd.openxmlformats-officedocument.spreadsheetml.worksheet+xml"/>
  <Override PartName="/xl/worksheets/sheet25.xml" ContentType="application/vnd.openxmlformats-officedocument.spreadsheetml.worksheet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19.xml" ContentType="application/vnd.openxmlformats-officedocument.spreadsheetml.worksheet+xml"/>
  <Override PartName="/xl/worksheets/sheet84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83.xml" ContentType="application/vnd.openxmlformats-officedocument.spreadsheetml.worksheet+xml"/>
  <Override PartName="/xl/worksheets/sheet17.xml" ContentType="application/vnd.openxmlformats-officedocument.spreadsheetml.worksheet+xml"/>
  <Override PartName="/xl/worksheets/sheet82.xml" ContentType="application/vnd.openxmlformats-officedocument.spreadsheetml.worksheet+xml"/>
  <Override PartName="/xl/worksheets/sheet16.xml" ContentType="application/vnd.openxmlformats-officedocument.spreadsheetml.worksheet+xml"/>
  <Override PartName="/xl/worksheets/sheet81.xml" ContentType="application/vnd.openxmlformats-officedocument.spreadsheetml.worksheet+xml"/>
  <Override PartName="/xl/worksheets/sheet15.xml" ContentType="application/vnd.openxmlformats-officedocument.spreadsheetml.worksheet+xml"/>
  <Override PartName="/xl/worksheets/sheet80.xml" ContentType="application/vnd.openxmlformats-officedocument.spreadsheetml.worksheet+xml"/>
  <Override PartName="/xl/sharedStrings.xml" ContentType="application/vnd.openxmlformats-officedocument.spreadsheetml.sharedStrings+xml"/>
  <Override PartName="/xl/tables/table68.xml" ContentType="application/vnd.openxmlformats-officedocument.spreadsheetml.table+xml"/>
  <Override PartName="/xl/tables/table67.xml" ContentType="application/vnd.openxmlformats-officedocument.spreadsheetml.table+xml"/>
  <Override PartName="/xl/tables/table65.xml" ContentType="application/vnd.openxmlformats-officedocument.spreadsheetml.table+xml"/>
  <Override PartName="/xl/tables/table64.xml" ContentType="application/vnd.openxmlformats-officedocument.spreadsheetml.table+xml"/>
  <Override PartName="/xl/tables/table63.xml" ContentType="application/vnd.openxmlformats-officedocument.spreadsheetml.table+xml"/>
  <Override PartName="/xl/tables/table62.xml" ContentType="application/vnd.openxmlformats-officedocument.spreadsheetml.table+xml"/>
  <Override PartName="/xl/tables/table61.xml" ContentType="application/vnd.openxmlformats-officedocument.spreadsheetml.table+xml"/>
  <Override PartName="/xl/tables/table169.xml" ContentType="application/vnd.openxmlformats-officedocument.spreadsheetml.table+xml"/>
  <Override PartName="/xl/tables/table60.xml" ContentType="application/vnd.openxmlformats-officedocument.spreadsheetml.table+xml"/>
  <Override PartName="/xl/tables/table168.xml" ContentType="application/vnd.openxmlformats-officedocument.spreadsheetml.table+xml"/>
  <Override PartName="/xl/tables/table159.xml" ContentType="application/vnd.openxmlformats-officedocument.spreadsheetml.table+xml"/>
  <Override PartName="/xl/tables/table51.xml" ContentType="application/vnd.openxmlformats-officedocument.spreadsheetml.table+xml"/>
  <Override PartName="/xl/tables/table167.xml" ContentType="application/vnd.openxmlformats-officedocument.spreadsheetml.table+xml"/>
  <Override PartName="/xl/tables/table59.xml" ContentType="application/vnd.openxmlformats-officedocument.spreadsheetml.table+xml"/>
  <Override PartName="/xl/tables/table158.xml" ContentType="application/vnd.openxmlformats-officedocument.spreadsheetml.table+xml"/>
  <Override PartName="/xl/tables/table50.xml" ContentType="application/vnd.openxmlformats-officedocument.spreadsheetml.table+xml"/>
  <Override PartName="/xl/tables/table166.xml" ContentType="application/vnd.openxmlformats-officedocument.spreadsheetml.table+xml"/>
  <Override PartName="/xl/tables/table58.xml" ContentType="application/vnd.openxmlformats-officedocument.spreadsheetml.table+xml"/>
  <Override PartName="/xl/tables/table165.xml" ContentType="application/vnd.openxmlformats-officedocument.spreadsheetml.table+xml"/>
  <Override PartName="/xl/tables/table57.xml" ContentType="application/vnd.openxmlformats-officedocument.spreadsheetml.table+xml"/>
  <Override PartName="/xl/tables/table164.xml" ContentType="application/vnd.openxmlformats-officedocument.spreadsheetml.table+xml"/>
  <Override PartName="/xl/tables/table9.xml" ContentType="application/vnd.openxmlformats-officedocument.spreadsheetml.table+xml"/>
  <Override PartName="/xl/tables/table56.xml" ContentType="application/vnd.openxmlformats-officedocument.spreadsheetml.table+xml"/>
  <Override PartName="/xl/tables/table163.xml" ContentType="application/vnd.openxmlformats-officedocument.spreadsheetml.table+xml"/>
  <Override PartName="/xl/tables/table8.xml" ContentType="application/vnd.openxmlformats-officedocument.spreadsheetml.table+xml"/>
  <Override PartName="/xl/tables/table55.xml" ContentType="application/vnd.openxmlformats-officedocument.spreadsheetml.table+xml"/>
  <Override PartName="/xl/tables/table162.xml" ContentType="application/vnd.openxmlformats-officedocument.spreadsheetml.table+xml"/>
  <Override PartName="/xl/tables/table7.xml" ContentType="application/vnd.openxmlformats-officedocument.spreadsheetml.table+xml"/>
  <Override PartName="/xl/tables/table54.xml" ContentType="application/vnd.openxmlformats-officedocument.spreadsheetml.table+xml"/>
  <Override PartName="/xl/tables/table161.xml" ContentType="application/vnd.openxmlformats-officedocument.spreadsheetml.table+xml"/>
  <Override PartName="/xl/tables/table6.xml" ContentType="application/vnd.openxmlformats-officedocument.spreadsheetml.table+xml"/>
  <Override PartName="/xl/tables/table53.xml" ContentType="application/vnd.openxmlformats-officedocument.spreadsheetml.table+xml"/>
  <Override PartName="/xl/tables/table160.xml" ContentType="application/vnd.openxmlformats-officedocument.spreadsheetml.table+xml"/>
  <Override PartName="/xl/tables/table5.xml" ContentType="application/vnd.openxmlformats-officedocument.spreadsheetml.table+xml"/>
  <Override PartName="/xl/tables/table52.xml" ContentType="application/vnd.openxmlformats-officedocument.spreadsheetml.table+xml"/>
  <Override PartName="/xl/tables/table149.xml" ContentType="application/vnd.openxmlformats-officedocument.spreadsheetml.table+xml"/>
  <Override PartName="/xl/tables/table41.xml" ContentType="application/vnd.openxmlformats-officedocument.spreadsheetml.table+xml"/>
  <Override PartName="/xl/tables/table157.xml" ContentType="application/vnd.openxmlformats-officedocument.spreadsheetml.table+xml"/>
  <Override PartName="/xl/tables/table49.xml" ContentType="application/vnd.openxmlformats-officedocument.spreadsheetml.table+xml"/>
  <Override PartName="/xl/tables/table148.xml" ContentType="application/vnd.openxmlformats-officedocument.spreadsheetml.table+xml"/>
  <Override PartName="/xl/tables/table40.xml" ContentType="application/vnd.openxmlformats-officedocument.spreadsheetml.table+xml"/>
  <Override PartName="/xl/tables/table156.xml" ContentType="application/vnd.openxmlformats-officedocument.spreadsheetml.table+xml"/>
  <Override PartName="/xl/tables/table48.xml" ContentType="application/vnd.openxmlformats-officedocument.spreadsheetml.table+xml"/>
  <Override PartName="/xl/tables/table155.xml" ContentType="application/vnd.openxmlformats-officedocument.spreadsheetml.table+xml"/>
  <Override PartName="/xl/tables/table47.xml" ContentType="application/vnd.openxmlformats-officedocument.spreadsheetml.table+xml"/>
  <Override PartName="/xl/tables/table154.xml" ContentType="application/vnd.openxmlformats-officedocument.spreadsheetml.table+xml"/>
  <Override PartName="/xl/tables/table46.xml" ContentType="application/vnd.openxmlformats-officedocument.spreadsheetml.table+xml"/>
  <Override PartName="/xl/tables/table153.xml" ContentType="application/vnd.openxmlformats-officedocument.spreadsheetml.table+xml"/>
  <Override PartName="/xl/tables/table45.xml" ContentType="application/vnd.openxmlformats-officedocument.spreadsheetml.table+xml"/>
  <Override PartName="/xl/tables/table152.xml" ContentType="application/vnd.openxmlformats-officedocument.spreadsheetml.table+xml"/>
  <Override PartName="/xl/tables/table44.xml" ContentType="application/vnd.openxmlformats-officedocument.spreadsheetml.table+xml"/>
  <Override PartName="/xl/tables/table151.xml" ContentType="application/vnd.openxmlformats-officedocument.spreadsheetml.table+xml"/>
  <Override PartName="/xl/tables/table43.xml" ContentType="application/vnd.openxmlformats-officedocument.spreadsheetml.table+xml"/>
  <Override PartName="/xl/tables/table150.xml" ContentType="application/vnd.openxmlformats-officedocument.spreadsheetml.table+xml"/>
  <Override PartName="/xl/tables/table42.xml" ContentType="application/vnd.openxmlformats-officedocument.spreadsheetml.table+xml"/>
  <Override PartName="/xl/tables/table139.xml" ContentType="application/vnd.openxmlformats-officedocument.spreadsheetml.table+xml"/>
  <Override PartName="/xl/tables/table31.xml" ContentType="application/vnd.openxmlformats-officedocument.spreadsheetml.table+xml"/>
  <Override PartName="/xl/tables/table147.xml" ContentType="application/vnd.openxmlformats-officedocument.spreadsheetml.table+xml"/>
  <Override PartName="/xl/tables/table39.xml" ContentType="application/vnd.openxmlformats-officedocument.spreadsheetml.table+xml"/>
  <Override PartName="/xl/tables/table138.xml" ContentType="application/vnd.openxmlformats-officedocument.spreadsheetml.table+xml"/>
  <Override PartName="/xl/tables/table30.xml" ContentType="application/vnd.openxmlformats-officedocument.spreadsheetml.table+xml"/>
  <Override PartName="/xl/tables/table146.xml" ContentType="application/vnd.openxmlformats-officedocument.spreadsheetml.table+xml"/>
  <Override PartName="/xl/tables/table38.xml" ContentType="application/vnd.openxmlformats-officedocument.spreadsheetml.table+xml"/>
  <Override PartName="/xl/tables/table145.xml" ContentType="application/vnd.openxmlformats-officedocument.spreadsheetml.table+xml"/>
  <Override PartName="/xl/tables/table37.xml" ContentType="application/vnd.openxmlformats-officedocument.spreadsheetml.table+xml"/>
  <Override PartName="/xl/tables/table144.xml" ContentType="application/vnd.openxmlformats-officedocument.spreadsheetml.table+xml"/>
  <Override PartName="/xl/tables/table36.xml" ContentType="application/vnd.openxmlformats-officedocument.spreadsheetml.table+xml"/>
  <Override PartName="/xl/tables/table143.xml" ContentType="application/vnd.openxmlformats-officedocument.spreadsheetml.table+xml"/>
  <Override PartName="/xl/tables/table35.xml" ContentType="application/vnd.openxmlformats-officedocument.spreadsheetml.table+xml"/>
  <Override PartName="/xl/tables/table118.xml" ContentType="application/vnd.openxmlformats-officedocument.spreadsheetml.table+xml"/>
  <Override PartName="/xl/tables/table10.xml" ContentType="application/vnd.openxmlformats-officedocument.spreadsheetml.table+xml"/>
  <Override PartName="/xl/tables/table186.xml" ContentType="application/vnd.openxmlformats-officedocument.spreadsheetml.table+xml"/>
  <Override PartName="/xl/tables/table129.xml" ContentType="application/vnd.openxmlformats-officedocument.spreadsheetml.table+xml"/>
  <Override PartName="/xl/tables/table21.xml" ContentType="application/vnd.openxmlformats-officedocument.spreadsheetml.table+xml"/>
  <Override PartName="/xl/tables/table197.xml" ContentType="application/vnd.openxmlformats-officedocument.spreadsheetml.table+xml"/>
  <Override PartName="/xl/tables/table117.xml" ContentType="application/vnd.openxmlformats-officedocument.spreadsheetml.table+xml"/>
  <Override PartName="/xl/tables/table185.xml" ContentType="application/vnd.openxmlformats-officedocument.spreadsheetml.table+xml"/>
  <Override PartName="/xl/tables/table128.xml" ContentType="application/vnd.openxmlformats-officedocument.spreadsheetml.table+xml"/>
  <Override PartName="/xl/tables/table20.xml" ContentType="application/vnd.openxmlformats-officedocument.spreadsheetml.table+xml"/>
  <Override PartName="/xl/tables/table196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69.xml" ContentType="application/vnd.openxmlformats-officedocument.spreadsheetml.table+xml"/>
  <Override PartName="/xl/tables/table135.xml" ContentType="application/vnd.openxmlformats-officedocument.spreadsheetml.table+xml"/>
  <Override PartName="/xl/tables/table170.xml" ContentType="application/vnd.openxmlformats-officedocument.spreadsheetml.table+xml"/>
  <Override PartName="/xl/tables/table102.xml" ContentType="application/vnd.openxmlformats-officedocument.spreadsheetml.table+xml"/>
  <Override PartName="/xl/tables/table24.xml" ContentType="application/vnd.openxmlformats-officedocument.spreadsheetml.table+xml"/>
  <Override PartName="/xl/tables/table92.xml" ContentType="application/vnd.openxmlformats-officedocument.spreadsheetml.table+xml"/>
  <Override PartName="/xl/tables/table202.xml" ContentType="application/vnd.openxmlformats-officedocument.spreadsheetml.table+xml"/>
  <Override PartName="/xl/tables/table78.xml" ContentType="application/vnd.openxmlformats-officedocument.spreadsheetml.table+xml"/>
  <Override PartName="/xl/tables/table76.xml" ContentType="application/vnd.openxmlformats-officedocument.spreadsheetml.table+xml"/>
  <Override PartName="/xl/tables/table116.xml" ContentType="application/vnd.openxmlformats-officedocument.spreadsheetml.table+xml"/>
  <Override PartName="/xl/tables/table184.xml" ContentType="application/vnd.openxmlformats-officedocument.spreadsheetml.table+xml"/>
  <Override PartName="/xl/tables/table72.xml" ContentType="application/vnd.openxmlformats-officedocument.spreadsheetml.table+xml"/>
  <Override PartName="/xl/tables/table105.xml" ContentType="application/vnd.openxmlformats-officedocument.spreadsheetml.table+xml"/>
  <Override PartName="/xl/tables/table173.xml" ContentType="application/vnd.openxmlformats-officedocument.spreadsheetml.table+xml"/>
  <Override PartName="/xl/tables/table88.xml" ContentType="application/vnd.openxmlformats-officedocument.spreadsheetml.table+xml"/>
  <Override PartName="/xl/tables/table91.xml" ContentType="application/vnd.openxmlformats-officedocument.spreadsheetml.table+xml"/>
  <Override PartName="/xl/tables/table199.xml" ContentType="application/vnd.openxmlformats-officedocument.spreadsheetml.table+xml"/>
  <Override PartName="/xl/tables/table23.xml" ContentType="application/vnd.openxmlformats-officedocument.spreadsheetml.table+xml"/>
  <Override PartName="/xl/tables/table201.xml" ContentType="application/vnd.openxmlformats-officedocument.spreadsheetml.table+xml"/>
  <Override PartName="/xl/tables/table77.xml" ContentType="application/vnd.openxmlformats-officedocument.spreadsheetml.table+xml"/>
  <Override PartName="/xl/tables/table130.xml" ContentType="application/vnd.openxmlformats-officedocument.spreadsheetml.table+xml"/>
  <Override PartName="/xl/tables/table90.xml" ContentType="application/vnd.openxmlformats-officedocument.spreadsheetml.table+xml"/>
  <Override PartName="/xl/tables/table198.xml" ContentType="application/vnd.openxmlformats-officedocument.spreadsheetml.table+xml"/>
  <Override PartName="/xl/tables/table200.xml" ContentType="application/vnd.openxmlformats-officedocument.spreadsheetml.table+xml"/>
  <Override PartName="/xl/tables/table22.xml" ContentType="application/vnd.openxmlformats-officedocument.spreadsheetml.table+xml"/>
  <Override PartName="/xl/tables/table89.xml" ContentType="application/vnd.openxmlformats-officedocument.spreadsheetml.table+xml"/>
  <Override PartName="/xl/tables/table79.xml" ContentType="application/vnd.openxmlformats-officedocument.spreadsheetml.table+xml"/>
  <Override PartName="/xl/tables/table108.xml" ContentType="application/vnd.openxmlformats-officedocument.spreadsheetml.table+xml"/>
  <Override PartName="/xl/tables/table176.xml" ContentType="application/vnd.openxmlformats-officedocument.spreadsheetml.table+xml"/>
  <Override PartName="/xl/tables/table208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37.xml" ContentType="application/vnd.openxmlformats-officedocument.spreadsheetml.table+xml"/>
  <Override PartName="/xl/tables/table100.xml" ContentType="application/vnd.openxmlformats-officedocument.spreadsheetml.table+xml"/>
  <Override PartName="/xl/tables/table104.xml" ContentType="application/vnd.openxmlformats-officedocument.spreadsheetml.table+xml"/>
  <Override PartName="/xl/tables/table172.xml" ContentType="application/vnd.openxmlformats-officedocument.spreadsheetml.table+xml"/>
  <Override PartName="/xl/tables/table101.xml" ContentType="application/vnd.openxmlformats-officedocument.spreadsheetml.table+xml"/>
  <Override PartName="/xl/tables/table75.xml" ContentType="application/vnd.openxmlformats-officedocument.spreadsheetml.table+xml"/>
  <Override PartName="/xl/tables/table115.xml" ContentType="application/vnd.openxmlformats-officedocument.spreadsheetml.table+xml"/>
  <Override PartName="/xl/tables/table183.xml" ContentType="application/vnd.openxmlformats-officedocument.spreadsheetml.table+xml"/>
  <Override PartName="/xl/tables/table207.xml" ContentType="application/vnd.openxmlformats-officedocument.spreadsheetml.table+xml"/>
  <Override PartName="/xl/tables/table29.xml" ContentType="application/vnd.openxmlformats-officedocument.spreadsheetml.table+xml"/>
  <Override PartName="/xl/tables/table97.xml" ContentType="application/vnd.openxmlformats-officedocument.spreadsheetml.table+xml"/>
  <Override PartName="/xl/tables/table107.xml" ContentType="application/vnd.openxmlformats-officedocument.spreadsheetml.table+xml"/>
  <Override PartName="/xl/tables/table175.xml" ContentType="application/vnd.openxmlformats-officedocument.spreadsheetml.table+xml"/>
  <Override PartName="/xl/tables/table179.xml" ContentType="application/vnd.openxmlformats-officedocument.spreadsheetml.table+xml"/>
  <Override PartName="/xl/tables/table71.xml" ContentType="application/vnd.openxmlformats-officedocument.spreadsheetml.table+xml"/>
  <Override PartName="/xl/tables/table25.xml" ContentType="application/vnd.openxmlformats-officedocument.spreadsheetml.table+xml"/>
  <Override PartName="/xl/tables/table203.xml" ContentType="application/vnd.openxmlformats-officedocument.spreadsheetml.table+xml"/>
  <Override PartName="/xl/tables/table93.xml" ContentType="application/vnd.openxmlformats-officedocument.spreadsheetml.table+xml"/>
  <Override PartName="/xl/tables/table136.xml" ContentType="application/vnd.openxmlformats-officedocument.spreadsheetml.table+xml"/>
  <Override PartName="/xl/tables/table178.xml" ContentType="application/vnd.openxmlformats-officedocument.spreadsheetml.table+xml"/>
  <Override PartName="/xl/tables/table70.xml" ContentType="application/vnd.openxmlformats-officedocument.spreadsheetml.table+xml"/>
  <Override PartName="/xl/tables/table103.xml" ContentType="application/vnd.openxmlformats-officedocument.spreadsheetml.table+xml"/>
  <Override PartName="/xl/tables/table171.xml" ContentType="application/vnd.openxmlformats-officedocument.spreadsheetml.table+xml"/>
  <Override PartName="/xl/tables/table74.xml" ContentType="application/vnd.openxmlformats-officedocument.spreadsheetml.table+xml"/>
  <Override PartName="/xl/tables/table114.xml" ContentType="application/vnd.openxmlformats-officedocument.spreadsheetml.table+xml"/>
  <Override PartName="/xl/tables/table182.xml" ContentType="application/vnd.openxmlformats-officedocument.spreadsheetml.table+xml"/>
  <Override PartName="/xl/tables/table206.xml" ContentType="application/vnd.openxmlformats-officedocument.spreadsheetml.table+xml"/>
  <Override PartName="/xl/tables/table28.xml" ContentType="application/vnd.openxmlformats-officedocument.spreadsheetml.table+xml"/>
  <Override PartName="/xl/tables/table96.xml" ContentType="application/vnd.openxmlformats-officedocument.spreadsheetml.table+xml"/>
  <Override PartName="/xl/tables/table106.xml" ContentType="application/vnd.openxmlformats-officedocument.spreadsheetml.table+xml"/>
  <Override PartName="/xl/tables/table174.xml" ContentType="application/vnd.openxmlformats-officedocument.spreadsheetml.table+xml"/>
  <Override PartName="/xl/tables/table177.xml" ContentType="application/vnd.openxmlformats-officedocument.spreadsheetml.table+xml"/>
  <Override PartName="/xl/tables/table109.xml" ContentType="application/vnd.openxmlformats-officedocument.spreadsheetml.table+xml"/>
  <Override PartName="/xl/tables/table66.xml" ContentType="application/vnd.openxmlformats-officedocument.spreadsheetml.table+xml"/>
  <Override PartName="/xl/tables/table73.xml" ContentType="application/vnd.openxmlformats-officedocument.spreadsheetml.table+xml"/>
  <Override PartName="/xl/tables/table113.xml" ContentType="application/vnd.openxmlformats-officedocument.spreadsheetml.table+xml"/>
  <Override PartName="/xl/tables/table181.xml" ContentType="application/vnd.openxmlformats-officedocument.spreadsheetml.table+xml"/>
  <Override PartName="/xl/tables/table27.xml" ContentType="application/vnd.openxmlformats-officedocument.spreadsheetml.table+xml"/>
  <Override PartName="/xl/tables/table205.xml" ContentType="application/vnd.openxmlformats-officedocument.spreadsheetml.table+xml"/>
  <Override PartName="/xl/tables/table95.xml" ContentType="application/vnd.openxmlformats-officedocument.spreadsheetml.table+xml"/>
  <Override PartName="/xl/tables/table26.xml" ContentType="application/vnd.openxmlformats-officedocument.spreadsheetml.table+xml"/>
  <Override PartName="/xl/tables/table94.xml" ContentType="application/vnd.openxmlformats-officedocument.spreadsheetml.table+xml"/>
  <Override PartName="/xl/tables/table204.xml" ContentType="application/vnd.openxmlformats-officedocument.spreadsheetml.table+xml"/>
  <Override PartName="/xl/tables/table4.xml" ContentType="application/vnd.openxmlformats-officedocument.spreadsheetml.table+xml"/>
  <Override PartName="/xl/tables/table192.xml" ContentType="application/vnd.openxmlformats-officedocument.spreadsheetml.table+xml"/>
  <Override PartName="/xl/tables/table124.xml" ContentType="application/vnd.openxmlformats-officedocument.spreadsheetml.table+xml"/>
  <Override PartName="/xl/tables/table1.xml" ContentType="application/vnd.openxmlformats-officedocument.spreadsheetml.table+xml"/>
  <Override PartName="/xl/tables/table84.xml" ContentType="application/vnd.openxmlformats-officedocument.spreadsheetml.table+xml"/>
  <Override PartName="/xl/tables/table16.xml" ContentType="application/vnd.openxmlformats-officedocument.spreadsheetml.table+xml"/>
  <Override PartName="/xl/tables/table3.xml" ContentType="application/vnd.openxmlformats-officedocument.spreadsheetml.table+xml"/>
  <Override PartName="/xl/tables/table191.xml" ContentType="application/vnd.openxmlformats-officedocument.spreadsheetml.table+xml"/>
  <Override PartName="/xl/tables/table123.xml" ContentType="application/vnd.openxmlformats-officedocument.spreadsheetml.table+xml"/>
  <Override PartName="/xl/tables/table83.xml" ContentType="application/vnd.openxmlformats-officedocument.spreadsheetml.table+xml"/>
  <Override PartName="/xl/tables/table15.xml" ContentType="application/vnd.openxmlformats-officedocument.spreadsheetml.table+xml"/>
  <Override PartName="/xl/tables/table2.xml" ContentType="application/vnd.openxmlformats-officedocument.spreadsheetml.table+xml"/>
  <Override PartName="/xl/tables/table190.xml" ContentType="application/vnd.openxmlformats-officedocument.spreadsheetml.table+xml"/>
  <Override PartName="/xl/tables/table122.xml" ContentType="application/vnd.openxmlformats-officedocument.spreadsheetml.table+xml"/>
  <Override PartName="/xl/tables/table82.xml" ContentType="application/vnd.openxmlformats-officedocument.spreadsheetml.table+xml"/>
  <Override PartName="/xl/tables/table14.xml" ContentType="application/vnd.openxmlformats-officedocument.spreadsheetml.table+xml"/>
  <Override PartName="/xl/tables/table121.xml" ContentType="application/vnd.openxmlformats-officedocument.spreadsheetml.table+xml"/>
  <Override PartName="/xl/tables/table81.xml" ContentType="application/vnd.openxmlformats-officedocument.spreadsheetml.table+xml"/>
  <Override PartName="/xl/tables/table13.xml" ContentType="application/vnd.openxmlformats-officedocument.spreadsheetml.table+xml"/>
  <Override PartName="/xl/tables/table189.xml" ContentType="application/vnd.openxmlformats-officedocument.spreadsheetml.table+xml"/>
  <Override PartName="/xl/tables/table120.xml" ContentType="application/vnd.openxmlformats-officedocument.spreadsheetml.table+xml"/>
  <Override PartName="/xl/tables/table80.xml" ContentType="application/vnd.openxmlformats-officedocument.spreadsheetml.table+xml"/>
  <Override PartName="/xl/tables/table12.xml" ContentType="application/vnd.openxmlformats-officedocument.spreadsheetml.table+xml"/>
  <Override PartName="/xl/tables/table188.xml" ContentType="application/vnd.openxmlformats-officedocument.spreadsheetml.table+xml"/>
  <Override PartName="/xl/tables/table32.xml" ContentType="application/vnd.openxmlformats-officedocument.spreadsheetml.table+xml"/>
  <Override PartName="/xl/tables/table140.xml" ContentType="application/vnd.openxmlformats-officedocument.spreadsheetml.table+xml"/>
  <Override PartName="/xl/tables/table110.xml" ContentType="application/vnd.openxmlformats-officedocument.spreadsheetml.table+xml"/>
  <Override PartName="/xl/tables/table33.xml" ContentType="application/vnd.openxmlformats-officedocument.spreadsheetml.table+xml"/>
  <Override PartName="/xl/tables/table141.xml" ContentType="application/vnd.openxmlformats-officedocument.spreadsheetml.table+xml"/>
  <Override PartName="/xl/tables/table111.xml" ContentType="application/vnd.openxmlformats-officedocument.spreadsheetml.table+xml"/>
  <Override PartName="/xl/tables/table126.xml" ContentType="application/vnd.openxmlformats-officedocument.spreadsheetml.table+xml"/>
  <Override PartName="/xl/tables/table194.xml" ContentType="application/vnd.openxmlformats-officedocument.spreadsheetml.table+xml"/>
  <Override PartName="/xl/tables/table18.xml" ContentType="application/vnd.openxmlformats-officedocument.spreadsheetml.table+xml"/>
  <Override PartName="/xl/tables/table86.xml" ContentType="application/vnd.openxmlformats-officedocument.spreadsheetml.table+xml"/>
  <Override PartName="/xl/tables/table125.xml" ContentType="application/vnd.openxmlformats-officedocument.spreadsheetml.table+xml"/>
  <Override PartName="/xl/tables/table193.xml" ContentType="application/vnd.openxmlformats-officedocument.spreadsheetml.table+xml"/>
  <Override PartName="/xl/tables/table17.xml" ContentType="application/vnd.openxmlformats-officedocument.spreadsheetml.table+xml"/>
  <Override PartName="/xl/tables/table85.xml" ContentType="application/vnd.openxmlformats-officedocument.spreadsheetml.table+xml"/>
  <Override PartName="/xl/tables/table119.xml" ContentType="application/vnd.openxmlformats-officedocument.spreadsheetml.table+xml"/>
  <Override PartName="/xl/tables/table187.xml" ContentType="application/vnd.openxmlformats-officedocument.spreadsheetml.table+xml"/>
  <Override PartName="/xl/tables/table11.xml" ContentType="application/vnd.openxmlformats-officedocument.spreadsheetml.table+xml"/>
  <Override PartName="/xl/tables/table34.xml" ContentType="application/vnd.openxmlformats-officedocument.spreadsheetml.table+xml"/>
  <Override PartName="/xl/tables/table142.xml" ContentType="application/vnd.openxmlformats-officedocument.spreadsheetml.table+xml"/>
  <Override PartName="/xl/tables/table180.xml" ContentType="application/vnd.openxmlformats-officedocument.spreadsheetml.table+xml"/>
  <Override PartName="/xl/tables/table112.xml" ContentType="application/vnd.openxmlformats-officedocument.spreadsheetml.table+xml"/>
  <Override PartName="/xl/tables/table127.xml" ContentType="application/vnd.openxmlformats-officedocument.spreadsheetml.table+xml"/>
  <Override PartName="/xl/tables/table195.xml" ContentType="application/vnd.openxmlformats-officedocument.spreadsheetml.table+xml"/>
  <Override PartName="/xl/tables/table19.xml" ContentType="application/vnd.openxmlformats-officedocument.spreadsheetml.table+xml"/>
  <Override PartName="/xl/tables/table87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4"/>
  </bookViews>
  <sheets>
    <sheet name="Nov 4-6" sheetId="1" state="visible" r:id="rId3"/>
    <sheet name="Nov 7-13" sheetId="2" state="visible" r:id="rId4"/>
    <sheet name="Nov 14-20" sheetId="3" state="visible" r:id="rId5"/>
    <sheet name="Nov 21-27" sheetId="4" state="visible" r:id="rId6"/>
    <sheet name="Nov 28-4" sheetId="5" state="visible" r:id="rId7"/>
    <sheet name="Dic 5-11" sheetId="6" state="visible" r:id="rId8"/>
    <sheet name="Dic 12-18" sheetId="7" state="visible" r:id="rId9"/>
    <sheet name="Dic 19-25" sheetId="8" state="visible" r:id="rId10"/>
    <sheet name="Gen 9-15" sheetId="9" state="visible" r:id="rId11"/>
    <sheet name="Gen 16-22" sheetId="10" state="visible" r:id="rId12"/>
    <sheet name="Gen 23-29" sheetId="11" state="visible" r:id="rId13"/>
    <sheet name="Gen 30-5" sheetId="12" state="visible" r:id="rId14"/>
    <sheet name="Feb 6-12" sheetId="13" state="visible" r:id="rId15"/>
    <sheet name="Feb 13-19" sheetId="14" state="visible" r:id="rId16"/>
    <sheet name="Feb 20-26" sheetId="15" state="visible" r:id="rId17"/>
    <sheet name="Feb 27-5" sheetId="16" state="visible" r:id="rId18"/>
    <sheet name="Mar 6-12" sheetId="17" state="visible" r:id="rId19"/>
    <sheet name="Mar 13-19" sheetId="18" state="visible" r:id="rId20"/>
    <sheet name="Mar 20-26" sheetId="19" state="visible" r:id="rId21"/>
    <sheet name="Mar 27-2" sheetId="20" state="visible" r:id="rId22"/>
    <sheet name="Apr 3- 9" sheetId="21" state="visible" r:id="rId23"/>
    <sheet name="Apr 10-16" sheetId="22" state="visible" r:id="rId24"/>
    <sheet name="Apr 17-23" sheetId="23" state="visible" r:id="rId25"/>
    <sheet name="Apr 24-30" sheetId="24" state="visible" r:id="rId26"/>
    <sheet name="Mag 1-7" sheetId="25" state="visible" r:id="rId27"/>
    <sheet name="Mag 8-14" sheetId="26" state="visible" r:id="rId28"/>
    <sheet name="Mag 15-21" sheetId="27" state="visible" r:id="rId29"/>
    <sheet name="Mag 22-28" sheetId="28" state="visible" r:id="rId30"/>
    <sheet name="Mag 29-4" sheetId="29" state="visible" r:id="rId31"/>
    <sheet name="Giu 5-11" sheetId="30" state="visible" r:id="rId32"/>
    <sheet name="Giu 12-18" sheetId="31" state="visible" r:id="rId33"/>
    <sheet name="Giu 19-25" sheetId="32" state="visible" r:id="rId34"/>
    <sheet name="Giu 26-2" sheetId="33" state="visible" r:id="rId35"/>
    <sheet name="Lug 3-9" sheetId="34" state="visible" r:id="rId36"/>
    <sheet name="Lug 10-16" sheetId="35" state="visible" r:id="rId37"/>
    <sheet name="Lug 17-23" sheetId="36" state="visible" r:id="rId38"/>
    <sheet name="Lug 24-30" sheetId="37" state="visible" r:id="rId39"/>
    <sheet name="Ago 31-6" sheetId="38" state="visible" r:id="rId40"/>
    <sheet name="Ago 7-13" sheetId="39" state="visible" r:id="rId41"/>
    <sheet name="Ago 14-20" sheetId="40" state="visible" r:id="rId42"/>
    <sheet name="Ago 21-27" sheetId="41" state="visible" r:id="rId43"/>
    <sheet name="Ago 28-3" sheetId="42" state="visible" r:id="rId44"/>
    <sheet name="Set 4-10" sheetId="43" state="visible" r:id="rId45"/>
    <sheet name="Set 11-17" sheetId="44" state="visible" r:id="rId46"/>
    <sheet name="Set 18-24" sheetId="45" state="visible" r:id="rId47"/>
    <sheet name="Set 25_1" sheetId="46" state="visible" r:id="rId48"/>
    <sheet name="Ott 2_8" sheetId="47" state="visible" r:id="rId49"/>
    <sheet name="Ott 9_15" sheetId="48" state="visible" r:id="rId50"/>
    <sheet name="Ott 16_22" sheetId="49" state="visible" r:id="rId51"/>
    <sheet name="Ott 23-29" sheetId="50" state="visible" r:id="rId52"/>
    <sheet name="OttNov 30-5" sheetId="51" state="visible" r:id="rId53"/>
    <sheet name="Nov 6-12" sheetId="52" state="visible" r:id="rId54"/>
    <sheet name="Nov 13-19" sheetId="53" state="visible" r:id="rId55"/>
    <sheet name="Nov 20-26" sheetId="54" state="visible" r:id="rId56"/>
    <sheet name="Nov 27-3" sheetId="55" state="visible" r:id="rId57"/>
    <sheet name="Dic 4-10" sheetId="56" state="visible" r:id="rId58"/>
    <sheet name="Dic 11 -17" sheetId="57" state="visible" r:id="rId59"/>
    <sheet name="Dic 18-24" sheetId="58" state="visible" r:id="rId60"/>
    <sheet name="Dic 25-31" sheetId="59" state="visible" r:id="rId61"/>
    <sheet name="Gen 1-7" sheetId="60" state="visible" r:id="rId62"/>
    <sheet name="Gen 8-14" sheetId="61" state="visible" r:id="rId63"/>
    <sheet name="Gen 15-21" sheetId="62" state="visible" r:id="rId64"/>
    <sheet name="Gen 22-28" sheetId="63" state="visible" r:id="rId65"/>
    <sheet name="GF 29-4" sheetId="64" state="visible" r:id="rId66"/>
    <sheet name="Feb 5-11" sheetId="65" state="visible" r:id="rId67"/>
    <sheet name="Feb 12-18" sheetId="66" state="visible" r:id="rId68"/>
    <sheet name="Feb 19-25" sheetId="67" state="visible" r:id="rId69"/>
    <sheet name="Feb 27-3" sheetId="68" state="visible" r:id="rId70"/>
    <sheet name="Mar 4-10" sheetId="69" state="visible" r:id="rId71"/>
    <sheet name="Mar 11-17" sheetId="70" state="visible" r:id="rId72"/>
    <sheet name="Mar 18-24" sheetId="71" state="visible" r:id="rId73"/>
    <sheet name="MA 25-4" sheetId="72" state="visible" r:id="rId74"/>
    <sheet name="Apr 1-7" sheetId="73" state="visible" r:id="rId75"/>
    <sheet name="Apr 8-14" sheetId="74" state="visible" r:id="rId76"/>
    <sheet name="Apr 15-21" sheetId="75" state="visible" r:id="rId77"/>
    <sheet name="AM 29-5" sheetId="76" state="visible" r:id="rId78"/>
    <sheet name="Mag 6-12" sheetId="77" state="visible" r:id="rId79"/>
    <sheet name="Mag 13-19" sheetId="78" state="visible" r:id="rId80"/>
    <sheet name="Mag 20-26" sheetId="79" state="visible" r:id="rId81"/>
    <sheet name="MG 27-2" sheetId="80" state="visible" r:id="rId82"/>
    <sheet name="Giu 3-9" sheetId="81" state="visible" r:id="rId83"/>
    <sheet name="Giu 10-16" sheetId="82" state="visible" r:id="rId84"/>
    <sheet name="Giu 17-23" sheetId="83" state="visible" r:id="rId85"/>
    <sheet name="Giu 24-30" sheetId="84" state="visible" r:id="rId86"/>
    <sheet name="Lug 1-7" sheetId="85" state="visible" r:id="rId87"/>
    <sheet name="Lug 8-14" sheetId="86" state="visible" r:id="rId88"/>
    <sheet name="Lug 15-21" sheetId="87" state="visible" r:id="rId89"/>
    <sheet name="Lug 22-28" sheetId="88" state="visible" r:id="rId90"/>
    <sheet name="LA 29-4" sheetId="89" state="visible" r:id="rId91"/>
    <sheet name="Ago 5-11" sheetId="90" state="visible" r:id="rId92"/>
    <sheet name="Ago 12-18" sheetId="91" state="visible" r:id="rId93"/>
    <sheet name="Ago 19-25" sheetId="92" state="visible" r:id="rId94"/>
    <sheet name="Ago 26-Set 01" sheetId="93" state="visible" r:id="rId95"/>
    <sheet name="Set2-8" sheetId="94" state="visible" r:id="rId96"/>
    <sheet name="Set 9-15" sheetId="95" state="visible" r:id="rId97"/>
    <sheet name="Set 16-22" sheetId="96" state="visible" r:id="rId98"/>
    <sheet name="Set 23-30" sheetId="97" state="visible" r:id="rId99"/>
    <sheet name="Feb 3 - 9" sheetId="98" state="visible" r:id="rId100"/>
    <sheet name="Feb 10 -16" sheetId="99" state="visible" r:id="rId101"/>
    <sheet name="Feb 17-23" sheetId="100" state="visible" r:id="rId102"/>
    <sheet name="Mag 05-12" sheetId="101" state="visible" r:id="rId103"/>
    <sheet name="Mag 12-19" sheetId="102" state="visible" r:id="rId104"/>
    <sheet name="Grafico1" sheetId="103" state="visible" r:id="rId105"/>
    <sheet name="Mag 19-25" sheetId="104" state="visible" r:id="rId106"/>
    <sheet name="gen19-26" sheetId="105" state="visible" r:id="rId107"/>
  </sheets>
  <definedNames>
    <definedName function="false" hidden="false" localSheetId="74" name="_xlnm.Print_Area" vbProcedure="false">'Apr 15-21'!$D$3:$Y$53</definedName>
    <definedName function="false" hidden="false" localSheetId="73" name="_xlnm.Print_Area" vbProcedure="false">'Apr 8-14'!$A$1:$Y$70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<sst xmlns="http://schemas.openxmlformats.org/spreadsheetml/2006/main" count="18433" uniqueCount="115">
  <si>
    <t xml:space="preserve">Mese</t>
  </si>
  <si>
    <t xml:space="preserve">Novembre</t>
  </si>
  <si>
    <t xml:space="preserve">Settimana</t>
  </si>
  <si>
    <t xml:space="preserve">Anno</t>
  </si>
  <si>
    <t xml:space="preserve">Fatt.conv</t>
  </si>
  <si>
    <t xml:space="preserve">POLLINI</t>
  </si>
  <si>
    <t xml:space="preserve">LUNEDI</t>
  </si>
  <si>
    <t xml:space="preserve">MARTEDI</t>
  </si>
  <si>
    <t xml:space="preserve">MERC.</t>
  </si>
  <si>
    <t xml:space="preserve">GIOVEDI</t>
  </si>
  <si>
    <t xml:space="preserve">VENERDI</t>
  </si>
  <si>
    <t xml:space="preserve">SABATO</t>
  </si>
  <si>
    <t xml:space="preserve">DOMEN.</t>
  </si>
  <si>
    <t xml:space="preserve">ACERACEAE</t>
  </si>
  <si>
    <t xml:space="preserve">ALTRI POLLINI</t>
  </si>
  <si>
    <t xml:space="preserve">BETULACEAE</t>
  </si>
  <si>
    <t xml:space="preserve">Alnus</t>
  </si>
  <si>
    <t xml:space="preserve">Betula</t>
  </si>
  <si>
    <t xml:space="preserve">CANNABACEAE</t>
  </si>
  <si>
    <t xml:space="preserve">CHENO-AMAR</t>
  </si>
  <si>
    <t xml:space="preserve">COMPOSITAE</t>
  </si>
  <si>
    <t xml:space="preserve">Altre compositae</t>
  </si>
  <si>
    <t xml:space="preserve">Ambrosia</t>
  </si>
  <si>
    <t xml:space="preserve">Artemisia</t>
  </si>
  <si>
    <t xml:space="preserve">CORYLACEAE</t>
  </si>
  <si>
    <t xml:space="preserve">Carpinus/Ostrya</t>
  </si>
  <si>
    <t xml:space="preserve">Carpinus</t>
  </si>
  <si>
    <t xml:space="preserve">Ostrya carpinifolia</t>
  </si>
  <si>
    <t xml:space="preserve">Corylus avellana</t>
  </si>
  <si>
    <t xml:space="preserve">CUP-TAXACEAE</t>
  </si>
  <si>
    <t xml:space="preserve">ERICACEAE</t>
  </si>
  <si>
    <t xml:space="preserve">EUPHORBIACEAE</t>
  </si>
  <si>
    <t xml:space="preserve">FAGACEAE</t>
  </si>
  <si>
    <t xml:space="preserve">Castanea sativa</t>
  </si>
  <si>
    <t xml:space="preserve">Fagus sylvatica</t>
  </si>
  <si>
    <t xml:space="preserve">Quercus</t>
  </si>
  <si>
    <t xml:space="preserve">GRAMINEAE</t>
  </si>
  <si>
    <t xml:space="preserve">HIPPOCASTANACEAE</t>
  </si>
  <si>
    <t xml:space="preserve">JUGLANDACEAE</t>
  </si>
  <si>
    <t xml:space="preserve">LAURACEAE</t>
  </si>
  <si>
    <t xml:space="preserve">MIMOSACEAE</t>
  </si>
  <si>
    <t xml:space="preserve">MORACEAE</t>
  </si>
  <si>
    <t xml:space="preserve">MYRTACEAE</t>
  </si>
  <si>
    <t xml:space="preserve">OLEACEAE</t>
  </si>
  <si>
    <t xml:space="preserve">Altre oleaceae</t>
  </si>
  <si>
    <t xml:space="preserve">Fraxinus</t>
  </si>
  <si>
    <t xml:space="preserve">Ligustrum</t>
  </si>
  <si>
    <t xml:space="preserve">Olea</t>
  </si>
  <si>
    <t xml:space="preserve">PINACEAE</t>
  </si>
  <si>
    <t xml:space="preserve">PLANTAGINACEAE</t>
  </si>
  <si>
    <t xml:space="preserve">PLATANACEAE</t>
  </si>
  <si>
    <t xml:space="preserve">POLLINI NON IDENTIFICATI</t>
  </si>
  <si>
    <t xml:space="preserve">POLYGONACEAE</t>
  </si>
  <si>
    <t xml:space="preserve">SALICACEAE</t>
  </si>
  <si>
    <t xml:space="preserve">Populus</t>
  </si>
  <si>
    <t xml:space="preserve">Salix</t>
  </si>
  <si>
    <t xml:space="preserve">TILIACEAE</t>
  </si>
  <si>
    <t xml:space="preserve">ULMACEAE</t>
  </si>
  <si>
    <t xml:space="preserve">UMBELLIFERAE</t>
  </si>
  <si>
    <t xml:space="preserve">URTICACEAE</t>
  </si>
  <si>
    <t xml:space="preserve">Totali</t>
  </si>
  <si>
    <t xml:space="preserve">SPORE</t>
  </si>
  <si>
    <t xml:space="preserve">Alternaria</t>
  </si>
  <si>
    <t xml:space="preserve">Botrytis</t>
  </si>
  <si>
    <t xml:space="preserve">Cladosporium</t>
  </si>
  <si>
    <t xml:space="preserve">Curvularia</t>
  </si>
  <si>
    <t xml:space="preserve">Epicoccum</t>
  </si>
  <si>
    <t xml:space="preserve">Helmintosporium</t>
  </si>
  <si>
    <t xml:space="preserve">Pithomyces</t>
  </si>
  <si>
    <t xml:space="preserve">Pleospora</t>
  </si>
  <si>
    <t xml:space="preserve">Polythrincium</t>
  </si>
  <si>
    <t xml:space="preserve">Stemphylium</t>
  </si>
  <si>
    <t xml:space="preserve">Tetraploa</t>
  </si>
  <si>
    <t xml:space="preserve">Torula</t>
  </si>
  <si>
    <t xml:space="preserve">Giorno</t>
  </si>
  <si>
    <t xml:space="preserve">T.8</t>
  </si>
  <si>
    <t xml:space="preserve">T.14</t>
  </si>
  <si>
    <t xml:space="preserve">T.19</t>
  </si>
  <si>
    <t xml:space="preserve">T.Max</t>
  </si>
  <si>
    <t xml:space="preserve">T.Min</t>
  </si>
  <si>
    <t xml:space="preserve">T.med</t>
  </si>
  <si>
    <t xml:space="preserve">UR.8</t>
  </si>
  <si>
    <t xml:space="preserve">UR.14</t>
  </si>
  <si>
    <t xml:space="preserve">UR.19</t>
  </si>
  <si>
    <t xml:space="preserve">UR.med</t>
  </si>
  <si>
    <t xml:space="preserve">UR.max</t>
  </si>
  <si>
    <t xml:space="preserve">UR.min</t>
  </si>
  <si>
    <t xml:space="preserve">Prec</t>
  </si>
  <si>
    <t xml:space="preserve">Dicembre</t>
  </si>
  <si>
    <t xml:space="preserve">LUNEDI 26</t>
  </si>
  <si>
    <t xml:space="preserve">Gennaio</t>
  </si>
  <si>
    <t xml:space="preserve"> </t>
  </si>
  <si>
    <t xml:space="preserve">Settembre</t>
  </si>
  <si>
    <t xml:space="preserve">Set/Ott</t>
  </si>
  <si>
    <t xml:space="preserve">Ottobre</t>
  </si>
  <si>
    <t xml:space="preserve">Ott/nov</t>
  </si>
  <si>
    <t xml:space="preserve">Nov</t>
  </si>
  <si>
    <t xml:space="preserve">Dic</t>
  </si>
  <si>
    <t xml:space="preserve">Gen</t>
  </si>
  <si>
    <t xml:space="preserve">Feb</t>
  </si>
  <si>
    <t xml:space="preserve">Mar</t>
  </si>
  <si>
    <t xml:space="preserve">Mar-Apr</t>
  </si>
  <si>
    <t xml:space="preserve">Aprile</t>
  </si>
  <si>
    <t xml:space="preserve">Aprile/Maggio</t>
  </si>
  <si>
    <t xml:space="preserve">Maggio</t>
  </si>
  <si>
    <t xml:space="preserve">Giuhno</t>
  </si>
  <si>
    <t xml:space="preserve">Giugno</t>
  </si>
  <si>
    <t xml:space="preserve">Luglio</t>
  </si>
  <si>
    <t xml:space="preserve">Lug/Ago</t>
  </si>
  <si>
    <t xml:space="preserve">Agosto</t>
  </si>
  <si>
    <t xml:space="preserve">Febbraio</t>
  </si>
  <si>
    <t xml:space="preserve">MEDIA</t>
  </si>
  <si>
    <t xml:space="preserve">CORYLACEAE (somma c+o)</t>
  </si>
  <si>
    <t xml:space="preserve">gen</t>
  </si>
  <si>
    <t xml:space="preserve">nov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</si>
</sst>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"/>
    <numFmt numFmtId="166" formatCode="dd/mm/yyyy"/>
    <numFmt numFmtId="167" formatCode="0.0"/>
    <numFmt numFmtId="168" formatCode="0.00"/>
    <numFmt numFmtId="169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u val="single"/>
      <sz val="12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5"/>
        <bgColor rgb="FFC5E0B4"/>
      </patternFill>
    </fill>
    <fill>
      <patternFill patternType="solid">
        <fgColor theme="0" tint="-0.15"/>
        <bgColor rgb="FFC5E0B4"/>
      </patternFill>
    </fill>
    <fill>
      <patternFill patternType="solid">
        <fgColor rgb="FFFF0000"/>
        <bgColor rgb="FF800000"/>
      </patternFill>
    </fill>
    <fill>
      <patternFill patternType="solid">
        <fgColor theme="7" tint="0.5999"/>
        <bgColor rgb="FFFFD966"/>
      </patternFill>
    </fill>
    <fill>
      <patternFill patternType="solid">
        <fgColor theme="7" tint="0.3999"/>
        <bgColor rgb="FFFFE699"/>
      </patternFill>
    </fill>
    <fill>
      <patternFill patternType="solid">
        <fgColor theme="9" tint="0.5999"/>
        <bgColor rgb="FFD9D9D9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>
        <color theme="1"/>
      </right>
      <top style="thin">
        <color theme="1"/>
      </top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1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center" textRotation="9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BFBFB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C5E0B4"/>
          <bgColor rgb="FF000000"/>
        </patternFill>
      </fill>
    </dxf>
    <dxf>
      <fill>
        <patternFill patternType="solid">
          <fgColor rgb="FFFFD96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99CCFF"/>
      <rgbColor rgb="FFFF99CC"/>
      <rgbColor rgb="FFCC99FF"/>
      <rgbColor rgb="FFFFD966"/>
      <rgbColor rgb="FF4472C4"/>
      <rgbColor rgb="FF33CCCC"/>
      <rgbColor rgb="FF99CC00"/>
      <rgbColor rgb="FFFFC000"/>
      <rgbColor rgb="FFFF9900"/>
      <rgbColor rgb="FFED7D31"/>
      <rgbColor rgb="FF636363"/>
      <rgbColor rgb="FFA5A5A5"/>
      <rgbColor rgb="FF003366"/>
      <rgbColor rgb="FF70AD47"/>
      <rgbColor rgb="FF003300"/>
      <rgbColor rgb="FF333300"/>
      <rgbColor rgb="FF9E480E"/>
      <rgbColor rgb="FF993366"/>
      <rgbColor rgb="FF2644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worksheet" Target="worksheets/sheet96.xml"/><Relationship Id="rId99" Type="http://schemas.openxmlformats.org/officeDocument/2006/relationships/worksheet" Target="worksheets/sheet97.xml"/><Relationship Id="rId100" Type="http://schemas.openxmlformats.org/officeDocument/2006/relationships/worksheet" Target="worksheets/sheet98.xml"/><Relationship Id="rId101" Type="http://schemas.openxmlformats.org/officeDocument/2006/relationships/worksheet" Target="worksheets/sheet99.xml"/><Relationship Id="rId102" Type="http://schemas.openxmlformats.org/officeDocument/2006/relationships/worksheet" Target="worksheets/sheet100.xml"/><Relationship Id="rId103" Type="http://schemas.openxmlformats.org/officeDocument/2006/relationships/worksheet" Target="worksheets/sheet101.xml"/><Relationship Id="rId104" Type="http://schemas.openxmlformats.org/officeDocument/2006/relationships/worksheet" Target="worksheets/sheet102.xml"/><Relationship Id="rId105" Type="http://schemas.openxmlformats.org/officeDocument/2006/relationships/worksheet" Target="worksheets/sheet103.xml"/><Relationship Id="rId106" Type="http://schemas.openxmlformats.org/officeDocument/2006/relationships/worksheet" Target="worksheets/sheet104.xml"/><Relationship Id="rId107" Type="http://schemas.openxmlformats.org/officeDocument/2006/relationships/worksheet" Target="worksheets/sheet105.xml"/><Relationship Id="rId10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400" strike="noStrike" u="none">
                <a:solidFill>
                  <a:srgbClr val="595959"/>
                </a:solidFill>
                <a:uFillTx/>
                <a:latin typeface="Calibri"/>
              </a:rPr>
              <a:t>Titolo del grafico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'Mag 19-25'!$E$57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'Mag 19-25'!$D$58:$D$70</c:f>
              <c:strCache>
                <c:ptCount val="13"/>
                <c:pt idx="0">
                  <c:v>Alternaria</c:v>
                </c:pt>
                <c:pt idx="1">
                  <c:v>Botrytis</c:v>
                </c:pt>
                <c:pt idx="2">
                  <c:v>Cladosporium</c:v>
                </c:pt>
                <c:pt idx="3">
                  <c:v>Curvularia</c:v>
                </c:pt>
                <c:pt idx="4">
                  <c:v>Epicoccum</c:v>
                </c:pt>
                <c:pt idx="5">
                  <c:v>Helmintosporium</c:v>
                </c:pt>
                <c:pt idx="6">
                  <c:v>Pithomyces</c:v>
                </c:pt>
                <c:pt idx="7">
                  <c:v>Pleospora</c:v>
                </c:pt>
                <c:pt idx="8">
                  <c:v>Polythrincium</c:v>
                </c:pt>
                <c:pt idx="9">
                  <c:v>Stemphylium</c:v>
                </c:pt>
                <c:pt idx="10">
                  <c:v>Tetraploa</c:v>
                </c:pt>
                <c:pt idx="11">
                  <c:v>Torula</c:v>
                </c:pt>
                <c:pt idx="12">
                  <c:v>Totali</c:v>
                </c:pt>
              </c:strCache>
            </c:strRef>
          </c:cat>
          <c:val>
            <c:numRef>
              <c:f>'Mag 19-25'!$E$58:$E$70</c:f>
              <c:numCache>
                <c:formatCode>General</c:formatCode>
                <c:ptCount val="13"/>
              </c:numCache>
            </c:numRef>
          </c:val>
        </c:ser>
        <c:ser>
          <c:idx val="1"/>
          <c:order val="1"/>
          <c:tx>
            <c:strRef>
              <c:f>'Mag 19-25'!$F$57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'Mag 19-25'!$D$58:$D$70</c:f>
              <c:strCache>
                <c:ptCount val="13"/>
                <c:pt idx="0">
                  <c:v>Alternaria</c:v>
                </c:pt>
                <c:pt idx="1">
                  <c:v>Botrytis</c:v>
                </c:pt>
                <c:pt idx="2">
                  <c:v>Cladosporium</c:v>
                </c:pt>
                <c:pt idx="3">
                  <c:v>Curvularia</c:v>
                </c:pt>
                <c:pt idx="4">
                  <c:v>Epicoccum</c:v>
                </c:pt>
                <c:pt idx="5">
                  <c:v>Helmintosporium</c:v>
                </c:pt>
                <c:pt idx="6">
                  <c:v>Pithomyces</c:v>
                </c:pt>
                <c:pt idx="7">
                  <c:v>Pleospora</c:v>
                </c:pt>
                <c:pt idx="8">
                  <c:v>Polythrincium</c:v>
                </c:pt>
                <c:pt idx="9">
                  <c:v>Stemphylium</c:v>
                </c:pt>
                <c:pt idx="10">
                  <c:v>Tetraploa</c:v>
                </c:pt>
                <c:pt idx="11">
                  <c:v>Torula</c:v>
                </c:pt>
                <c:pt idx="12">
                  <c:v>Totali</c:v>
                </c:pt>
              </c:strCache>
            </c:strRef>
          </c:cat>
          <c:val>
            <c:numRef>
              <c:f>'Mag 19-25'!$F$58:$F$70</c:f>
              <c:numCache>
                <c:formatCode>General</c:formatCode>
                <c:ptCount val="13"/>
              </c:numCache>
            </c:numRef>
          </c:val>
        </c:ser>
        <c:ser>
          <c:idx val="2"/>
          <c:order val="2"/>
          <c:tx>
            <c:strRef>
              <c:f>'Mag 19-25'!$G$57</c:f>
              <c:strCache>
                <c:ptCount val="1"/>
                <c:pt idx="0">
                  <c:v>LUNEDI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'Mag 19-25'!$D$58:$D$70</c:f>
              <c:strCache>
                <c:ptCount val="13"/>
                <c:pt idx="0">
                  <c:v>Alternaria</c:v>
                </c:pt>
                <c:pt idx="1">
                  <c:v>Botrytis</c:v>
                </c:pt>
                <c:pt idx="2">
                  <c:v>Cladosporium</c:v>
                </c:pt>
                <c:pt idx="3">
                  <c:v>Curvularia</c:v>
                </c:pt>
                <c:pt idx="4">
                  <c:v>Epicoccum</c:v>
                </c:pt>
                <c:pt idx="5">
                  <c:v>Helmintosporium</c:v>
                </c:pt>
                <c:pt idx="6">
                  <c:v>Pithomyces</c:v>
                </c:pt>
                <c:pt idx="7">
                  <c:v>Pleospora</c:v>
                </c:pt>
                <c:pt idx="8">
                  <c:v>Polythrincium</c:v>
                </c:pt>
                <c:pt idx="9">
                  <c:v>Stemphylium</c:v>
                </c:pt>
                <c:pt idx="10">
                  <c:v>Tetraploa</c:v>
                </c:pt>
                <c:pt idx="11">
                  <c:v>Torula</c:v>
                </c:pt>
                <c:pt idx="12">
                  <c:v>Totali</c:v>
                </c:pt>
              </c:strCache>
            </c:strRef>
          </c:cat>
          <c:val>
            <c:numRef>
              <c:f>'Mag 19-25'!$G$58:$G$70</c:f>
              <c:numCache>
                <c:formatCode>General</c:formatCode>
                <c:ptCount val="13"/>
                <c:pt idx="0">
                  <c:v>248</c:v>
                </c:pt>
                <c:pt idx="4">
                  <c:v>103</c:v>
                </c:pt>
                <c:pt idx="5">
                  <c:v>8</c:v>
                </c:pt>
                <c:pt idx="6">
                  <c:v>64</c:v>
                </c:pt>
                <c:pt idx="7">
                  <c:v>1</c:v>
                </c:pt>
                <c:pt idx="8">
                  <c:v>3</c:v>
                </c:pt>
                <c:pt idx="9">
                  <c:v>12</c:v>
                </c:pt>
                <c:pt idx="11">
                  <c:v>45</c:v>
                </c:pt>
              </c:numCache>
            </c:numRef>
          </c:val>
        </c:ser>
        <c:ser>
          <c:idx val="3"/>
          <c:order val="3"/>
          <c:tx>
            <c:strRef>
              <c:f>'Mag 19-25'!$H$57</c:f>
              <c:strCache>
                <c:ptCount val="1"/>
                <c:pt idx="0">
                  <c:v>MARTEDI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'Mag 19-25'!$D$58:$D$70</c:f>
              <c:strCache>
                <c:ptCount val="13"/>
                <c:pt idx="0">
                  <c:v>Alternaria</c:v>
                </c:pt>
                <c:pt idx="1">
                  <c:v>Botrytis</c:v>
                </c:pt>
                <c:pt idx="2">
                  <c:v>Cladosporium</c:v>
                </c:pt>
                <c:pt idx="3">
                  <c:v>Curvularia</c:v>
                </c:pt>
                <c:pt idx="4">
                  <c:v>Epicoccum</c:v>
                </c:pt>
                <c:pt idx="5">
                  <c:v>Helmintosporium</c:v>
                </c:pt>
                <c:pt idx="6">
                  <c:v>Pithomyces</c:v>
                </c:pt>
                <c:pt idx="7">
                  <c:v>Pleospora</c:v>
                </c:pt>
                <c:pt idx="8">
                  <c:v>Polythrincium</c:v>
                </c:pt>
                <c:pt idx="9">
                  <c:v>Stemphylium</c:v>
                </c:pt>
                <c:pt idx="10">
                  <c:v>Tetraploa</c:v>
                </c:pt>
                <c:pt idx="11">
                  <c:v>Torula</c:v>
                </c:pt>
                <c:pt idx="12">
                  <c:v>Totali</c:v>
                </c:pt>
              </c:strCache>
            </c:strRef>
          </c:cat>
          <c:val>
            <c:numRef>
              <c:f>'Mag 19-25'!$H$58:$H$70</c:f>
              <c:numCache>
                <c:formatCode>General</c:formatCode>
                <c:ptCount val="13"/>
                <c:pt idx="0">
                  <c:v>174</c:v>
                </c:pt>
                <c:pt idx="4">
                  <c:v>85</c:v>
                </c:pt>
                <c:pt idx="5">
                  <c:v>13</c:v>
                </c:pt>
                <c:pt idx="6">
                  <c:v>66</c:v>
                </c:pt>
                <c:pt idx="7">
                  <c:v>2</c:v>
                </c:pt>
                <c:pt idx="8">
                  <c:v>2</c:v>
                </c:pt>
                <c:pt idx="9">
                  <c:v>10</c:v>
                </c:pt>
                <c:pt idx="11">
                  <c:v>200</c:v>
                </c:pt>
              </c:numCache>
            </c:numRef>
          </c:val>
        </c:ser>
        <c:ser>
          <c:idx val="4"/>
          <c:order val="4"/>
          <c:tx>
            <c:strRef>
              <c:f>'Mag 19-25'!$I$57</c:f>
              <c:strCache>
                <c:ptCount val="1"/>
                <c:pt idx="0">
                  <c:v>MERC.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'Mag 19-25'!$D$58:$D$70</c:f>
              <c:strCache>
                <c:ptCount val="13"/>
                <c:pt idx="0">
                  <c:v>Alternaria</c:v>
                </c:pt>
                <c:pt idx="1">
                  <c:v>Botrytis</c:v>
                </c:pt>
                <c:pt idx="2">
                  <c:v>Cladosporium</c:v>
                </c:pt>
                <c:pt idx="3">
                  <c:v>Curvularia</c:v>
                </c:pt>
                <c:pt idx="4">
                  <c:v>Epicoccum</c:v>
                </c:pt>
                <c:pt idx="5">
                  <c:v>Helmintosporium</c:v>
                </c:pt>
                <c:pt idx="6">
                  <c:v>Pithomyces</c:v>
                </c:pt>
                <c:pt idx="7">
                  <c:v>Pleospora</c:v>
                </c:pt>
                <c:pt idx="8">
                  <c:v>Polythrincium</c:v>
                </c:pt>
                <c:pt idx="9">
                  <c:v>Stemphylium</c:v>
                </c:pt>
                <c:pt idx="10">
                  <c:v>Tetraploa</c:v>
                </c:pt>
                <c:pt idx="11">
                  <c:v>Torula</c:v>
                </c:pt>
                <c:pt idx="12">
                  <c:v>Totali</c:v>
                </c:pt>
              </c:strCache>
            </c:strRef>
          </c:cat>
          <c:val>
            <c:numRef>
              <c:f>'Mag 19-25'!$I$58:$I$70</c:f>
              <c:numCache>
                <c:formatCode>General</c:formatCode>
                <c:ptCount val="13"/>
                <c:pt idx="0">
                  <c:v>787</c:v>
                </c:pt>
                <c:pt idx="4">
                  <c:v>384</c:v>
                </c:pt>
                <c:pt idx="5">
                  <c:v>14</c:v>
                </c:pt>
                <c:pt idx="6">
                  <c:v>127</c:v>
                </c:pt>
                <c:pt idx="9">
                  <c:v>6</c:v>
                </c:pt>
                <c:pt idx="11">
                  <c:v>139</c:v>
                </c:pt>
              </c:numCache>
            </c:numRef>
          </c:val>
        </c:ser>
        <c:ser>
          <c:idx val="5"/>
          <c:order val="5"/>
          <c:tx>
            <c:strRef>
              <c:f>'Mag 19-25'!$J$57</c:f>
              <c:strCache>
                <c:ptCount val="1"/>
                <c:pt idx="0">
                  <c:v>GIOVEDI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'Mag 19-25'!$D$58:$D$70</c:f>
              <c:strCache>
                <c:ptCount val="13"/>
                <c:pt idx="0">
                  <c:v>Alternaria</c:v>
                </c:pt>
                <c:pt idx="1">
                  <c:v>Botrytis</c:v>
                </c:pt>
                <c:pt idx="2">
                  <c:v>Cladosporium</c:v>
                </c:pt>
                <c:pt idx="3">
                  <c:v>Curvularia</c:v>
                </c:pt>
                <c:pt idx="4">
                  <c:v>Epicoccum</c:v>
                </c:pt>
                <c:pt idx="5">
                  <c:v>Helmintosporium</c:v>
                </c:pt>
                <c:pt idx="6">
                  <c:v>Pithomyces</c:v>
                </c:pt>
                <c:pt idx="7">
                  <c:v>Pleospora</c:v>
                </c:pt>
                <c:pt idx="8">
                  <c:v>Polythrincium</c:v>
                </c:pt>
                <c:pt idx="9">
                  <c:v>Stemphylium</c:v>
                </c:pt>
                <c:pt idx="10">
                  <c:v>Tetraploa</c:v>
                </c:pt>
                <c:pt idx="11">
                  <c:v>Torula</c:v>
                </c:pt>
                <c:pt idx="12">
                  <c:v>Totali</c:v>
                </c:pt>
              </c:strCache>
            </c:strRef>
          </c:cat>
          <c:val>
            <c:numRef>
              <c:f>'Mag 19-25'!$J$58:$J$70</c:f>
              <c:numCache>
                <c:formatCode>General</c:formatCode>
                <c:ptCount val="13"/>
                <c:pt idx="0">
                  <c:v>486</c:v>
                </c:pt>
                <c:pt idx="4">
                  <c:v>237</c:v>
                </c:pt>
                <c:pt idx="5">
                  <c:v>31</c:v>
                </c:pt>
                <c:pt idx="6">
                  <c:v>120</c:v>
                </c:pt>
                <c:pt idx="7">
                  <c:v>3</c:v>
                </c:pt>
                <c:pt idx="9">
                  <c:v>10</c:v>
                </c:pt>
                <c:pt idx="11">
                  <c:v>112</c:v>
                </c:pt>
              </c:numCache>
            </c:numRef>
          </c:val>
        </c:ser>
        <c:ser>
          <c:idx val="6"/>
          <c:order val="6"/>
          <c:tx>
            <c:strRef>
              <c:f>'Mag 19-25'!$K$57</c:f>
              <c:strCache>
                <c:ptCount val="1"/>
                <c:pt idx="0">
                  <c:v>VENERDI</c:v>
                </c:pt>
              </c:strCache>
            </c:strRef>
          </c:tx>
          <c:spPr>
            <a:solidFill>
              <a:srgbClr val="26447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'Mag 19-25'!$D$58:$D$70</c:f>
              <c:strCache>
                <c:ptCount val="13"/>
                <c:pt idx="0">
                  <c:v>Alternaria</c:v>
                </c:pt>
                <c:pt idx="1">
                  <c:v>Botrytis</c:v>
                </c:pt>
                <c:pt idx="2">
                  <c:v>Cladosporium</c:v>
                </c:pt>
                <c:pt idx="3">
                  <c:v>Curvularia</c:v>
                </c:pt>
                <c:pt idx="4">
                  <c:v>Epicoccum</c:v>
                </c:pt>
                <c:pt idx="5">
                  <c:v>Helmintosporium</c:v>
                </c:pt>
                <c:pt idx="6">
                  <c:v>Pithomyces</c:v>
                </c:pt>
                <c:pt idx="7">
                  <c:v>Pleospora</c:v>
                </c:pt>
                <c:pt idx="8">
                  <c:v>Polythrincium</c:v>
                </c:pt>
                <c:pt idx="9">
                  <c:v>Stemphylium</c:v>
                </c:pt>
                <c:pt idx="10">
                  <c:v>Tetraploa</c:v>
                </c:pt>
                <c:pt idx="11">
                  <c:v>Torula</c:v>
                </c:pt>
                <c:pt idx="12">
                  <c:v>Totali</c:v>
                </c:pt>
              </c:strCache>
            </c:strRef>
          </c:cat>
          <c:val>
            <c:numRef>
              <c:f>'Mag 19-25'!$K$58:$K$70</c:f>
              <c:numCache>
                <c:formatCode>General</c:formatCode>
                <c:ptCount val="13"/>
                <c:pt idx="0">
                  <c:v>700</c:v>
                </c:pt>
                <c:pt idx="4">
                  <c:v>415</c:v>
                </c:pt>
                <c:pt idx="5">
                  <c:v>29</c:v>
                </c:pt>
                <c:pt idx="6">
                  <c:v>121</c:v>
                </c:pt>
                <c:pt idx="7">
                  <c:v>3</c:v>
                </c:pt>
                <c:pt idx="9">
                  <c:v>19</c:v>
                </c:pt>
                <c:pt idx="11">
                  <c:v>165</c:v>
                </c:pt>
              </c:numCache>
            </c:numRef>
          </c:val>
        </c:ser>
        <c:ser>
          <c:idx val="7"/>
          <c:order val="7"/>
          <c:tx>
            <c:strRef>
              <c:f>'Mag 19-25'!$L$57</c:f>
              <c:strCache>
                <c:ptCount val="1"/>
                <c:pt idx="0">
                  <c:v>SABATO</c:v>
                </c:pt>
              </c:strCache>
            </c:strRef>
          </c:tx>
          <c:spPr>
            <a:solidFill>
              <a:srgbClr val="9e480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'Mag 19-25'!$D$58:$D$70</c:f>
              <c:strCache>
                <c:ptCount val="13"/>
                <c:pt idx="0">
                  <c:v>Alternaria</c:v>
                </c:pt>
                <c:pt idx="1">
                  <c:v>Botrytis</c:v>
                </c:pt>
                <c:pt idx="2">
                  <c:v>Cladosporium</c:v>
                </c:pt>
                <c:pt idx="3">
                  <c:v>Curvularia</c:v>
                </c:pt>
                <c:pt idx="4">
                  <c:v>Epicoccum</c:v>
                </c:pt>
                <c:pt idx="5">
                  <c:v>Helmintosporium</c:v>
                </c:pt>
                <c:pt idx="6">
                  <c:v>Pithomyces</c:v>
                </c:pt>
                <c:pt idx="7">
                  <c:v>Pleospora</c:v>
                </c:pt>
                <c:pt idx="8">
                  <c:v>Polythrincium</c:v>
                </c:pt>
                <c:pt idx="9">
                  <c:v>Stemphylium</c:v>
                </c:pt>
                <c:pt idx="10">
                  <c:v>Tetraploa</c:v>
                </c:pt>
                <c:pt idx="11">
                  <c:v>Torula</c:v>
                </c:pt>
                <c:pt idx="12">
                  <c:v>Totali</c:v>
                </c:pt>
              </c:strCache>
            </c:strRef>
          </c:cat>
          <c:val>
            <c:numRef>
              <c:f>'Mag 19-25'!$L$58:$L$70</c:f>
              <c:numCache>
                <c:formatCode>General</c:formatCode>
                <c:ptCount val="13"/>
                <c:pt idx="0">
                  <c:v>808</c:v>
                </c:pt>
                <c:pt idx="4">
                  <c:v>337</c:v>
                </c:pt>
                <c:pt idx="5">
                  <c:v>29</c:v>
                </c:pt>
                <c:pt idx="6">
                  <c:v>128</c:v>
                </c:pt>
                <c:pt idx="7">
                  <c:v>2</c:v>
                </c:pt>
                <c:pt idx="9">
                  <c:v>19</c:v>
                </c:pt>
                <c:pt idx="11">
                  <c:v>187</c:v>
                </c:pt>
              </c:numCache>
            </c:numRef>
          </c:val>
        </c:ser>
        <c:ser>
          <c:idx val="8"/>
          <c:order val="8"/>
          <c:tx>
            <c:strRef>
              <c:f>'Mag 19-25'!$M$57</c:f>
              <c:strCache>
                <c:ptCount val="1"/>
                <c:pt idx="0">
                  <c:v>DOMEN.</c:v>
                </c:pt>
              </c:strCache>
            </c:strRef>
          </c:tx>
          <c:spPr>
            <a:solidFill>
              <a:srgbClr val="63636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'Mag 19-25'!$D$58:$D$70</c:f>
              <c:strCache>
                <c:ptCount val="13"/>
                <c:pt idx="0">
                  <c:v>Alternaria</c:v>
                </c:pt>
                <c:pt idx="1">
                  <c:v>Botrytis</c:v>
                </c:pt>
                <c:pt idx="2">
                  <c:v>Cladosporium</c:v>
                </c:pt>
                <c:pt idx="3">
                  <c:v>Curvularia</c:v>
                </c:pt>
                <c:pt idx="4">
                  <c:v>Epicoccum</c:v>
                </c:pt>
                <c:pt idx="5">
                  <c:v>Helmintosporium</c:v>
                </c:pt>
                <c:pt idx="6">
                  <c:v>Pithomyces</c:v>
                </c:pt>
                <c:pt idx="7">
                  <c:v>Pleospora</c:v>
                </c:pt>
                <c:pt idx="8">
                  <c:v>Polythrincium</c:v>
                </c:pt>
                <c:pt idx="9">
                  <c:v>Stemphylium</c:v>
                </c:pt>
                <c:pt idx="10">
                  <c:v>Tetraploa</c:v>
                </c:pt>
                <c:pt idx="11">
                  <c:v>Torula</c:v>
                </c:pt>
                <c:pt idx="12">
                  <c:v>Totali</c:v>
                </c:pt>
              </c:strCache>
            </c:strRef>
          </c:cat>
          <c:val>
            <c:numRef>
              <c:f>'Mag 19-25'!$M$58:$M$70</c:f>
              <c:numCache>
                <c:formatCode>General</c:formatCode>
                <c:ptCount val="13"/>
                <c:pt idx="0">
                  <c:v>318</c:v>
                </c:pt>
                <c:pt idx="4">
                  <c:v>177</c:v>
                </c:pt>
                <c:pt idx="5">
                  <c:v>21</c:v>
                </c:pt>
                <c:pt idx="6">
                  <c:v>70</c:v>
                </c:pt>
                <c:pt idx="9">
                  <c:v>14</c:v>
                </c:pt>
                <c:pt idx="11">
                  <c:v>29</c:v>
                </c:pt>
              </c:numCache>
            </c:numRef>
          </c:val>
        </c:ser>
        <c:gapWidth val="219"/>
        <c:overlap val="-27"/>
        <c:axId val="83092974"/>
        <c:axId val="45202924"/>
      </c:barChart>
      <c:catAx>
        <c:axId val="830929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45202924"/>
        <c:crosses val="autoZero"/>
        <c:auto val="1"/>
        <c:lblAlgn val="ctr"/>
        <c:lblOffset val="100"/>
        <c:noMultiLvlLbl val="0"/>
      </c:catAx>
      <c:valAx>
        <c:axId val="4520292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830929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15</xdr:col>
      <xdr:colOff>313920</xdr:colOff>
      <xdr:row>34</xdr:row>
      <xdr:rowOff>122400</xdr:rowOff>
    </xdr:to>
    <xdr:graphicFrame>
      <xdr:nvGraphicFramePr>
        <xdr:cNvPr id="0" name="Grafico 1"/>
        <xdr:cNvGraphicFramePr/>
      </xdr:nvGraphicFramePr>
      <xdr:xfrm>
        <a:off x="0" y="0"/>
        <a:ext cx="9305640" cy="6081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la5" displayName="Tabella5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.xml><?xml version="1.0" encoding="utf-8"?>
<table xmlns="http://schemas.openxmlformats.org/spreadsheetml/2006/main" id="2" name="Tabella515" displayName="Tabella51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3.xml><?xml version="1.0" encoding="utf-8"?>
<table xmlns="http://schemas.openxmlformats.org/spreadsheetml/2006/main" id="3" name="Tabella5213" displayName="Tabella5213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4.xml><?xml version="1.0" encoding="utf-8"?>
<table xmlns="http://schemas.openxmlformats.org/spreadsheetml/2006/main" id="4" name="Tabella52514" displayName="Tabella52514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5.xml><?xml version="1.0" encoding="utf-8"?>
<table xmlns="http://schemas.openxmlformats.org/spreadsheetml/2006/main" id="5" name="Tabella52781012" displayName="Tabella52781012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6.xml><?xml version="1.0" encoding="utf-8"?>
<table xmlns="http://schemas.openxmlformats.org/spreadsheetml/2006/main" id="6" name="Tabella527911" displayName="Tabella527911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7.xml><?xml version="1.0" encoding="utf-8"?>
<table xmlns="http://schemas.openxmlformats.org/spreadsheetml/2006/main" id="7" name="Tabella5279112" displayName="Tabella527911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8.xml><?xml version="1.0" encoding="utf-8"?>
<table xmlns="http://schemas.openxmlformats.org/spreadsheetml/2006/main" id="8" name="Tabella52791123" displayName="Tabella5279112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9.xml><?xml version="1.0" encoding="utf-8"?>
<table xmlns="http://schemas.openxmlformats.org/spreadsheetml/2006/main" id="9" name="Tabella527911235" displayName="Tabella52791123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0.xml><?xml version="1.0" encoding="utf-8"?>
<table xmlns="http://schemas.openxmlformats.org/spreadsheetml/2006/main" id="10" name="Tabella5279112358" displayName="Tabella5279112358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1.xml><?xml version="1.0" encoding="utf-8"?>
<table xmlns="http://schemas.openxmlformats.org/spreadsheetml/2006/main" id="11" name="Tabella527911235810" displayName="Tabella527911235810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2.xml><?xml version="1.0" encoding="utf-8"?>
<table xmlns="http://schemas.openxmlformats.org/spreadsheetml/2006/main" id="12" name="Tabella52791123581017" displayName="Tabella52791123581017" ref="S5:Z53" headerRowCount="0" totalsRowCount="0" totalsRowShown="0">
  <tableColumns count="8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  <tableColumn id="8" name="Colonna8"/>
  </tableColumns>
</table>
</file>

<file path=xl/tables/table13.xml><?xml version="1.0" encoding="utf-8"?>
<table xmlns="http://schemas.openxmlformats.org/spreadsheetml/2006/main" id="13" name="Tabella5279112358101719" displayName="Tabella527911235810171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4.xml><?xml version="1.0" encoding="utf-8"?>
<table xmlns="http://schemas.openxmlformats.org/spreadsheetml/2006/main" id="14" name="Tabella527911235810171921" displayName="Tabella52791123581017192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5.xml><?xml version="1.0" encoding="utf-8"?>
<table xmlns="http://schemas.openxmlformats.org/spreadsheetml/2006/main" id="15" name="Tabella52791123581017192123" displayName="Tabella5279112358101719212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6.xml><?xml version="1.0" encoding="utf-8"?>
<table xmlns="http://schemas.openxmlformats.org/spreadsheetml/2006/main" id="16" name="Tabella5279112358101719212325" displayName="Tabella527911235810171921232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7.xml><?xml version="1.0" encoding="utf-8"?>
<table xmlns="http://schemas.openxmlformats.org/spreadsheetml/2006/main" id="17" name="Tabella527911235810171921232527" displayName="Tabella52791123581017192123252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8.xml><?xml version="1.0" encoding="utf-8"?>
<table xmlns="http://schemas.openxmlformats.org/spreadsheetml/2006/main" id="18" name="Tabella52791123581017192123252729" displayName="Tabella5279112358101719212325272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9.xml><?xml version="1.0" encoding="utf-8"?>
<table xmlns="http://schemas.openxmlformats.org/spreadsheetml/2006/main" id="19" name="Tabella5279112358101719212325272931" displayName="Tabella527911235810171921232527293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0.xml><?xml version="1.0" encoding="utf-8"?>
<table xmlns="http://schemas.openxmlformats.org/spreadsheetml/2006/main" id="20" name="Tabella527911235810171921232527293133" displayName="Tabella52791123581017192123252729313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1.xml><?xml version="1.0" encoding="utf-8"?>
<table xmlns="http://schemas.openxmlformats.org/spreadsheetml/2006/main" id="21" name="Tabella52791123581017192123252729313335" displayName="Tabella5279112358101719212325272931333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2.xml><?xml version="1.0" encoding="utf-8"?>
<table xmlns="http://schemas.openxmlformats.org/spreadsheetml/2006/main" id="22" name="Tabella5279112358101719212325272931333537" displayName="Tabella527911235810171921232527293133353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3.xml><?xml version="1.0" encoding="utf-8"?>
<table xmlns="http://schemas.openxmlformats.org/spreadsheetml/2006/main" id="23" name="Tabella527911235810171921232527293133353739" displayName="Tabella52791123581017192123252729313335373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4.xml><?xml version="1.0" encoding="utf-8"?>
<table xmlns="http://schemas.openxmlformats.org/spreadsheetml/2006/main" id="24" name="Tabella52791123581017192123252729313335373941" displayName="Tabella5279112358101719212325272931333537394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5.xml><?xml version="1.0" encoding="utf-8"?>
<table xmlns="http://schemas.openxmlformats.org/spreadsheetml/2006/main" id="25" name="Tabella5279112358101719212325272931333537394143" displayName="Tabella527911235810171921232527293133353739414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6.xml><?xml version="1.0" encoding="utf-8"?>
<table xmlns="http://schemas.openxmlformats.org/spreadsheetml/2006/main" id="26" name="Tabella527911235810171921232527293133353739414345" displayName="Tabella52791123581017192123252729313335373941434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7.xml><?xml version="1.0" encoding="utf-8"?>
<table xmlns="http://schemas.openxmlformats.org/spreadsheetml/2006/main" id="27" name="Tabella52791123581017192123252729313335373941434547" displayName="Tabella5279112358101719212325272931333537394143454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8.xml><?xml version="1.0" encoding="utf-8"?>
<table xmlns="http://schemas.openxmlformats.org/spreadsheetml/2006/main" id="28" name="Tabella5279112358101719212325272931333537394143454749" displayName="Tabella527911235810171921232527293133353739414345474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9.xml><?xml version="1.0" encoding="utf-8"?>
<table xmlns="http://schemas.openxmlformats.org/spreadsheetml/2006/main" id="29" name="Tabella527911235810171921232527293133353739414345474951" displayName="Tabella52791123581017192123252729313335373941434547495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30.xml><?xml version="1.0" encoding="utf-8"?>
<table xmlns="http://schemas.openxmlformats.org/spreadsheetml/2006/main" id="30" name="Tabella52791123581017192123252729313335373941434547495153" displayName="Tabella5279112358101719212325272931333537394143454749515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31.xml><?xml version="1.0" encoding="utf-8"?>
<table xmlns="http://schemas.openxmlformats.org/spreadsheetml/2006/main" id="31" name="Tabella5279112358101719212325272931333537394143454749515355" displayName="Tabella527911235810171921232527293133353739414345474951535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32.xml><?xml version="1.0" encoding="utf-8"?>
<table xmlns="http://schemas.openxmlformats.org/spreadsheetml/2006/main" id="32" name="Tabella527911235810171921232527293133353739414345474951535557" displayName="Tabella52791123581017192123252729313335373941434547495153555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33.xml><?xml version="1.0" encoding="utf-8"?>
<table xmlns="http://schemas.openxmlformats.org/spreadsheetml/2006/main" id="33" name="Tabella52791123581017192123252729313335373941434547495153555759" displayName="Tabella5279112358101719212325272931333537394143454749515355575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34.xml><?xml version="1.0" encoding="utf-8"?>
<table xmlns="http://schemas.openxmlformats.org/spreadsheetml/2006/main" id="34" name="Tabella5279112358101719212325272931333537394143454749515355575961" displayName="Tabella527911235810171921232527293133353739414345474951535557596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35.xml><?xml version="1.0" encoding="utf-8"?>
<table xmlns="http://schemas.openxmlformats.org/spreadsheetml/2006/main" id="35" name="Tabella527911235810171921232527293133353739414345474951535557596163" displayName="Tabella52791123581017192123252729313335373941434547495153555759616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36.xml><?xml version="1.0" encoding="utf-8"?>
<table xmlns="http://schemas.openxmlformats.org/spreadsheetml/2006/main" id="36" name="Tabella52791123581017192123252729313335373941434547495153555759616365" displayName="Tabella5279112358101719212325272931333537394143454749515355575961636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37.xml><?xml version="1.0" encoding="utf-8"?>
<table xmlns="http://schemas.openxmlformats.org/spreadsheetml/2006/main" id="37" name="Tabella5279112358101719212325272931333537394143454749515355575961636567" displayName="Tabella527911235810171921232527293133353739414345474951535557596163656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38.xml><?xml version="1.0" encoding="utf-8"?>
<table xmlns="http://schemas.openxmlformats.org/spreadsheetml/2006/main" id="38" name="Tabella5279112358101719212325272931333537394143454749515355575961636569" displayName="Tabella527911235810171921232527293133353739414345474951535557596163656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39.xml><?xml version="1.0" encoding="utf-8"?>
<table xmlns="http://schemas.openxmlformats.org/spreadsheetml/2006/main" id="39" name="Tabella527911235810171921232527293133353739414345474951535557596163656971" displayName="Tabella52791123581017192123252729313335373941434547495153555759616365697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40.xml><?xml version="1.0" encoding="utf-8"?>
<table xmlns="http://schemas.openxmlformats.org/spreadsheetml/2006/main" id="40" name="Tabella52791123581017192123252729313335373941434547495153555759616365697173" displayName="Tabella5279112358101719212325272931333537394143454749515355575961636569717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41.xml><?xml version="1.0" encoding="utf-8"?>
<table xmlns="http://schemas.openxmlformats.org/spreadsheetml/2006/main" id="41" name="Tabella5279112358101719212325272931333537394143454749515355575961636569717375" displayName="Tabella527911235810171921232527293133353739414345474951535557596163656971737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42.xml><?xml version="1.0" encoding="utf-8"?>
<table xmlns="http://schemas.openxmlformats.org/spreadsheetml/2006/main" id="42" name="Tabella527911235810171921232527293133353739414345474951535557596163656971737577" displayName="Tabella52791123581017192123252729313335373941434547495153555759616365697173757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43.xml><?xml version="1.0" encoding="utf-8"?>
<table xmlns="http://schemas.openxmlformats.org/spreadsheetml/2006/main" id="43" name="Tabella52791123581017192123252729313335373941434547495153555759616365697173757779" displayName="Tabella5279112358101719212325272931333537394143454749515355575961636569717375777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44.xml><?xml version="1.0" encoding="utf-8"?>
<table xmlns="http://schemas.openxmlformats.org/spreadsheetml/2006/main" id="44" name="Tabella5279112358101719212325272931333537394143454749515355575961636569717375777981" displayName="Tabella527911235810171921232527293133353739414345474951535557596163656971737577798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45.xml><?xml version="1.0" encoding="utf-8"?>
<table xmlns="http://schemas.openxmlformats.org/spreadsheetml/2006/main" id="45" name="Tabella527911235810171921232527293133353739414345474951535557596163656971737577798183" displayName="Tabella52791123581017192123252729313335373941434547495153555759616365697173757779818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46.xml><?xml version="1.0" encoding="utf-8"?>
<table xmlns="http://schemas.openxmlformats.org/spreadsheetml/2006/main" id="46" name="Tabella52791123581017192123252729313335373941434547495153555759616365697173757779818385" displayName="Tabella5279112358101719212325272931333537394143454749515355575961636569717375777981838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47.xml><?xml version="1.0" encoding="utf-8"?>
<table xmlns="http://schemas.openxmlformats.org/spreadsheetml/2006/main" id="47" name="Tabella5279112358101719212325272931333537394143454749515355575961636569717375777981838587" displayName="Tabella527911235810171921232527293133353739414345474951535557596163656971737577798183858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48.xml><?xml version="1.0" encoding="utf-8"?>
<table xmlns="http://schemas.openxmlformats.org/spreadsheetml/2006/main" id="48" name="Tabella527911235810171921232527293133353739414345474951535557596163656971737577798183858791" displayName="Tabella52791123581017192123252729313335373941434547495153555759616365697173757779818385879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49.xml><?xml version="1.0" encoding="utf-8"?>
<table xmlns="http://schemas.openxmlformats.org/spreadsheetml/2006/main" id="49" name="Tabella52791123581017192123252729313335373941434547495153555759616365697173757779818385879189" displayName="Tabella5279112358101719212325272931333537394143454749515355575961636569717375777981838587918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50.xml><?xml version="1.0" encoding="utf-8"?>
<table xmlns="http://schemas.openxmlformats.org/spreadsheetml/2006/main" id="50" name="Tabella5279112358101719212325272931333537394143454749515355575961636569717375777981838587918993" displayName="Tabella527911235810171921232527293133353739414345474951535557596163656971737577798183858791899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51.xml><?xml version="1.0" encoding="utf-8"?>
<table xmlns="http://schemas.openxmlformats.org/spreadsheetml/2006/main" id="51" name="Tabella527911235810171921232527293133353739414345474951535557596163656971737577798183858791899395" displayName="Tabella52791123581017192123252729313335373941434547495153555759616365697173757779818385879189939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52.xml><?xml version="1.0" encoding="utf-8"?>
<table xmlns="http://schemas.openxmlformats.org/spreadsheetml/2006/main" id="52" name="Tabella52791123581017192123252729313335373941434547495153555759616365697173757779818385879189939597" displayName="Tabella5279112358101719212325272931333537394143454749515355575961636569717375777981838587918993959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53.xml><?xml version="1.0" encoding="utf-8"?>
<table xmlns="http://schemas.openxmlformats.org/spreadsheetml/2006/main" id="53" name="Tabella5279112358101719212325272931333537394143454749515355575961636569717375777981838587918993959799" displayName="Tabella527911235810171921232527293133353739414345474951535557596163656971737577798183858791899395979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54.xml><?xml version="1.0" encoding="utf-8"?>
<table xmlns="http://schemas.openxmlformats.org/spreadsheetml/2006/main" id="54" name="Tabella5279112358101719212325272931333537394143454749515355575961636569717375777981838587918993959799101" displayName="Tabella527911235810171921232527293133353739414345474951535557596163656971737577798183858791899395979910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55.xml><?xml version="1.0" encoding="utf-8"?>
<table xmlns="http://schemas.openxmlformats.org/spreadsheetml/2006/main" id="55" name="Tabella5279112358101719212325272931333537394143454749515355575961636569717375777981838587918993959799101103" displayName="Tabella527911235810171921232527293133353739414345474951535557596163656971737577798183858791899395979910110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56.xml><?xml version="1.0" encoding="utf-8"?>
<table xmlns="http://schemas.openxmlformats.org/spreadsheetml/2006/main" id="56" name="Tabella5279112358101719212325272931333537394143454749515355575961636569717375777981838587918993959799101103105" displayName="Tabella527911235810171921232527293133353739414345474951535557596163656971737577798183858791899395979910110310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57.xml><?xml version="1.0" encoding="utf-8"?>
<table xmlns="http://schemas.openxmlformats.org/spreadsheetml/2006/main" id="57" name="Tabella5279112358101719212325272931333537394143454749515355575961636569717375777981838587918993959799101103105107" displayName="Tabella527911235810171921232527293133353739414345474951535557596163656971737577798183858791899395979910110310510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58.xml><?xml version="1.0" encoding="utf-8"?>
<table xmlns="http://schemas.openxmlformats.org/spreadsheetml/2006/main" id="58" name="Tabella5279112358101719212325272931333537394143454749515355575961636569717375777981838587918993959799101103105107109" displayName="Tabella527911235810171921232527293133353739414345474951535557596163656971737577798183858791899395979910110310510710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59.xml><?xml version="1.0" encoding="utf-8"?>
<table xmlns="http://schemas.openxmlformats.org/spreadsheetml/2006/main" id="59" name="Tabella5279112358101719212325272931333537394143454749515355575961636569717375777981838587918993959799101103105107109111" displayName="Tabella527911235810171921232527293133353739414345474951535557596163656971737577798183858791899395979910110310510710911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60.xml><?xml version="1.0" encoding="utf-8"?>
<table xmlns="http://schemas.openxmlformats.org/spreadsheetml/2006/main" id="60" name="Tabella5279112358101719212325272931333537394143454749515355575961636569717375777981838587918993959799101103105107109111113" displayName="Tabella527911235810171921232527293133353739414345474951535557596163656971737577798183858791899395979910110310510710911111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61.xml><?xml version="1.0" encoding="utf-8"?>
<table xmlns="http://schemas.openxmlformats.org/spreadsheetml/2006/main" id="61" name="Tabella5279112358101719212325272931333537394143454749515355575961636569717375777981838587918993959799101103105107109111113115" displayName="Tabella527911235810171921232527293133353739414345474951535557596163656971737577798183858791899395979910110310510710911111311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62.xml><?xml version="1.0" encoding="utf-8"?>
<table xmlns="http://schemas.openxmlformats.org/spreadsheetml/2006/main" id="62" name="Tabella5279112358101719212325272931333537394143454749515355575961636569717375777981838587918993959799101103105107109111113115117" displayName="Tabella527911235810171921232527293133353739414345474951535557596163656971737577798183858791899395979910110310510710911111311511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63.xml><?xml version="1.0" encoding="utf-8"?>
<table xmlns="http://schemas.openxmlformats.org/spreadsheetml/2006/main" id="63" name="Tabella5279112358101719212325272931333537394143454749515355575961636569717375777981838587918993959799101103105107109111113115117119" displayName="Tabella527911235810171921232527293133353739414345474951535557596163656971737577798183858791899395979910110310510710911111311511711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64.xml><?xml version="1.0" encoding="utf-8"?>
<table xmlns="http://schemas.openxmlformats.org/spreadsheetml/2006/main" id="64" name="Tabella5279112358101719212325272931333537394143454749515355575961636569717375777981838587918993959799101103105107109111113115117119121" displayName="Tabella527911235810171921232527293133353739414345474951535557596163656971737577798183858791899395979910110310510710911111311511711912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65.xml><?xml version="1.0" encoding="utf-8"?>
<table xmlns="http://schemas.openxmlformats.org/spreadsheetml/2006/main" id="65" name="Tabella5279112358101719212325272931333537394143454749515355575961636569717375777981838587918993959799101103105107109111113115117119121123" displayName="Tabella527911235810171921232527293133353739414345474951535557596163656971737577798183858791899395979910110310510710911111311511711912112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66.xml><?xml version="1.0" encoding="utf-8"?>
<table xmlns="http://schemas.openxmlformats.org/spreadsheetml/2006/main" id="66" name="Tabella5279112358101719212325272931333537394143454749515355575961636569717375777981838587918993959799101103105107109111113115117119121123125" displayName="Tabella527911235810171921232527293133353739414345474951535557596163656971737577798183858791899395979910110310510710911111311511711912112312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67.xml><?xml version="1.0" encoding="utf-8"?>
<table xmlns="http://schemas.openxmlformats.org/spreadsheetml/2006/main" id="67" name="Tabella5279112358101719212325272931333537394143454749515355575961636569717375777981838587918993959799101103105107109111113115117119121123125127" displayName="Tabella527911235810171921232527293133353739414345474951535557596163656971737577798183858791899395979910110310510710911111311511711912112312512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68.xml><?xml version="1.0" encoding="utf-8"?>
<table xmlns="http://schemas.openxmlformats.org/spreadsheetml/2006/main" id="68" name="Tabella5279112358101719212325272931333537394143454749515355575961636569717375777981838587918993959799101103105107109111113115117119121123125127131" displayName="Tabella527911235810171921232527293133353739414345474951535557596163656971737577798183858791899395979910110310510710911111311511711912112312512713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69.xml><?xml version="1.0" encoding="utf-8"?>
<table xmlns="http://schemas.openxmlformats.org/spreadsheetml/2006/main" id="69" name="Tabella5279112358101719212325272931333537394143454749515355575961636569717375777981838587918993959799101103105107109111113115117119121123125127131129" displayName="Tabella527911235810171921232527293133353739414345474951535557596163656971737577798183858791899395979910110310510710911111311511711912112312512713112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70.xml><?xml version="1.0" encoding="utf-8"?>
<table xmlns="http://schemas.openxmlformats.org/spreadsheetml/2006/main" id="70" name="Tabella5279112358101719212325272931333537394143454749515355575961636569717375777981838587918993959799101103105107109111113115117119121123125127131129133" displayName="Tabella527911235810171921232527293133353739414345474951535557596163656971737577798183858791899395979910110310510710911111311511711912112312512713112913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71.xml><?xml version="1.0" encoding="utf-8"?>
<table xmlns="http://schemas.openxmlformats.org/spreadsheetml/2006/main" id="71" name="Tabella5279112358101719212325272931333537394143454749515355575961636569717375777981838587918993959799101103105107109111113115117119121123125127131129133135" displayName="Tabella527911235810171921232527293133353739414345474951535557596163656971737577798183858791899395979910110310510710911111311511711912112312512713112913313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72.xml><?xml version="1.0" encoding="utf-8"?>
<table xmlns="http://schemas.openxmlformats.org/spreadsheetml/2006/main" id="72" name="Tabella5279112358101719212325272931333537394143454749515355575961636569717375777981838587918993959799101103105107109111113115117119121123125127131129133135137" displayName="Tabella527911235810171921232527293133353739414345474951535557596163656971737577798183858791899395979910110310510710911111311511711912112312512713112913313513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73.xml><?xml version="1.0" encoding="utf-8"?>
<table xmlns="http://schemas.openxmlformats.org/spreadsheetml/2006/main" id="73" name="Tabella5279112358101719212325272931333537394143454749515355575961636569717375777981838587918993959799101103105107109111113115117119121123125127131129133135137139" displayName="Tabella527911235810171921232527293133353739414345474951535557596163656971737577798183858791899395979910110310510710911111311511711912112312512713112913313513713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74.xml><?xml version="1.0" encoding="utf-8"?>
<table xmlns="http://schemas.openxmlformats.org/spreadsheetml/2006/main" id="74" name="Tabella5279112358101719212325272931333537394143454749515355575961636569717375777981838587918993959799101103105107109111113115117119121123125127131129133135137139141" displayName="Tabella527911235810171921232527293133353739414345474951535557596163656971737577798183858791899395979910110310510710911111311511711912112312512713112913313513713914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75.xml><?xml version="1.0" encoding="utf-8"?>
<table xmlns="http://schemas.openxmlformats.org/spreadsheetml/2006/main" id="75" name="Tabella5279112358101719212325272931333537394143454749515355575961636569717375777981838587918993959799101103105107109111113115117119121123125127131129133135137139141143" displayName="Tabella527911235810171921232527293133353739414345474951535557596163656971737577798183858791899395979910110310510710911111311511711912112312512713112913313513713914114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76.xml><?xml version="1.0" encoding="utf-8"?>
<table xmlns="http://schemas.openxmlformats.org/spreadsheetml/2006/main" id="76" name="Tabella5279112358101719212325272931333537394143454749515355575961636569717375777981838587918993959799101103105107109111113115117119121123125127131129133135137139141143145" displayName="Tabella527911235810171921232527293133353739414345474951535557596163656971737577798183858791899395979910110310510710911111311511711912112312512713112913313513713914114314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77.xml><?xml version="1.0" encoding="utf-8"?>
<table xmlns="http://schemas.openxmlformats.org/spreadsheetml/2006/main" id="77" name="Tabella5279112358101719212325272931333537394143454749515355575961636569717375777981838587918993959799101103105107109111113115117119121123125127131129133135137139141143145147" displayName="Tabella527911235810171921232527293133353739414345474951535557596163656971737577798183858791899395979910110310510710911111311511711912112312512713112913313513713914114314514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78.xml><?xml version="1.0" encoding="utf-8"?>
<table xmlns="http://schemas.openxmlformats.org/spreadsheetml/2006/main" id="78" name="Tabella5279112358101719212325272931333537394143454749515355575961636569717375777981838587918993959799101103105107109111113115117119121123125127131129133135137139141143145147149" displayName="Tabella527911235810171921232527293133353739414345474951535557596163656971737577798183858791899395979910110310510710911111311511711912112312512713112913313513713914114314514714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79.xml><?xml version="1.0" encoding="utf-8"?>
<table xmlns="http://schemas.openxmlformats.org/spreadsheetml/2006/main" id="79" name="Tabella5279112358101719212325272931333537394143454749515355575961636569717375777981838587918993959799101103105107109111113115117119121123125127131129133135137139141143145147149151" displayName="Tabella527911235810171921232527293133353739414345474951535557596163656971737577798183858791899395979910110310510710911111311511711912112312512713112913313513713914114314514714915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80.xml><?xml version="1.0" encoding="utf-8"?>
<table xmlns="http://schemas.openxmlformats.org/spreadsheetml/2006/main" id="80" name="Tabella5279112358101719212325272931333537394143454749515355575961636569717375777981838587918993959799101103105107109111113115117119121123125127131129133135137139141143145147149151153" displayName="Tabella527911235810171921232527293133353739414345474951535557596163656971737577798183858791899395979910110310510710911111311511711912112312512713112913313513713914114314514714915115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81.xml><?xml version="1.0" encoding="utf-8"?>
<table xmlns="http://schemas.openxmlformats.org/spreadsheetml/2006/main" id="81" name="Tabella5279112358101719212325272931333537394143454749515355575961636569717375777981838587918993959799101103105107109111113115117119121123125127131129133135137139141143145147149151153155" displayName="Tabella527911235810171921232527293133353739414345474951535557596163656971737577798183858791899395979910110310510710911111311511711912112312512713112913313513713914114314514714915115315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82.xml><?xml version="1.0" encoding="utf-8"?>
<table xmlns="http://schemas.openxmlformats.org/spreadsheetml/2006/main" id="82" name="Tabella5279112358101719212325272931333537394143454749515355575961636569717375777981838587918993959799101103105107109111113115117119121123125127131129133135137139141143145147149151153155157" displayName="Tabella527911235810171921232527293133353739414345474951535557596163656971737577798183858791899395979910110310510710911111311511711912112312512713112913313513713914114314514714915115315515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83.xml><?xml version="1.0" encoding="utf-8"?>
<table xmlns="http://schemas.openxmlformats.org/spreadsheetml/2006/main" id="83" name="Tabella5279112358101719212325272931333537394143454749515355575961636569717375777981838587918993959799101103105107109111113115117119121123125127131129133135137139141143145147149151153155157159" displayName="Tabella527911235810171921232527293133353739414345474951535557596163656971737577798183858791899395979910110310510710911111311511711912112312512713112913313513713914114314514714915115315515715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84.xml><?xml version="1.0" encoding="utf-8"?>
<table xmlns="http://schemas.openxmlformats.org/spreadsheetml/2006/main" id="84" name="Tabella5279112358101719212325272931333537394143454749515355575961636569717375777981838587918993959799101103105107109111113115117119121123125127131129133135137139141143145147149151153155157159161" displayName="Tabella527911235810171921232527293133353739414345474951535557596163656971737577798183858791899395979910110310510710911111311511711912112312512713112913313513713914114314514714915115315515715916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85.xml><?xml version="1.0" encoding="utf-8"?>
<table xmlns="http://schemas.openxmlformats.org/spreadsheetml/2006/main" id="85" name="Tabella5279112358101719212325272931333537394143454749515355575961636569717375777981838587918993959799101103105107109111113115117119121123125127131129133135137139141143145147149151153155157159161163" displayName="Tabella527911235810171921232527293133353739414345474951535557596163656971737577798183858791899395979910110310510710911111311511711912112312512713112913313513713914114314514714915115315515715916116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86.xml><?xml version="1.0" encoding="utf-8"?>
<table xmlns="http://schemas.openxmlformats.org/spreadsheetml/2006/main" id="86" name="Tabella5279112358101719212325272931333537394143454749515355575961636569717375777981838587918993959799101103105107109111113115117119121123125127131129133135137139141143145147149151153155157159161163165" displayName="Tabella527911235810171921232527293133353739414345474951535557596163656971737577798183858791899395979910110310510710911111311511711912112312512713112913313513713914114314514714915115315515715916116316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87.xml><?xml version="1.0" encoding="utf-8"?>
<table xmlns="http://schemas.openxmlformats.org/spreadsheetml/2006/main" id="87" name="Tabella5279112358101719212325272931333537394143454749515355575961636569717375777981838587918993959799101103105107109111113115117119121123125127131129133135137139141143145147149151153155157159161163165167" displayName="Tabella527911235810171921232527293133353739414345474951535557596163656971737577798183858791899395979910110310510710911111311511711912112312512713112913313513713914114314514714915115315515715916116316516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88.xml><?xml version="1.0" encoding="utf-8"?>
<table xmlns="http://schemas.openxmlformats.org/spreadsheetml/2006/main" id="88" name="Tabella5279112358101719212325272931333537394143454749515355575961636569717375777981838587918993959799101103105107109111113115117119121123125127131129133135137139141143145147149151153155157159161163165167169" displayName="Tabella527911235810171921232527293133353739414345474951535557596163656971737577798183858791899395979910110310510710911111311511711912112312512713112913313513713914114314514714915115315515715916116316516716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89.xml><?xml version="1.0" encoding="utf-8"?>
<table xmlns="http://schemas.openxmlformats.org/spreadsheetml/2006/main" id="89" name="Tabella5279112358101719212325272931333537394143454749515355575961636569717375777981838587918993959799101103105107109111113115117119121123125127131129133135137139141143145147149151153155157159161163165167169171" displayName="Tabella527911235810171921232527293133353739414345474951535557596163656971737577798183858791899395979910110310510710911111311511711912112312512713112913313513713914114314514714915115315515715916116316516716917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90.xml><?xml version="1.0" encoding="utf-8"?>
<table xmlns="http://schemas.openxmlformats.org/spreadsheetml/2006/main" id="90" name="Tabella5279112358101719212325272931333537394143454749515355575961636569717375777981838587918993959799101103105107109111113115117119121123125127131129133135137139141143145147149151153155157159161163165167169171173" displayName="Tabella527911235810171921232527293133353739414345474951535557596163656971737577798183858791899395979910110310510710911111311511711912112312512713112913313513713914114314514714915115315515715916116316516716917117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91.xml><?xml version="1.0" encoding="utf-8"?>
<table xmlns="http://schemas.openxmlformats.org/spreadsheetml/2006/main" id="91" name="Tabella5279112358101719212325272931333537394143454749515355575961636569717375777981838587918993959799101103105107109111113115117119121123125127131129133135137139141143145147149151153155157159161163165167169171173175" displayName="Tabella527911235810171921232527293133353739414345474951535557596163656971737577798183858791899395979910110310510710911111311511711912112312512713112913313513713914114314514714915115315515715916116316516716917117317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92.xml><?xml version="1.0" encoding="utf-8"?>
<table xmlns="http://schemas.openxmlformats.org/spreadsheetml/2006/main" id="92" name="Tabella5279112358101719212325272931333537394143454749515355575961636569717375777981838587918993959799101103105107109111113115117119121123125127131129133135137139141143145147149151153155157159161163165167169171173175177" displayName="Tabella527911235810171921232527293133353739414345474951535557596163656971737577798183858791899395979910110310510710911111311511711912112312512713112913313513713914114314514714915115315515715916116316516716917117317517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93.xml><?xml version="1.0" encoding="utf-8"?>
<table xmlns="http://schemas.openxmlformats.org/spreadsheetml/2006/main" id="93" name="Tabella5279112358101719212325272931333537394143454749515355575961636569717375777981838587918993959799101103105107109111113115117119121123125127131129133135137139141143145147149151153155157159161163165167169171173175177179" displayName="Tabella527911235810171921232527293133353739414345474951535557596163656971737577798183858791899395979910110310510710911111311511711912112312512713112913313513713914114314514714915115315515715916116316516716917117317517717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94.xml><?xml version="1.0" encoding="utf-8"?>
<table xmlns="http://schemas.openxmlformats.org/spreadsheetml/2006/main" id="94" name="Tabella5279112358101719212325272931333537394143454749515355575961636569717375777981838587918993959799101103105107109111113115117119121123125127131129133135137139141143145147149151153155157159161163165167169171173175177179183" displayName="Tabella527911235810171921232527293133353739414345474951535557596163656971737577798183858791899395979910110310510710911111311511711912112312512713112913313513713914114314514714915115315515715916116316516716917117317517717918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95.xml><?xml version="1.0" encoding="utf-8"?>
<table xmlns="http://schemas.openxmlformats.org/spreadsheetml/2006/main" id="95" name="Tabella5279112358101719212325272931333537394143454749515355575961636569717375777981838587918993959799101103105107109111113115117119121123125127131129133135137139141143145147149151153155157159161163165167169171173175177179183185" displayName="Tabella527911235810171921232527293133353739414345474951535557596163656971737577798183858791899395979910110310510710911111311511711912112312512713112913313513713914114314514714915115315515715916116316516716917117317517717918318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96.xml><?xml version="1.0" encoding="utf-8"?>
<table xmlns="http://schemas.openxmlformats.org/spreadsheetml/2006/main" id="96" name="Tabella5279112358101719212325272931333537394143454749515355575961636569717375777981838587918993959799101103105107109111113115117119121123125127131129133135137139141143145147149151153155157159161163165167169171173175177179183185187" displayName="Tabella527911235810171921232527293133353739414345474951535557596163656971737577798183858791899395979910110310510710911111311511711912112312512713112913313513713914114314514714915115315515715916116316516716917117317517717918318518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97.xml><?xml version="1.0" encoding="utf-8"?>
<table xmlns="http://schemas.openxmlformats.org/spreadsheetml/2006/main" id="97" name="Tabella5279112358101719212325272931333537394143454749515355575961636569717375777981838587918993959799101103105107109111113115117119121123125127131129133135137139141143145147149151153155157159161163165167169171173175177179183185189" displayName="Tabella527911235810171921232527293133353739414345474951535557596163656971737577798183858791899395979910110310510710911111311511711912112312512713112913313513713914114314514714915115315515715916116316516716917117317517717918318518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98.xml><?xml version="1.0" encoding="utf-8"?>
<table xmlns="http://schemas.openxmlformats.org/spreadsheetml/2006/main" id="98" name="Tabella5279112358101719212325272931333537394143454749515355575961636569717375777981838587918993959799101103105107109111113115117119121123125127131129133135137139141143145147149151153155157159161163165167169171173175177179183185189191" displayName="Tabella527911235810171921232527293133353739414345474951535557596163656971737577798183858791899395979910110310510710911111311511711912112312512713112913313513713914114314514714915115315515715916116316516716917117317517717918318518919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99.xml><?xml version="1.0" encoding="utf-8"?>
<table xmlns="http://schemas.openxmlformats.org/spreadsheetml/2006/main" id="99" name="Tabella5279112358101719212325272931333537394143454749515355575961636569717375777981838587918993959799101103105107109111113115117119121123125127131129133135137139141143145147149151153155157159161163165167169171173175177179183185189191193" displayName="Tabella527911235810171921232527293133353739414345474951535557596163656971737577798183858791899395979910110310510710911111311511711912112312512713112913313513713914114314514714915115315515715916116316516716917117317517717918318518919119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00.xml><?xml version="1.0" encoding="utf-8"?>
<table xmlns="http://schemas.openxmlformats.org/spreadsheetml/2006/main" id="100" name="Tabella5279112358101719212325272931333537394143454749515355575961636569717375777981838587918993959799101103105107109111113115117119121123125127131129133135137139141143145147149151153155157159161163165167169171173175177179183185189191193195" displayName="Tabella527911235810171921232527293133353739414345474951535557596163656971737577798183858791899395979910110310510710911111311511711912112312512713112913313513713914114314514714915115315515715916116316516716917117317517717918318518919119319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01.xml><?xml version="1.0" encoding="utf-8"?>
<table xmlns="http://schemas.openxmlformats.org/spreadsheetml/2006/main" id="101" name="Tabella5279112358101719212325272931333537394143454749515355575961636569717375777981838587918993959799101103105107109111113115117119121123125127131129133135137139141143145147149151153155157159161163165167169171173175177179183185189191193195197" displayName="Tabella527911235810171921232527293133353739414345474951535557596163656971737577798183858791899395979910110310510710911111311511711912112312512713112913313513713914114314514714915115315515715916116316516716917117317517717918318518919119319519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02.xml><?xml version="1.0" encoding="utf-8"?>
<table xmlns="http://schemas.openxmlformats.org/spreadsheetml/2006/main" id="102" name="Tabella5279112358101719212325272931333537394143454749515355575961636569717375777981838587918993959799101103105107109111113115117119121123125127131129133135137139141143145147149151153155157159161163165167169171173175177179183185189191193195197199" displayName="Tabella527911235810171921232527293133353739414345474951535557596163656971737577798183858791899395979910110310510710911111311511711912112312512713112913313513713914114314514714915115315515715916116316516716917117317517717918318518919119319519719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03.xml><?xml version="1.0" encoding="utf-8"?>
<table xmlns="http://schemas.openxmlformats.org/spreadsheetml/2006/main" id="103" name="Tabella5279112358101719212325272931333537394143454749515355575961636569717375777981838587918993959799101103105107109111113115117119121123125127131129133135137139141143145147149151153155157159161163165167169171173175177179183185189191193195197199201" displayName="Tabella527911235810171921232527293133353739414345474951535557596163656971737577798183858791899395979910110310510710911111311511711912112312512713112913313513713914114314514714915115315515715916116316516716917117317517717918318518919119319519719920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04.xml><?xml version="1.0" encoding="utf-8"?>
<table xmlns="http://schemas.openxmlformats.org/spreadsheetml/2006/main" id="104" name="Tabella5279112358101719212325272931333537394143454749515355575961636569717375777981838587918993959799101103105107109111113115117119121123125127131129133135137139141143145147149151153155157159161163165167169171173175177179183185189191193195197199201203" displayName="Tabella527911235810171921232527293133353739414345474951535557596163656971737577798183858791899395979910110310510710911111311511711912112312512713112913313513713914114314514714915115315515715916116316516716917117317517717918318518919119319519719920120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05.xml><?xml version="1.0" encoding="utf-8"?>
<table xmlns="http://schemas.openxmlformats.org/spreadsheetml/2006/main" id="105" name="Tabella5279112358101719212325272931333537394143454749515355575961636569717375777981838587918993959799101103105107109111113115117119121123125127131129133135137139141143145147149151153155157159161163165167169171173175177179183185189191193195197199201203205" displayName="Tabella527911235810171921232527293133353739414345474951535557596163656971737577798183858791899395979910110310510710911111311511711912112312512713112913313513713914114314514714915115315515715916116316516716917117317517717918318518919119319519719920120320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06.xml><?xml version="1.0" encoding="utf-8"?>
<table xmlns="http://schemas.openxmlformats.org/spreadsheetml/2006/main" id="106" name="Tabella5279112358101719212325272931333537394143454749515355575961636569717375777981838587918993959799101103105107109111113115117119121123125127131129133135137139141143145147149151153155157159161163165167169171173175177179183185189191193195197199201203207" displayName="Tabella527911235810171921232527293133353739414345474951535557596163656971737577798183858791899395979910110310510710911111311511711912112312512713112913313513713914114314514714915115315515715916116316516716917117317517717918318518919119319519719920120320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07.xml><?xml version="1.0" encoding="utf-8"?>
<table xmlns="http://schemas.openxmlformats.org/spreadsheetml/2006/main" id="107" name="Tabella5279112358101719212325272931333537394143454749515355575961636569717375777981838587918993959799101103105107109111113115117119121123125127131129133135137139141143145147149151153155157159161163165167169171173175177179183185189191193195197199201203209" displayName="Tabella527911235810171921232527293133353739414345474951535557596163656971737577798183858791899395979910110310510710911111311511711912112312512713112913313513713914114314514714915115315515715916116316516716917117317517717918318518919119319519719920120320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08.xml><?xml version="1.0" encoding="utf-8"?>
<table xmlns="http://schemas.openxmlformats.org/spreadsheetml/2006/main" id="108" name="Tabella5279112358101719212325272931333537394143454749515355575961636569717375777981838587918993959799101103105107109111113115117119121123125127131129133135137139141143145147149151153155157159161163165167169171173175177181" displayName="Tabella527911235810171921232527293133353739414345474951535557596163656971737577798183858791899395979910110310510710911111311511711912112312512713112913313513713914114314514714915115315515715916116316516716917117317517718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09.xml><?xml version="1.0" encoding="utf-8"?>
<table xmlns="http://schemas.openxmlformats.org/spreadsheetml/2006/main" id="109" name="Tabella52791124" displayName="Tabella5279112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10.xml><?xml version="1.0" encoding="utf-8"?>
<table xmlns="http://schemas.openxmlformats.org/spreadsheetml/2006/main" id="110" name="Tabella527911247" displayName="Tabella527911247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11.xml><?xml version="1.0" encoding="utf-8"?>
<table xmlns="http://schemas.openxmlformats.org/spreadsheetml/2006/main" id="111" name="Tabella5279112479" displayName="Tabella5279112479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12.xml><?xml version="1.0" encoding="utf-8"?>
<table xmlns="http://schemas.openxmlformats.org/spreadsheetml/2006/main" id="112" name="Tabella527911247916" displayName="Tabella527911247916" ref="G5:N53" headerRowCount="0" totalsRowCount="0" totalsRowShown="0">
  <tableColumns count="8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  <tableColumn id="8" name="Colonna8"/>
  </tableColumns>
</table>
</file>

<file path=xl/tables/table113.xml><?xml version="1.0" encoding="utf-8"?>
<table xmlns="http://schemas.openxmlformats.org/spreadsheetml/2006/main" id="113" name="Tabella52791124791618" displayName="Tabella5279112479161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14.xml><?xml version="1.0" encoding="utf-8"?>
<table xmlns="http://schemas.openxmlformats.org/spreadsheetml/2006/main" id="114" name="Tabella5279112479161820" displayName="Tabella527911247916182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15.xml><?xml version="1.0" encoding="utf-8"?>
<table xmlns="http://schemas.openxmlformats.org/spreadsheetml/2006/main" id="115" name="Tabella527911247916182022" displayName="Tabella52791124791618202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16.xml><?xml version="1.0" encoding="utf-8"?>
<table xmlns="http://schemas.openxmlformats.org/spreadsheetml/2006/main" id="116" name="Tabella52791124791618202224" displayName="Tabella5279112479161820222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17.xml><?xml version="1.0" encoding="utf-8"?>
<table xmlns="http://schemas.openxmlformats.org/spreadsheetml/2006/main" id="117" name="Tabella5279112479161820222426" displayName="Tabella527911247916182022242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18.xml><?xml version="1.0" encoding="utf-8"?>
<table xmlns="http://schemas.openxmlformats.org/spreadsheetml/2006/main" id="118" name="Tabella527911247916182022242628" displayName="Tabella52791124791618202224262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19.xml><?xml version="1.0" encoding="utf-8"?>
<table xmlns="http://schemas.openxmlformats.org/spreadsheetml/2006/main" id="119" name="Tabella52791124791618202224262830" displayName="Tabella5279112479161820222426283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20.xml><?xml version="1.0" encoding="utf-8"?>
<table xmlns="http://schemas.openxmlformats.org/spreadsheetml/2006/main" id="120" name="Tabella5279112479161820222426283032" displayName="Tabella527911247916182022242628303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21.xml><?xml version="1.0" encoding="utf-8"?>
<table xmlns="http://schemas.openxmlformats.org/spreadsheetml/2006/main" id="121" name="Tabella527911247916182022242628303234" displayName="Tabella52791124791618202224262830323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22.xml><?xml version="1.0" encoding="utf-8"?>
<table xmlns="http://schemas.openxmlformats.org/spreadsheetml/2006/main" id="122" name="Tabella52791124791618202224262830323436" displayName="Tabella5279112479161820222426283032343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23.xml><?xml version="1.0" encoding="utf-8"?>
<table xmlns="http://schemas.openxmlformats.org/spreadsheetml/2006/main" id="123" name="Tabella5279112479161820222426283032343638" displayName="Tabella527911247916182022242628303234363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24.xml><?xml version="1.0" encoding="utf-8"?>
<table xmlns="http://schemas.openxmlformats.org/spreadsheetml/2006/main" id="124" name="Tabella527911247916182022242628303234363840" displayName="Tabella52791124791618202224262830323436384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25.xml><?xml version="1.0" encoding="utf-8"?>
<table xmlns="http://schemas.openxmlformats.org/spreadsheetml/2006/main" id="125" name="Tabella52791124791618202224262830323436384042" displayName="Tabella5279112479161820222426283032343638404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26.xml><?xml version="1.0" encoding="utf-8"?>
<table xmlns="http://schemas.openxmlformats.org/spreadsheetml/2006/main" id="126" name="Tabella5279112479161820222426283032343638404244" displayName="Tabella527911247916182022242628303234363840424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27.xml><?xml version="1.0" encoding="utf-8"?>
<table xmlns="http://schemas.openxmlformats.org/spreadsheetml/2006/main" id="127" name="Tabella527911247916182022242628303234363840424446" displayName="Tabella52791124791618202224262830323436384042444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28.xml><?xml version="1.0" encoding="utf-8"?>
<table xmlns="http://schemas.openxmlformats.org/spreadsheetml/2006/main" id="128" name="Tabella52791124791618202224262830323436384042444648" displayName="Tabella5279112479161820222426283032343638404244464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29.xml><?xml version="1.0" encoding="utf-8"?>
<table xmlns="http://schemas.openxmlformats.org/spreadsheetml/2006/main" id="129" name="Tabella5279112479161820222426283032343638404244464850" displayName="Tabella527911247916182022242628303234363840424446485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30.xml><?xml version="1.0" encoding="utf-8"?>
<table xmlns="http://schemas.openxmlformats.org/spreadsheetml/2006/main" id="130" name="Tabella527911247916182022242628303234363840424446485052" displayName="Tabella52791124791618202224262830323436384042444648505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31.xml><?xml version="1.0" encoding="utf-8"?>
<table xmlns="http://schemas.openxmlformats.org/spreadsheetml/2006/main" id="131" name="Tabella52791124791618202224262830323436384042444648505254" displayName="Tabella5279112479161820222426283032343638404244464850525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32.xml><?xml version="1.0" encoding="utf-8"?>
<table xmlns="http://schemas.openxmlformats.org/spreadsheetml/2006/main" id="132" name="Tabella5279112479161820222426283032343638404244464850525456" displayName="Tabella527911247916182022242628303234363840424446485052545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33.xml><?xml version="1.0" encoding="utf-8"?>
<table xmlns="http://schemas.openxmlformats.org/spreadsheetml/2006/main" id="133" name="Tabella527911247916182022242628303234363840424446485052545658" displayName="Tabella52791124791618202224262830323436384042444648505254565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34.xml><?xml version="1.0" encoding="utf-8"?>
<table xmlns="http://schemas.openxmlformats.org/spreadsheetml/2006/main" id="134" name="Tabella52791124791618202224262830323436384042444648505254565860" displayName="Tabella5279112479161820222426283032343638404244464850525456586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35.xml><?xml version="1.0" encoding="utf-8"?>
<table xmlns="http://schemas.openxmlformats.org/spreadsheetml/2006/main" id="135" name="Tabella5279112479161820222426283032343638404244464850525456586062" displayName="Tabella527911247916182022242628303234363840424446485052545658606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36.xml><?xml version="1.0" encoding="utf-8"?>
<table xmlns="http://schemas.openxmlformats.org/spreadsheetml/2006/main" id="136" name="Tabella527911247916182022242628303234363840424446485052545658606264" displayName="Tabella52791124791618202224262830323436384042444648505254565860626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37.xml><?xml version="1.0" encoding="utf-8"?>
<table xmlns="http://schemas.openxmlformats.org/spreadsheetml/2006/main" id="137" name="Tabella52791124791618202224262830323436384042444648505254565860626466" displayName="Tabella5279112479161820222426283032343638404244464850525456586062646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38.xml><?xml version="1.0" encoding="utf-8"?>
<table xmlns="http://schemas.openxmlformats.org/spreadsheetml/2006/main" id="138" name="Tabella52791124791618202224262830323436384042444648505254565860626468" displayName="Tabella5279112479161820222426283032343638404244464850525456586062646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39.xml><?xml version="1.0" encoding="utf-8"?>
<table xmlns="http://schemas.openxmlformats.org/spreadsheetml/2006/main" id="139" name="Tabella5279112479161820222426283032343638404244464850525456586062646870" displayName="Tabella527911247916182022242628303234363840424446485052545658606264687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40.xml><?xml version="1.0" encoding="utf-8"?>
<table xmlns="http://schemas.openxmlformats.org/spreadsheetml/2006/main" id="140" name="Tabella527911247916182022242628303234363840424446485052545658606264687072" displayName="Tabella52791124791618202224262830323436384042444648505254565860626468707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41.xml><?xml version="1.0" encoding="utf-8"?>
<table xmlns="http://schemas.openxmlformats.org/spreadsheetml/2006/main" id="141" name="Tabella52791124791618202224262830323436384042444648505254565860626468707274" displayName="Tabella5279112479161820222426283032343638404244464850525456586062646870727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42.xml><?xml version="1.0" encoding="utf-8"?>
<table xmlns="http://schemas.openxmlformats.org/spreadsheetml/2006/main" id="142" name="Tabella5279112479161820222426283032343638404244464850525456586062646870727476" displayName="Tabella527911247916182022242628303234363840424446485052545658606264687072747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43.xml><?xml version="1.0" encoding="utf-8"?>
<table xmlns="http://schemas.openxmlformats.org/spreadsheetml/2006/main" id="143" name="Tabella527911247916182022242628303234363840424446485052545658606264687072747678" displayName="Tabella52791124791618202224262830323436384042444648505254565860626468707274767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44.xml><?xml version="1.0" encoding="utf-8"?>
<table xmlns="http://schemas.openxmlformats.org/spreadsheetml/2006/main" id="144" name="Tabella52791124791618202224262830323436384042444648505254565860626468707274767880" displayName="Tabella5279112479161820222426283032343638404244464850525456586062646870727476788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45.xml><?xml version="1.0" encoding="utf-8"?>
<table xmlns="http://schemas.openxmlformats.org/spreadsheetml/2006/main" id="145" name="Tabella5279112479161820222426283032343638404244464850525456586062646870727476788082" displayName="Tabella527911247916182022242628303234363840424446485052545658606264687072747678808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46.xml><?xml version="1.0" encoding="utf-8"?>
<table xmlns="http://schemas.openxmlformats.org/spreadsheetml/2006/main" id="146" name="Tabella527911247916182022242628303234363840424446485052545658606264687072747678808284" displayName="Tabella52791124791618202224262830323436384042444648505254565860626468707274767880828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47.xml><?xml version="1.0" encoding="utf-8"?>
<table xmlns="http://schemas.openxmlformats.org/spreadsheetml/2006/main" id="147" name="Tabella52791124791618202224262830323436384042444648505254565860626468707274767880828486" displayName="Tabella5279112479161820222426283032343638404244464850525456586062646870727476788082848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48.xml><?xml version="1.0" encoding="utf-8"?>
<table xmlns="http://schemas.openxmlformats.org/spreadsheetml/2006/main" id="148" name="Tabella5279112479161820222426283032343638404244464850525456586062646870727476788082848690" displayName="Tabella527911247916182022242628303234363840424446485052545658606264687072747678808284869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49.xml><?xml version="1.0" encoding="utf-8"?>
<table xmlns="http://schemas.openxmlformats.org/spreadsheetml/2006/main" id="149" name="Tabella527911247916182022242628303234363840424446485052545658606264687072747678808284869088" displayName="Tabella52791124791618202224262830323436384042444648505254565860626468707274767880828486908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50.xml><?xml version="1.0" encoding="utf-8"?>
<table xmlns="http://schemas.openxmlformats.org/spreadsheetml/2006/main" id="150" name="Tabella52791124791618202224262830323436384042444648505254565860626468707274767880828486908892" displayName="Tabella5279112479161820222426283032343638404244464850525456586062646870727476788082848690889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51.xml><?xml version="1.0" encoding="utf-8"?>
<table xmlns="http://schemas.openxmlformats.org/spreadsheetml/2006/main" id="151" name="Tabella5279112479161820222426283032343638404244464850525456586062646870727476788082848690889294" displayName="Tabella527911247916182022242628303234363840424446485052545658606264687072747678808284869088929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52.xml><?xml version="1.0" encoding="utf-8"?>
<table xmlns="http://schemas.openxmlformats.org/spreadsheetml/2006/main" id="152" name="Tabella527911247916182022242628303234363840424446485052545658606264687072747678808284869088929496" displayName="Tabella52791124791618202224262830323436384042444648505254565860626468707274767880828486908892949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53.xml><?xml version="1.0" encoding="utf-8"?>
<table xmlns="http://schemas.openxmlformats.org/spreadsheetml/2006/main" id="153" name="Tabella52791124791618202224262830323436384042444648505254565860626468707274767880828486908892949698" displayName="Tabella5279112479161820222426283032343638404244464850525456586062646870727476788082848690889294969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54.xml><?xml version="1.0" encoding="utf-8"?>
<table xmlns="http://schemas.openxmlformats.org/spreadsheetml/2006/main" id="154" name="Tabella52791124791618202224262830323436384042444648505254565860626468707274767880828486908892949698100" displayName="Tabella5279112479161820222426283032343638404244464850525456586062646870727476788082848690889294969810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55.xml><?xml version="1.0" encoding="utf-8"?>
<table xmlns="http://schemas.openxmlformats.org/spreadsheetml/2006/main" id="155" name="Tabella52791124791618202224262830323436384042444648505254565860626468707274767880828486908892949698100102" displayName="Tabella5279112479161820222426283032343638404244464850525456586062646870727476788082848690889294969810010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56.xml><?xml version="1.0" encoding="utf-8"?>
<table xmlns="http://schemas.openxmlformats.org/spreadsheetml/2006/main" id="156" name="Tabella52791124791618202224262830323436384042444648505254565860626468707274767880828486908892949698100102104" displayName="Tabella5279112479161820222426283032343638404244464850525456586062646870727476788082848690889294969810010210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57.xml><?xml version="1.0" encoding="utf-8"?>
<table xmlns="http://schemas.openxmlformats.org/spreadsheetml/2006/main" id="157" name="Tabella52791124791618202224262830323436384042444648505254565860626468707274767880828486908892949698100102104106" displayName="Tabella5279112479161820222426283032343638404244464850525456586062646870727476788082848690889294969810010210410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58.xml><?xml version="1.0" encoding="utf-8"?>
<table xmlns="http://schemas.openxmlformats.org/spreadsheetml/2006/main" id="158" name="Tabella52791124791618202224262830323436384042444648505254565860626468707274767880828486908892949698100102104106108" displayName="Tabella5279112479161820222426283032343638404244464850525456586062646870727476788082848690889294969810010210410610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59.xml><?xml version="1.0" encoding="utf-8"?>
<table xmlns="http://schemas.openxmlformats.org/spreadsheetml/2006/main" id="159" name="Tabella52791124791618202224262830323436384042444648505254565860626468707274767880828486908892949698100102104106108110" displayName="Tabella5279112479161820222426283032343638404244464850525456586062646870727476788082848690889294969810010210410610811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60.xml><?xml version="1.0" encoding="utf-8"?>
<table xmlns="http://schemas.openxmlformats.org/spreadsheetml/2006/main" id="160" name="Tabella52791124791618202224262830323436384042444648505254565860626468707274767880828486908892949698100102104106108110112" displayName="Tabella5279112479161820222426283032343638404244464850525456586062646870727476788082848690889294969810010210410610811011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61.xml><?xml version="1.0" encoding="utf-8"?>
<table xmlns="http://schemas.openxmlformats.org/spreadsheetml/2006/main" id="161" name="Tabella52791124791618202224262830323436384042444648505254565860626468707274767880828486908892949698100102104106108110112114" displayName="Tabella5279112479161820222426283032343638404244464850525456586062646870727476788082848690889294969810010210410610811011211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62.xml><?xml version="1.0" encoding="utf-8"?>
<table xmlns="http://schemas.openxmlformats.org/spreadsheetml/2006/main" id="162" name="Tabella52791124791618202224262830323436384042444648505254565860626468707274767880828486908892949698100102104106108110112114116" displayName="Tabella5279112479161820222426283032343638404244464850525456586062646870727476788082848690889294969810010210410610811011211411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63.xml><?xml version="1.0" encoding="utf-8"?>
<table xmlns="http://schemas.openxmlformats.org/spreadsheetml/2006/main" id="163" name="Tabella52791124791618202224262830323436384042444648505254565860626468707274767880828486908892949698100102104106108110112114116118" displayName="Tabella5279112479161820222426283032343638404244464850525456586062646870727476788082848690889294969810010210410610811011211411611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64.xml><?xml version="1.0" encoding="utf-8"?>
<table xmlns="http://schemas.openxmlformats.org/spreadsheetml/2006/main" id="164" name="Tabella52791124791618202224262830323436384042444648505254565860626468707274767880828486908892949698100102104106108110112114116118120" displayName="Tabella5279112479161820222426283032343638404244464850525456586062646870727476788082848690889294969810010210410610811011211411611812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65.xml><?xml version="1.0" encoding="utf-8"?>
<table xmlns="http://schemas.openxmlformats.org/spreadsheetml/2006/main" id="165" name="Tabella52791124791618202224262830323436384042444648505254565860626468707274767880828486908892949698100102104106108110112114116118120122" displayName="Tabella5279112479161820222426283032343638404244464850525456586062646870727476788082848690889294969810010210410610811011211411611812012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66.xml><?xml version="1.0" encoding="utf-8"?>
<table xmlns="http://schemas.openxmlformats.org/spreadsheetml/2006/main" id="166" name="Tabella52791124791618202224262830323436384042444648505254565860626468707274767880828486908892949698100102104106108110112114116118120122124" displayName="Tabella5279112479161820222426283032343638404244464850525456586062646870727476788082848690889294969810010210410610811011211411611812012212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67.xml><?xml version="1.0" encoding="utf-8"?>
<table xmlns="http://schemas.openxmlformats.org/spreadsheetml/2006/main" id="167" name="Tabella52791124791618202224262830323436384042444648505254565860626468707274767880828486908892949698100102104106108110112114116118120122124126" displayName="Tabella5279112479161820222426283032343638404244464850525456586062646870727476788082848690889294969810010210410610811011211411611812012212412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68.xml><?xml version="1.0" encoding="utf-8"?>
<table xmlns="http://schemas.openxmlformats.org/spreadsheetml/2006/main" id="168" name="Tabella52791124791618202224262830323436384042444648505254565860626468707274767880828486908892949698100102104106108110112114116118120122124126130" displayName="Tabella5279112479161820222426283032343638404244464850525456586062646870727476788082848690889294969810010210410610811011211411611812012212412613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69.xml><?xml version="1.0" encoding="utf-8"?>
<table xmlns="http://schemas.openxmlformats.org/spreadsheetml/2006/main" id="169" name="Tabella52791124791618202224262830323436384042444648505254565860626468707274767880828486908892949698100102104106108110112114116118120122124126130128" displayName="Tabella5279112479161820222426283032343638404244464850525456586062646870727476788082848690889294969810010210410610811011211411611812012212412613012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70.xml><?xml version="1.0" encoding="utf-8"?>
<table xmlns="http://schemas.openxmlformats.org/spreadsheetml/2006/main" id="170" name="Tabella52791124791618202224262830323436384042444648505254565860626468707274767880828486908892949698100102104106108110112114116118120122124126130128132" displayName="Tabella5279112479161820222426283032343638404244464850525456586062646870727476788082848690889294969810010210410610811011211411611812012212412613012813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71.xml><?xml version="1.0" encoding="utf-8"?>
<table xmlns="http://schemas.openxmlformats.org/spreadsheetml/2006/main" id="171" name="Tabella52791124791618202224262830323436384042444648505254565860626468707274767880828486908892949698100102104106108110112114116118120122124126130128132134" displayName="Tabella5279112479161820222426283032343638404244464850525456586062646870727476788082848690889294969810010210410610811011211411611812012212412613012813213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72.xml><?xml version="1.0" encoding="utf-8"?>
<table xmlns="http://schemas.openxmlformats.org/spreadsheetml/2006/main" id="172" name="Tabella52791124791618202224262830323436384042444648505254565860626468707274767880828486908892949698100102104106108110112114116118120122124126130128132134136" displayName="Tabella5279112479161820222426283032343638404244464850525456586062646870727476788082848690889294969810010210410610811011211411611812012212412613012813213413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73.xml><?xml version="1.0" encoding="utf-8"?>
<table xmlns="http://schemas.openxmlformats.org/spreadsheetml/2006/main" id="173" name="Tabella52791124791618202224262830323436384042444648505254565860626468707274767880828486908892949698100102104106108110112114116118120122124126130128132134136138" displayName="Tabella5279112479161820222426283032343638404244464850525456586062646870727476788082848690889294969810010210410610811011211411611812012212412613012813213413613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74.xml><?xml version="1.0" encoding="utf-8"?>
<table xmlns="http://schemas.openxmlformats.org/spreadsheetml/2006/main" id="174" name="Tabella52791124791618202224262830323436384042444648505254565860626468707274767880828486908892949698100102104106108110112114116118120122124126130128132134136138140" displayName="Tabella5279112479161820222426283032343638404244464850525456586062646870727476788082848690889294969810010210410610811011211411611812012212412613012813213413613814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75.xml><?xml version="1.0" encoding="utf-8"?>
<table xmlns="http://schemas.openxmlformats.org/spreadsheetml/2006/main" id="175" name="Tabella52791124791618202224262830323436384042444648505254565860626468707274767880828486908892949698100102104106108110112114116118120122124126130128132134136138140142" displayName="Tabella5279112479161820222426283032343638404244464850525456586062646870727476788082848690889294969810010210410610811011211411611812012212412613012813213413613814014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76.xml><?xml version="1.0" encoding="utf-8"?>
<table xmlns="http://schemas.openxmlformats.org/spreadsheetml/2006/main" id="176" name="Tabella52791124791618202224262830323436384042444648505254565860626468707274767880828486908892949698100102104106108110112114116118120122124126130128132134136138140142144" displayName="Tabella5279112479161820222426283032343638404244464850525456586062646870727476788082848690889294969810010210410610811011211411611812012212412613012813213413613814014214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77.xml><?xml version="1.0" encoding="utf-8"?>
<table xmlns="http://schemas.openxmlformats.org/spreadsheetml/2006/main" id="177" name="Tabella52791124791618202224262830323436384042444648505254565860626468707274767880828486908892949698100102104106108110112114116118120122124126130128132134136138140142144146" displayName="Tabella5279112479161820222426283032343638404244464850525456586062646870727476788082848690889294969810010210410610811011211411611812012212412613012813213413613814014214414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78.xml><?xml version="1.0" encoding="utf-8"?>
<table xmlns="http://schemas.openxmlformats.org/spreadsheetml/2006/main" id="178" name="Tabella52791124791618202224262830323436384042444648505254565860626468707274767880828486908892949698100102104106108110112114116118120122124126130128132134136138140142144146148" displayName="Tabella5279112479161820222426283032343638404244464850525456586062646870727476788082848690889294969810010210410610811011211411611812012212412613012813213413613814014214414614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79.xml><?xml version="1.0" encoding="utf-8"?>
<table xmlns="http://schemas.openxmlformats.org/spreadsheetml/2006/main" id="179" name="Tabella52791124791618202224262830323436384042444648505254565860626468707274767880828486908892949698100102104106108110112114116118120122124126130128132134136138140142144146148150" displayName="Tabella5279112479161820222426283032343638404244464850525456586062646870727476788082848690889294969810010210410610811011211411611812012212412613012813213413613814014214414614815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80.xml><?xml version="1.0" encoding="utf-8"?>
<table xmlns="http://schemas.openxmlformats.org/spreadsheetml/2006/main" id="180" name="Tabella52791124791618202224262830323436384042444648505254565860626468707274767880828486908892949698100102104106108110112114116118120122124126130128132134136138140142144146148150152" displayName="Tabella5279112479161820222426283032343638404244464850525456586062646870727476788082848690889294969810010210410610811011211411611812012212412613012813213413613814014214414614815015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81.xml><?xml version="1.0" encoding="utf-8"?>
<table xmlns="http://schemas.openxmlformats.org/spreadsheetml/2006/main" id="181" name="Tabella52791124791618202224262830323436384042444648505254565860626468707274767880828486908892949698100102104106108110112114116118120122124126130128132134136138140142144146148150152154" displayName="Tabella5279112479161820222426283032343638404244464850525456586062646870727476788082848690889294969810010210410610811011211411611812012212412613012813213413613814014214414614815015215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82.xml><?xml version="1.0" encoding="utf-8"?>
<table xmlns="http://schemas.openxmlformats.org/spreadsheetml/2006/main" id="182" name="Tabella52791124791618202224262830323436384042444648505254565860626468707274767880828486908892949698100102104106108110112114116118120122124126130128132134136138140142144146148150152154156" displayName="Tabella5279112479161820222426283032343638404244464850525456586062646870727476788082848690889294969810010210410610811011211411611812012212412613012813213413613814014214414614815015215415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83.xml><?xml version="1.0" encoding="utf-8"?>
<table xmlns="http://schemas.openxmlformats.org/spreadsheetml/2006/main" id="183" name="Tabella52791124791618202224262830323436384042444648505254565860626468707274767880828486908892949698100102104106108110112114116118120122124126130128132134136138140142144146148150152154156158" displayName="Tabella5279112479161820222426283032343638404244464850525456586062646870727476788082848690889294969810010210410610811011211411611812012212412613012813213413613814014214414614815015215415615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84.xml><?xml version="1.0" encoding="utf-8"?>
<table xmlns="http://schemas.openxmlformats.org/spreadsheetml/2006/main" id="184" name="Tabella52791124791618202224262830323436384042444648505254565860626468707274767880828486908892949698100102104106108110112114116118120122124126130128132134136138140142144146148150152154156158160" displayName="Tabella5279112479161820222426283032343638404244464850525456586062646870727476788082848690889294969810010210410610811011211411611812012212412613012813213413613814014214414614815015215415615816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85.xml><?xml version="1.0" encoding="utf-8"?>
<table xmlns="http://schemas.openxmlformats.org/spreadsheetml/2006/main" id="185" name="Tabella52791124791618202224262830323436384042444648505254565860626468707274767880828486908892949698100102104106108110112114116118120122124126130128132134136138140142144146148150152154156158160162" displayName="Tabella5279112479161820222426283032343638404244464850525456586062646870727476788082848690889294969810010210410610811011211411611812012212412613012813213413613814014214414614815015215415615816016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86.xml><?xml version="1.0" encoding="utf-8"?>
<table xmlns="http://schemas.openxmlformats.org/spreadsheetml/2006/main" id="186" name="Tabella52791124791618202224262830323436384042444648505254565860626468707274767880828486908892949698100102104106108110112114116118120122124126130128132134136138140142144146148150152154156158160162164" displayName="Tabella5279112479161820222426283032343638404244464850525456586062646870727476788082848690889294969810010210410610811011211411611812012212412613012813213413613814014214414614815015215415615816016216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87.xml><?xml version="1.0" encoding="utf-8"?>
<table xmlns="http://schemas.openxmlformats.org/spreadsheetml/2006/main" id="187" name="Tabella52791124791618202224262830323436384042444648505254565860626468707274767880828486908892949698100102104106108110112114116118120122124126130128132134136138140142144146148150152154156158160162164166" displayName="Tabella5279112479161820222426283032343638404244464850525456586062646870727476788082848690889294969810010210410610811011211411611812012212412613012813213413613814014214414614815015215415615816016216416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88.xml><?xml version="1.0" encoding="utf-8"?>
<table xmlns="http://schemas.openxmlformats.org/spreadsheetml/2006/main" id="188" name="Tabella52791124791618202224262830323436384042444648505254565860626468707274767880828486908892949698100102104106108110112114116118120122124126130128132134136138140142144146148150152154156158160162164166168" displayName="Tabella5279112479161820222426283032343638404244464850525456586062646870727476788082848690889294969810010210410610811011211411611812012212412613012813213413613814014214414614815015215415615816016216416616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89.xml><?xml version="1.0" encoding="utf-8"?>
<table xmlns="http://schemas.openxmlformats.org/spreadsheetml/2006/main" id="189" name="Tabella52791124791618202224262830323436384042444648505254565860626468707274767880828486908892949698100102104106108110112114116118120122124126130128132134136138140142144146148150152154156158160162164166168170" displayName="Tabella5279112479161820222426283032343638404244464850525456586062646870727476788082848690889294969810010210410610811011211411611812012212412613012813213413613814014214414614815015215415615816016216416616817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90.xml><?xml version="1.0" encoding="utf-8"?>
<table xmlns="http://schemas.openxmlformats.org/spreadsheetml/2006/main" id="190" name="Tabella52791124791618202224262830323436384042444648505254565860626468707274767880828486908892949698100102104106108110112114116118120122124126130128132134136138140142144146148150152154156158160162164166168170172" displayName="Tabella5279112479161820222426283032343638404244464850525456586062646870727476788082848690889294969810010210410610811011211411611812012212412613012813213413613814014214414614815015215415615816016216416616817017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91.xml><?xml version="1.0" encoding="utf-8"?>
<table xmlns="http://schemas.openxmlformats.org/spreadsheetml/2006/main" id="191" name="Tabella52791124791618202224262830323436384042444648505254565860626468707274767880828486908892949698100102104106108110112114116118120122124126130128132134136138140142144146148150152154156158160162164166168170172174" displayName="Tabella5279112479161820222426283032343638404244464850525456586062646870727476788082848690889294969810010210410610811011211411611812012212412613012813213413613814014214414614815015215415615816016216416616817017217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92.xml><?xml version="1.0" encoding="utf-8"?>
<table xmlns="http://schemas.openxmlformats.org/spreadsheetml/2006/main" id="192" name="Tabella52791124791618202224262830323436384042444648505254565860626468707274767880828486908892949698100102104106108110112114116118120122124126130128132134136138140142144146148150152154156158160162164166168170172174176" displayName="Tabella5279112479161820222426283032343638404244464850525456586062646870727476788082848690889294969810010210410610811011211411611812012212412613012813213413613814014214414614815015215415615816016216416616817017217417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93.xml><?xml version="1.0" encoding="utf-8"?>
<table xmlns="http://schemas.openxmlformats.org/spreadsheetml/2006/main" id="193" name="Tabella52791124791618202224262830323436384042444648505254565860626468707274767880828486908892949698100102104106108110112114116118120122124126130128132134136138140142144146148150152154156158160162164166168170172174176178" displayName="Tabella5279112479161820222426283032343638404244464850525456586062646870727476788082848690889294969810010210410610811011211411611812012212412613012813213413613814014214414614815015215415615816016216416616817017217417617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94.xml><?xml version="1.0" encoding="utf-8"?>
<table xmlns="http://schemas.openxmlformats.org/spreadsheetml/2006/main" id="194" name="Tabella52791124791618202224262830323436384042444648505254565860626468707274767880828486908892949698100102104106108110112114116118120122124126130128132134136138140142144146148150152154156158160162164166168170172174176178182" displayName="Tabella5279112479161820222426283032343638404244464850525456586062646870727476788082848690889294969810010210410610811011211411611812012212412613012813213413613814014214414614815015215415615816016216416616817017217417617818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95.xml><?xml version="1.0" encoding="utf-8"?>
<table xmlns="http://schemas.openxmlformats.org/spreadsheetml/2006/main" id="195" name="Tabella52791124791618202224262830323436384042444648505254565860626468707274767880828486908892949698100102104106108110112114116118120122124126130128132134136138140142144146148150152154156158160162164166168170172174176178182184" displayName="Tabella5279112479161820222426283032343638404244464850525456586062646870727476788082848690889294969810010210410610811011211411611812012212412613012813213413613814014214414614815015215415615816016216416616817017217417617818218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96.xml><?xml version="1.0" encoding="utf-8"?>
<table xmlns="http://schemas.openxmlformats.org/spreadsheetml/2006/main" id="196" name="Tabella52791124791618202224262830323436384042444648505254565860626468707274767880828486908892949698100102104106108110112114116118120122124126130128132134136138140142144146148150152154156158160162164166168170172174176178182184186" displayName="Tabella52791124791618202224262830323436384042444648505254565860626468707274767880828486908892949698100102104106108110112114116118120122124126130128132134136138140142144146148150152154156158160162164166168170172174176178182184186" ref="G5:N53" headerRowCount="0" totalsRowCount="0" totalsRowShown="0">
  <tableColumns count="8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  <tableColumn id="8" name="Colonna8"/>
  </tableColumns>
</table>
</file>

<file path=xl/tables/table197.xml><?xml version="1.0" encoding="utf-8"?>
<table xmlns="http://schemas.openxmlformats.org/spreadsheetml/2006/main" id="197" name="Tabella52791124791618202224262830323436384042444648505254565860626468707274767880828486908892949698100102104106108110112114116118120122124126130128132134136138140142144146148150152154156158160162164166168170172174176178182184188" displayName="Tabella5279112479161820222426283032343638404244464850525456586062646870727476788082848690889294969810010210410610811011211411611812012212412613012813213413613814014214414614815015215415615816016216416616817017217417617818218418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98.xml><?xml version="1.0" encoding="utf-8"?>
<table xmlns="http://schemas.openxmlformats.org/spreadsheetml/2006/main" id="198" name="Tabella52791124791618202224262830323436384042444648505254565860626468707274767880828486908892949698100102104106108110112114116118120122124126130128132134136138140142144146148150152154156158160162164166168170172174176178182184188190" displayName="Tabella5279112479161820222426283032343638404244464850525456586062646870727476788082848690889294969810010210410610811011211411611812012212412613012813213413613814014214414614815015215415615816016216416616817017217417617818218418819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99.xml><?xml version="1.0" encoding="utf-8"?>
<table xmlns="http://schemas.openxmlformats.org/spreadsheetml/2006/main" id="199" name="Tabella52791124791618202224262830323436384042444648505254565860626468707274767880828486908892949698100102104106108110112114116118120122124126130128132134136138140142144146148150152154156158160162164166168170172174176178182184188190192" displayName="Tabella5279112479161820222426283032343638404244464850525456586062646870727476788082848690889294969810010210410610811011211411611812012212412613012813213413613814014214414614815015215415615816016216416616817017217417617818218418819019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00.xml><?xml version="1.0" encoding="utf-8"?>
<table xmlns="http://schemas.openxmlformats.org/spreadsheetml/2006/main" id="200" name="Tabella52791124791618202224262830323436384042444648505254565860626468707274767880828486908892949698100102104106108110112114116118120122124126130128132134136138140142144146148150152154156158160162164166168170172174176178182184188190192194" displayName="Tabella5279112479161820222426283032343638404244464850525456586062646870727476788082848690889294969810010210410610811011211411611812012212412613012813213413613814014214414614815015215415615816016216416616817017217417617818218418819019219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01.xml><?xml version="1.0" encoding="utf-8"?>
<table xmlns="http://schemas.openxmlformats.org/spreadsheetml/2006/main" id="201" name="Tabella52791124791618202224262830323436384042444648505254565860626468707274767880828486908892949698100102104106108110112114116118120122124126130128132134136138140142144146148150152154156158160162164166168170172174176178182184188190192194196" displayName="Tabella5279112479161820222426283032343638404244464850525456586062646870727476788082848690889294969810010210410610811011211411611812012212412613012813213413613814014214414614815015215415615816016216416616817017217417617818218418819019219419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02.xml><?xml version="1.0" encoding="utf-8"?>
<table xmlns="http://schemas.openxmlformats.org/spreadsheetml/2006/main" id="202" name="Tabella52791124791618202224262830323436384042444648505254565860626468707274767880828486908892949698100102104106108110112114116118120122124126130128132134136138140142144146148150152154156158160162164166168170172174176178182184188190192194196198" displayName="Tabella5279112479161820222426283032343638404244464850525456586062646870727476788082848690889294969810010210410610811011211411611812012212412613012813213413613814014214414614815015215415615816016216416616817017217417617818218418819019219419619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03.xml><?xml version="1.0" encoding="utf-8"?>
<table xmlns="http://schemas.openxmlformats.org/spreadsheetml/2006/main" id="203" name="Tabella52791124791618202224262830323436384042444648505254565860626468707274767880828486908892949698100102104106108110112114116118120122124126130128132134136138140142144146148150152154156158160162164166168170172174176178182184188190192194196198200" displayName="Tabella5279112479161820222426283032343638404244464850525456586062646870727476788082848690889294969810010210410610811011211411611812012212412613012813213413613814014214414614815015215415615816016216416616817017217417617818218418819019219419619820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04.xml><?xml version="1.0" encoding="utf-8"?>
<table xmlns="http://schemas.openxmlformats.org/spreadsheetml/2006/main" id="204" name="Tabella52791124791618202224262830323436384042444648505254565860626468707274767880828486908892949698100102104106108110112114116118120122124126130128132134136138140142144146148150152154156158160162164166168170172174176178182184188190192194196198200202" displayName="Tabella5279112479161820222426283032343638404244464850525456586062646870727476788082848690889294969810010210410610811011211411611812012212412613012813213413613814014214414614815015215415615816016216416616817017217417617818218418819019219419619820020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05.xml><?xml version="1.0" encoding="utf-8"?>
<table xmlns="http://schemas.openxmlformats.org/spreadsheetml/2006/main" id="205" name="Tabella5279112479161820222426283032343638404244464850525456586062646870727476788082848690889294969810010210410610811011211411611812012212412613012813213413613814014214414614815015215415615816016216416616817017217417617818218418819019219419619820020220204" displayName="Tabella527911247916182022242628303234363840424446485052545658606264687072747678808284869088929496981001021041061081101121141161181201221241261301281321341361381401421441461481501521541561581601621641661681701721741761781821841881901921941961982002022020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06.xml><?xml version="1.0" encoding="utf-8"?>
<table xmlns="http://schemas.openxmlformats.org/spreadsheetml/2006/main" id="206" name="Tabella5279112479161820222426283032343638404244464850525456586062646870727476788082848690889294969810010210410610811011211411611812012212412613012813213413613814014214414614815015215415615816016216416616817017217417617818218418819019219419619820020220206" displayName="Tabella527911247916182022242628303234363840424446485052545658606264687072747678808284869088929496981001021041061081101121141161181201221241261301281321341361381401421441461481501521541561581601621641661681701721741761781821841881901921941961982002022020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07.xml><?xml version="1.0" encoding="utf-8"?>
<table xmlns="http://schemas.openxmlformats.org/spreadsheetml/2006/main" id="207" name="Tabella52791124791618202224262830323436384042444648505254565860626468707274767880828486908892949698100102104106108110112114116118120122124126130128132134136138140142144146148150152154156158160162164166168170172174176178182184188190192194196198200202208" displayName="Tabella5279112479161820222426283032343638404244464850525456586062646870727476788082848690889294969810010210410610811011211411611812012212412613012813213413613814014214414614815015215415615816016216416616817017217417617818218418819019219419619820020220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08.xml><?xml version="1.0" encoding="utf-8"?>
<table xmlns="http://schemas.openxmlformats.org/spreadsheetml/2006/main" id="208" name="Tabella52791124791618202224262830323436384042444648505254565860626468707274767880828486908892949698100102104106108110112114116118120122124126130128132134136138140142144146148150152154156158160162164166168170172174176180" displayName="Tabella5279112479161820222426283032343638404244464850525456586062646870727476788082848690889294969810010210410610811011211411611812012212412613012813213413613814014214414614815015215415615816016216416616817017217417618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Tema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7.xml"/><Relationship Id="rId2" Type="http://schemas.openxmlformats.org/officeDocument/2006/relationships/table" Target="../tables/table8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9.xml"/><Relationship Id="rId2" Type="http://schemas.openxmlformats.org/officeDocument/2006/relationships/table" Target="../tables/table109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<Relationship Id="rId2" Type="http://schemas.openxmlformats.org/officeDocument/2006/relationships/table" Target="../tables/table1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<Relationship Id="rId2" Type="http://schemas.openxmlformats.org/officeDocument/2006/relationships/table" Target="../tables/table1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2.xml"/><Relationship Id="rId2" Type="http://schemas.openxmlformats.org/officeDocument/2006/relationships/table" Target="../tables/table11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3.xml"/><Relationship Id="rId2" Type="http://schemas.openxmlformats.org/officeDocument/2006/relationships/table" Target="../tables/table11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4.xml"/><Relationship Id="rId2" Type="http://schemas.openxmlformats.org/officeDocument/2006/relationships/table" Target="../tables/table11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5.xml"/><Relationship Id="rId2" Type="http://schemas.openxmlformats.org/officeDocument/2006/relationships/table" Target="../tables/table11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16.xml"/><Relationship Id="rId2" Type="http://schemas.openxmlformats.org/officeDocument/2006/relationships/table" Target="../tables/table11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7.xml"/><Relationship Id="rId2" Type="http://schemas.openxmlformats.org/officeDocument/2006/relationships/table" Target="../tables/table117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18.xml"/><Relationship Id="rId2" Type="http://schemas.openxmlformats.org/officeDocument/2006/relationships/table" Target="../tables/table118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19.xml"/><Relationship Id="rId2" Type="http://schemas.openxmlformats.org/officeDocument/2006/relationships/table" Target="../tables/table119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20.xml"/><Relationship Id="rId2" Type="http://schemas.openxmlformats.org/officeDocument/2006/relationships/table" Target="../tables/table120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table" Target="../tables/table21.xml"/><Relationship Id="rId2" Type="http://schemas.openxmlformats.org/officeDocument/2006/relationships/table" Target="../tables/table121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table" Target="../tables/table22.xml"/><Relationship Id="rId2" Type="http://schemas.openxmlformats.org/officeDocument/2006/relationships/table" Target="../tables/table122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table" Target="../tables/table23.xml"/><Relationship Id="rId2" Type="http://schemas.openxmlformats.org/officeDocument/2006/relationships/table" Target="../tables/table123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table" Target="../tables/table24.xml"/><Relationship Id="rId2" Type="http://schemas.openxmlformats.org/officeDocument/2006/relationships/table" Target="../tables/table124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table" Target="../tables/table25.xml"/><Relationship Id="rId2" Type="http://schemas.openxmlformats.org/officeDocument/2006/relationships/table" Target="../tables/table125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table" Target="../tables/table26.xml"/><Relationship Id="rId2" Type="http://schemas.openxmlformats.org/officeDocument/2006/relationships/table" Target="../tables/table126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table" Target="../tables/table27.xml"/><Relationship Id="rId2" Type="http://schemas.openxmlformats.org/officeDocument/2006/relationships/table" Target="../tables/table127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table" Target="../tables/table28.xml"/><Relationship Id="rId2" Type="http://schemas.openxmlformats.org/officeDocument/2006/relationships/table" Target="../tables/table128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table" Target="../tables/table29.xml"/><Relationship Id="rId2" Type="http://schemas.openxmlformats.org/officeDocument/2006/relationships/table" Target="../tables/table129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table" Target="../tables/table30.xml"/><Relationship Id="rId2" Type="http://schemas.openxmlformats.org/officeDocument/2006/relationships/table" Target="../tables/table130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table" Target="../tables/table31.xml"/><Relationship Id="rId2" Type="http://schemas.openxmlformats.org/officeDocument/2006/relationships/table" Target="../tables/table131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table" Target="../tables/table32.xml"/><Relationship Id="rId2" Type="http://schemas.openxmlformats.org/officeDocument/2006/relationships/table" Target="../tables/table132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table" Target="../tables/table33.xml"/><Relationship Id="rId2" Type="http://schemas.openxmlformats.org/officeDocument/2006/relationships/table" Target="../tables/table133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table" Target="../tables/table34.xml"/><Relationship Id="rId2" Type="http://schemas.openxmlformats.org/officeDocument/2006/relationships/table" Target="../tables/table134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table" Target="../tables/table35.xml"/><Relationship Id="rId2" Type="http://schemas.openxmlformats.org/officeDocument/2006/relationships/table" Target="../tables/table135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table" Target="../tables/table36.xml"/><Relationship Id="rId2" Type="http://schemas.openxmlformats.org/officeDocument/2006/relationships/table" Target="../tables/table136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table" Target="../tables/table37.xml"/><Relationship Id="rId2" Type="http://schemas.openxmlformats.org/officeDocument/2006/relationships/table" Target="../tables/table137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table" Target="../tables/table38.xml"/><Relationship Id="rId2" Type="http://schemas.openxmlformats.org/officeDocument/2006/relationships/table" Target="../tables/table138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table" Target="../tables/table39.xml"/><Relationship Id="rId2" Type="http://schemas.openxmlformats.org/officeDocument/2006/relationships/table" Target="../tables/table139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table" Target="../tables/table40.xml"/><Relationship Id="rId2" Type="http://schemas.openxmlformats.org/officeDocument/2006/relationships/table" Target="../tables/table140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table" Target="../tables/table42.xml"/><Relationship Id="rId2" Type="http://schemas.openxmlformats.org/officeDocument/2006/relationships/table" Target="../tables/table14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table" Target="../tables/table41.xml"/><Relationship Id="rId2" Type="http://schemas.openxmlformats.org/officeDocument/2006/relationships/table" Target="../tables/table141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table" Target="../tables/table43.xml"/><Relationship Id="rId2" Type="http://schemas.openxmlformats.org/officeDocument/2006/relationships/table" Target="../tables/table143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table" Target="../tables/table44.xml"/><Relationship Id="rId2" Type="http://schemas.openxmlformats.org/officeDocument/2006/relationships/table" Target="../tables/table144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table" Target="../tables/table45.xml"/><Relationship Id="rId2" Type="http://schemas.openxmlformats.org/officeDocument/2006/relationships/table" Target="../tables/table145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table" Target="../tables/table46.xml"/><Relationship Id="rId2" Type="http://schemas.openxmlformats.org/officeDocument/2006/relationships/table" Target="../tables/table146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table" Target="../tables/table47.xml"/><Relationship Id="rId2" Type="http://schemas.openxmlformats.org/officeDocument/2006/relationships/table" Target="../tables/table147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table" Target="../tables/table48.xml"/><Relationship Id="rId2" Type="http://schemas.openxmlformats.org/officeDocument/2006/relationships/table" Target="../tables/table148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table" Target="../tables/table49.xml"/><Relationship Id="rId2" Type="http://schemas.openxmlformats.org/officeDocument/2006/relationships/table" Target="../tables/table149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table" Target="../tables/table50.xml"/><Relationship Id="rId2" Type="http://schemas.openxmlformats.org/officeDocument/2006/relationships/table" Target="../tables/table150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table" Target="../tables/table51.xml"/><Relationship Id="rId2" Type="http://schemas.openxmlformats.org/officeDocument/2006/relationships/table" Target="../tables/table151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table" Target="../tables/table52.xml"/><Relationship Id="rId2" Type="http://schemas.openxmlformats.org/officeDocument/2006/relationships/table" Target="../tables/table152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table" Target="../tables/table53.xml"/><Relationship Id="rId2" Type="http://schemas.openxmlformats.org/officeDocument/2006/relationships/table" Target="../tables/table153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table" Target="../tables/table54.xml"/><Relationship Id="rId2" Type="http://schemas.openxmlformats.org/officeDocument/2006/relationships/table" Target="../tables/table154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table" Target="../tables/table55.xml"/><Relationship Id="rId2" Type="http://schemas.openxmlformats.org/officeDocument/2006/relationships/table" Target="../tables/table155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table" Target="../tables/table56.xml"/><Relationship Id="rId2" Type="http://schemas.openxmlformats.org/officeDocument/2006/relationships/table" Target="../tables/table156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table" Target="../tables/table57.xml"/><Relationship Id="rId2" Type="http://schemas.openxmlformats.org/officeDocument/2006/relationships/table" Target="../tables/table157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table" Target="../tables/table58.xml"/><Relationship Id="rId2" Type="http://schemas.openxmlformats.org/officeDocument/2006/relationships/table" Target="../tables/table158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table" Target="../tables/table59.xml"/><Relationship Id="rId2" Type="http://schemas.openxmlformats.org/officeDocument/2006/relationships/table" Target="../tables/table159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table" Target="../tables/table60.xml"/><Relationship Id="rId2" Type="http://schemas.openxmlformats.org/officeDocument/2006/relationships/table" Target="../tables/table160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table" Target="../tables/table61.xml"/><Relationship Id="rId2" Type="http://schemas.openxmlformats.org/officeDocument/2006/relationships/table" Target="../tables/table161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table" Target="../tables/table62.xml"/><Relationship Id="rId2" Type="http://schemas.openxmlformats.org/officeDocument/2006/relationships/table" Target="../tables/table162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table" Target="../tables/table63.xml"/><Relationship Id="rId2" Type="http://schemas.openxmlformats.org/officeDocument/2006/relationships/table" Target="../tables/table163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table" Target="../tables/table64.xml"/><Relationship Id="rId2" Type="http://schemas.openxmlformats.org/officeDocument/2006/relationships/table" Target="../tables/table164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table" Target="../tables/table65.xml"/><Relationship Id="rId2" Type="http://schemas.openxmlformats.org/officeDocument/2006/relationships/table" Target="../tables/table165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table" Target="../tables/table66.xml"/><Relationship Id="rId2" Type="http://schemas.openxmlformats.org/officeDocument/2006/relationships/table" Target="../tables/table166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table" Target="../tables/table67.xml"/><Relationship Id="rId2" Type="http://schemas.openxmlformats.org/officeDocument/2006/relationships/table" Target="../tables/table167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table" Target="../tables/table68.xml"/><Relationship Id="rId2" Type="http://schemas.openxmlformats.org/officeDocument/2006/relationships/table" Target="../tables/table168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table" Target="../tables/table69.xml"/><Relationship Id="rId2" Type="http://schemas.openxmlformats.org/officeDocument/2006/relationships/table" Target="../tables/table169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table" Target="../tables/table70.xml"/><Relationship Id="rId2" Type="http://schemas.openxmlformats.org/officeDocument/2006/relationships/table" Target="../tables/table170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table" Target="../tables/table71.xml"/><Relationship Id="rId2" Type="http://schemas.openxmlformats.org/officeDocument/2006/relationships/table" Target="../tables/table171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table" Target="../tables/table72.xml"/><Relationship Id="rId2" Type="http://schemas.openxmlformats.org/officeDocument/2006/relationships/table" Target="../tables/table172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table" Target="../tables/table73.xml"/><Relationship Id="rId2" Type="http://schemas.openxmlformats.org/officeDocument/2006/relationships/table" Target="../tables/table173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table" Target="../tables/table74.xml"/><Relationship Id="rId2" Type="http://schemas.openxmlformats.org/officeDocument/2006/relationships/table" Target="../tables/table174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table" Target="../tables/table75.xml"/><Relationship Id="rId2" Type="http://schemas.openxmlformats.org/officeDocument/2006/relationships/table" Target="../tables/table175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table" Target="../tables/table76.xml"/><Relationship Id="rId2" Type="http://schemas.openxmlformats.org/officeDocument/2006/relationships/table" Target="../tables/table176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table" Target="../tables/table77.xml"/><Relationship Id="rId2" Type="http://schemas.openxmlformats.org/officeDocument/2006/relationships/table" Target="../tables/table177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table" Target="../tables/table78.xml"/><Relationship Id="rId2" Type="http://schemas.openxmlformats.org/officeDocument/2006/relationships/table" Target="../tables/table178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table" Target="../tables/table79.xml"/><Relationship Id="rId2" Type="http://schemas.openxmlformats.org/officeDocument/2006/relationships/table" Target="../tables/table179.xml"/>
</Relationships>
</file>

<file path=xl/worksheets/_rels/sheet76.xml.rels><?xml version="1.0" encoding="UTF-8"?>
<Relationships xmlns="http://schemas.openxmlformats.org/package/2006/relationships"><Relationship Id="rId1" Type="http://schemas.openxmlformats.org/officeDocument/2006/relationships/table" Target="../tables/table80.xml"/><Relationship Id="rId2" Type="http://schemas.openxmlformats.org/officeDocument/2006/relationships/table" Target="../tables/table180.xml"/>
</Relationships>
</file>

<file path=xl/worksheets/_rels/sheet77.xml.rels><?xml version="1.0" encoding="UTF-8"?>
<Relationships xmlns="http://schemas.openxmlformats.org/package/2006/relationships"><Relationship Id="rId1" Type="http://schemas.openxmlformats.org/officeDocument/2006/relationships/table" Target="../tables/table81.xml"/><Relationship Id="rId2" Type="http://schemas.openxmlformats.org/officeDocument/2006/relationships/table" Target="../tables/table181.xml"/>
</Relationships>
</file>

<file path=xl/worksheets/_rels/sheet78.xml.rels><?xml version="1.0" encoding="UTF-8"?>
<Relationships xmlns="http://schemas.openxmlformats.org/package/2006/relationships"><Relationship Id="rId1" Type="http://schemas.openxmlformats.org/officeDocument/2006/relationships/table" Target="../tables/table82.xml"/><Relationship Id="rId2" Type="http://schemas.openxmlformats.org/officeDocument/2006/relationships/table" Target="../tables/table182.xml"/>
</Relationships>
</file>

<file path=xl/worksheets/_rels/sheet79.xml.rels><?xml version="1.0" encoding="UTF-8"?>
<Relationships xmlns="http://schemas.openxmlformats.org/package/2006/relationships"><Relationship Id="rId1" Type="http://schemas.openxmlformats.org/officeDocument/2006/relationships/table" Target="../tables/table83.xml"/><Relationship Id="rId2" Type="http://schemas.openxmlformats.org/officeDocument/2006/relationships/table" Target="../tables/table183.xml"/>
</Relationships>
</file>

<file path=xl/worksheets/_rels/sheet80.xml.rels><?xml version="1.0" encoding="UTF-8"?>
<Relationships xmlns="http://schemas.openxmlformats.org/package/2006/relationships"><Relationship Id="rId1" Type="http://schemas.openxmlformats.org/officeDocument/2006/relationships/table" Target="../tables/table84.xml"/><Relationship Id="rId2" Type="http://schemas.openxmlformats.org/officeDocument/2006/relationships/table" Target="../tables/table184.xml"/>
</Relationships>
</file>

<file path=xl/worksheets/_rels/sheet81.xml.rels><?xml version="1.0" encoding="UTF-8"?>
<Relationships xmlns="http://schemas.openxmlformats.org/package/2006/relationships"><Relationship Id="rId1" Type="http://schemas.openxmlformats.org/officeDocument/2006/relationships/table" Target="../tables/table85.xml"/><Relationship Id="rId2" Type="http://schemas.openxmlformats.org/officeDocument/2006/relationships/table" Target="../tables/table185.xml"/>
</Relationships>
</file>

<file path=xl/worksheets/_rels/sheet82.xml.rels><?xml version="1.0" encoding="UTF-8"?>
<Relationships xmlns="http://schemas.openxmlformats.org/package/2006/relationships"><Relationship Id="rId1" Type="http://schemas.openxmlformats.org/officeDocument/2006/relationships/table" Target="../tables/table86.xml"/><Relationship Id="rId2" Type="http://schemas.openxmlformats.org/officeDocument/2006/relationships/table" Target="../tables/table186.xml"/>
</Relationships>
</file>

<file path=xl/worksheets/_rels/sheet83.xml.rels><?xml version="1.0" encoding="UTF-8"?>
<Relationships xmlns="http://schemas.openxmlformats.org/package/2006/relationships"><Relationship Id="rId1" Type="http://schemas.openxmlformats.org/officeDocument/2006/relationships/table" Target="../tables/table87.xml"/><Relationship Id="rId2" Type="http://schemas.openxmlformats.org/officeDocument/2006/relationships/table" Target="../tables/table187.xml"/>
</Relationships>
</file>

<file path=xl/worksheets/_rels/sheet84.xml.rels><?xml version="1.0" encoding="UTF-8"?>
<Relationships xmlns="http://schemas.openxmlformats.org/package/2006/relationships"><Relationship Id="rId1" Type="http://schemas.openxmlformats.org/officeDocument/2006/relationships/table" Target="../tables/table88.xml"/><Relationship Id="rId2" Type="http://schemas.openxmlformats.org/officeDocument/2006/relationships/table" Target="../tables/table188.xml"/>
</Relationships>
</file>

<file path=xl/worksheets/_rels/sheet85.xml.rels><?xml version="1.0" encoding="UTF-8"?>
<Relationships xmlns="http://schemas.openxmlformats.org/package/2006/relationships"><Relationship Id="rId1" Type="http://schemas.openxmlformats.org/officeDocument/2006/relationships/table" Target="../tables/table89.xml"/><Relationship Id="rId2" Type="http://schemas.openxmlformats.org/officeDocument/2006/relationships/table" Target="../tables/table189.xml"/>
</Relationships>
</file>

<file path=xl/worksheets/_rels/sheet86.xml.rels><?xml version="1.0" encoding="UTF-8"?>
<Relationships xmlns="http://schemas.openxmlformats.org/package/2006/relationships"><Relationship Id="rId1" Type="http://schemas.openxmlformats.org/officeDocument/2006/relationships/table" Target="../tables/table90.xml"/><Relationship Id="rId2" Type="http://schemas.openxmlformats.org/officeDocument/2006/relationships/table" Target="../tables/table190.xml"/>
</Relationships>
</file>

<file path=xl/worksheets/_rels/sheet87.xml.rels><?xml version="1.0" encoding="UTF-8"?>
<Relationships xmlns="http://schemas.openxmlformats.org/package/2006/relationships"><Relationship Id="rId1" Type="http://schemas.openxmlformats.org/officeDocument/2006/relationships/table" Target="../tables/table91.xml"/><Relationship Id="rId2" Type="http://schemas.openxmlformats.org/officeDocument/2006/relationships/table" Target="../tables/table191.xml"/>
</Relationships>
</file>

<file path=xl/worksheets/_rels/sheet88.xml.rels><?xml version="1.0" encoding="UTF-8"?>
<Relationships xmlns="http://schemas.openxmlformats.org/package/2006/relationships"><Relationship Id="rId1" Type="http://schemas.openxmlformats.org/officeDocument/2006/relationships/table" Target="../tables/table108.xml"/><Relationship Id="rId2" Type="http://schemas.openxmlformats.org/officeDocument/2006/relationships/table" Target="../tables/table208.xml"/>
</Relationships>
</file>

<file path=xl/worksheets/_rels/sheet89.xml.rels><?xml version="1.0" encoding="UTF-8"?>
<Relationships xmlns="http://schemas.openxmlformats.org/package/2006/relationships"><Relationship Id="rId1" Type="http://schemas.openxmlformats.org/officeDocument/2006/relationships/table" Target="../tables/table92.xml"/><Relationship Id="rId2" Type="http://schemas.openxmlformats.org/officeDocument/2006/relationships/table" Target="../tables/table192.xml"/>
</Relationships>
</file>

<file path=xl/worksheets/_rels/sheet90.xml.rels><?xml version="1.0" encoding="UTF-8"?>
<Relationships xmlns="http://schemas.openxmlformats.org/package/2006/relationships"><Relationship Id="rId1" Type="http://schemas.openxmlformats.org/officeDocument/2006/relationships/table" Target="../tables/table93.xml"/><Relationship Id="rId2" Type="http://schemas.openxmlformats.org/officeDocument/2006/relationships/table" Target="../tables/table193.xml"/>
</Relationships>
</file>

<file path=xl/worksheets/_rels/sheet91.xml.rels><?xml version="1.0" encoding="UTF-8"?>
<Relationships xmlns="http://schemas.openxmlformats.org/package/2006/relationships"><Relationship Id="rId1" Type="http://schemas.openxmlformats.org/officeDocument/2006/relationships/table" Target="../tables/table94.xml"/><Relationship Id="rId2" Type="http://schemas.openxmlformats.org/officeDocument/2006/relationships/table" Target="../tables/table194.xml"/>
</Relationships>
</file>

<file path=xl/worksheets/_rels/sheet92.xml.rels><?xml version="1.0" encoding="UTF-8"?>
<Relationships xmlns="http://schemas.openxmlformats.org/package/2006/relationships"><Relationship Id="rId1" Type="http://schemas.openxmlformats.org/officeDocument/2006/relationships/table" Target="../tables/table95.xml"/><Relationship Id="rId2" Type="http://schemas.openxmlformats.org/officeDocument/2006/relationships/table" Target="../tables/table195.xml"/>
</Relationships>
</file>

<file path=xl/worksheets/_rels/sheet93.xml.rels><?xml version="1.0" encoding="UTF-8"?>
<Relationships xmlns="http://schemas.openxmlformats.org/package/2006/relationships"><Relationship Id="rId1" Type="http://schemas.openxmlformats.org/officeDocument/2006/relationships/table" Target="../tables/table96.xml"/><Relationship Id="rId2" Type="http://schemas.openxmlformats.org/officeDocument/2006/relationships/table" Target="../tables/table196.xml"/>
</Relationships>
</file>

<file path=xl/worksheets/_rels/sheet94.xml.rels><?xml version="1.0" encoding="UTF-8"?>
<Relationships xmlns="http://schemas.openxmlformats.org/package/2006/relationships"><Relationship Id="rId1" Type="http://schemas.openxmlformats.org/officeDocument/2006/relationships/table" Target="../tables/table97.xml"/><Relationship Id="rId2" Type="http://schemas.openxmlformats.org/officeDocument/2006/relationships/table" Target="../tables/table197.xml"/>
</Relationships>
</file>

<file path=xl/worksheets/_rels/sheet95.xml.rels><?xml version="1.0" encoding="UTF-8"?>
<Relationships xmlns="http://schemas.openxmlformats.org/package/2006/relationships"><Relationship Id="rId1" Type="http://schemas.openxmlformats.org/officeDocument/2006/relationships/table" Target="../tables/table98.xml"/><Relationship Id="rId2" Type="http://schemas.openxmlformats.org/officeDocument/2006/relationships/table" Target="../tables/table198.xml"/>
</Relationships>
</file>

<file path=xl/worksheets/_rels/sheet96.xml.rels><?xml version="1.0" encoding="UTF-8"?>
<Relationships xmlns="http://schemas.openxmlformats.org/package/2006/relationships"><Relationship Id="rId1" Type="http://schemas.openxmlformats.org/officeDocument/2006/relationships/table" Target="../tables/table99.xml"/><Relationship Id="rId2" Type="http://schemas.openxmlformats.org/officeDocument/2006/relationships/table" Target="../tables/table199.xml"/>
</Relationships>
</file>

<file path=xl/worksheets/_rels/sheet97.xml.rels><?xml version="1.0" encoding="UTF-8"?>
<Relationships xmlns="http://schemas.openxmlformats.org/package/2006/relationships"><Relationship Id="rId1" Type="http://schemas.openxmlformats.org/officeDocument/2006/relationships/table" Target="../tables/table100.xml"/><Relationship Id="rId2" Type="http://schemas.openxmlformats.org/officeDocument/2006/relationships/table" Target="../tables/table200.xml"/>
</Relationships>
</file>

<file path=xl/worksheets/_rels/sheet98.xml.rels><?xml version="1.0" encoding="UTF-8"?>
<Relationships xmlns="http://schemas.openxmlformats.org/package/2006/relationships"><Relationship Id="rId1" Type="http://schemas.openxmlformats.org/officeDocument/2006/relationships/table" Target="../tables/table101.xml"/><Relationship Id="rId2" Type="http://schemas.openxmlformats.org/officeDocument/2006/relationships/table" Target="../tables/table201.xml"/>
</Relationships>
</file>

<file path=xl/worksheets/_rels/sheet99.xml.rels><?xml version="1.0" encoding="UTF-8"?>
<Relationships xmlns="http://schemas.openxmlformats.org/package/2006/relationships"><Relationship Id="rId1" Type="http://schemas.openxmlformats.org/officeDocument/2006/relationships/table" Target="../tables/table102.xml"/><Relationship Id="rId2" Type="http://schemas.openxmlformats.org/officeDocument/2006/relationships/table" Target="../tables/table202.xml"/>
</Relationships>
</file>

<file path=xl/worksheets/_rels/sheet100.xml.rels><?xml version="1.0" encoding="UTF-8"?>
<Relationships xmlns="http://schemas.openxmlformats.org/package/2006/relationships"><Relationship Id="rId1" Type="http://schemas.openxmlformats.org/officeDocument/2006/relationships/table" Target="../tables/table103.xml"/><Relationship Id="rId2" Type="http://schemas.openxmlformats.org/officeDocument/2006/relationships/table" Target="../tables/table203.xml"/>
</Relationships>
</file>

<file path=xl/worksheets/_rels/sheet101.xml.rels><?xml version="1.0" encoding="UTF-8"?>
<Relationships xmlns="http://schemas.openxmlformats.org/package/2006/relationships"><Relationship Id="rId1" Type="http://schemas.openxmlformats.org/officeDocument/2006/relationships/table" Target="../tables/table104.xml"/><Relationship Id="rId2" Type="http://schemas.openxmlformats.org/officeDocument/2006/relationships/table" Target="../tables/table204.xml"/>
</Relationships>
</file>

<file path=xl/worksheets/_rels/sheet102.xml.rels><?xml version="1.0" encoding="UTF-8"?>
<Relationships xmlns="http://schemas.openxmlformats.org/package/2006/relationships"><Relationship Id="rId1" Type="http://schemas.openxmlformats.org/officeDocument/2006/relationships/table" Target="../tables/table107.xml"/><Relationship Id="rId2" Type="http://schemas.openxmlformats.org/officeDocument/2006/relationships/table" Target="../tables/table207.xml"/>
</Relationships>
</file>

<file path=xl/worksheets/_rels/sheet10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4.xml.rels><?xml version="1.0" encoding="UTF-8"?>
<Relationships xmlns="http://schemas.openxmlformats.org/package/2006/relationships"><Relationship Id="rId1" Type="http://schemas.openxmlformats.org/officeDocument/2006/relationships/table" Target="../tables/table105.xml"/><Relationship Id="rId2" Type="http://schemas.openxmlformats.org/officeDocument/2006/relationships/table" Target="../tables/table205.xml"/>
</Relationships>
</file>

<file path=xl/worksheets/_rels/sheet105.xml.rels><?xml version="1.0" encoding="UTF-8"?>
<Relationships xmlns="http://schemas.openxmlformats.org/package/2006/relationships"><Relationship Id="rId1" Type="http://schemas.openxmlformats.org/officeDocument/2006/relationships/table" Target="../tables/table106.xml"/><Relationship Id="rId2" Type="http://schemas.openxmlformats.org/officeDocument/2006/relationships/table" Target="../tables/table20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AC215"/>
  <sheetViews>
    <sheetView showFormulas="false" showGridLines="true" showRowColHeaders="true" showZeros="true" rightToLeft="false" tabSelected="false" showOutlineSymbols="true" defaultGridColor="true" view="normal" topLeftCell="A58" colorId="64" zoomScale="100" zoomScaleNormal="100" zoomScalePageLayoutView="100" workbookViewId="0">
      <selection pane="topLeft" activeCell="L85" activeCellId="0" sqref="L85"/>
    </sheetView>
  </sheetViews>
  <sheetFormatPr defaultColWidth="8.859375" defaultRowHeight="15" customHeight="true" zeroHeight="false" outlineLevelRow="0" outlineLevelCol="0"/>
  <cols>
    <col collapsed="false" customWidth="true" hidden="false" outlineLevel="0" max="10" min="2" style="1" width="11.43"/>
    <col collapsed="false" customWidth="true" hidden="false" outlineLevel="0" max="12" min="11" style="1" width="12.42"/>
    <col collapsed="false" customWidth="true" hidden="false" outlineLevel="0" max="13" min="13" style="1" width="11.43"/>
    <col collapsed="false" customWidth="true" hidden="false" outlineLevel="0" max="20" min="19" style="1" width="11"/>
    <col collapsed="false" customWidth="true" hidden="false" outlineLevel="0" max="21" min="21" style="1" width="11.71"/>
    <col collapsed="false" customWidth="true" hidden="false" outlineLevel="0" max="22" min="22" style="1" width="11"/>
    <col collapsed="false" customWidth="true" hidden="false" outlineLevel="0" max="23" min="23" style="1" width="10.85"/>
    <col collapsed="false" customWidth="true" hidden="false" outlineLevel="0" max="24" min="24" style="1" width="10.42"/>
    <col collapsed="false" customWidth="true" hidden="false" outlineLevel="0" max="25" min="25" style="1" width="11.14"/>
  </cols>
  <sheetData>
    <row r="3" customFormat="false" ht="15" hidden="false" customHeight="false" outlineLevel="0" collapsed="false">
      <c r="G3" s="2" t="s">
        <v>0</v>
      </c>
      <c r="H3" s="3" t="s">
        <v>1</v>
      </c>
      <c r="I3" s="2" t="s">
        <v>2</v>
      </c>
      <c r="J3" s="4" t="n">
        <v>44869</v>
      </c>
      <c r="K3" s="5" t="n">
        <v>44871</v>
      </c>
      <c r="L3" s="6" t="s">
        <v>3</v>
      </c>
      <c r="M3" s="3" t="n">
        <v>2022</v>
      </c>
      <c r="P3" s="7" t="s">
        <v>4</v>
      </c>
      <c r="Q3" s="7" t="n">
        <v>0.4</v>
      </c>
      <c r="S3" s="2" t="s">
        <v>0</v>
      </c>
      <c r="T3" s="3" t="s">
        <v>1</v>
      </c>
      <c r="U3" s="2" t="s">
        <v>2</v>
      </c>
      <c r="V3" s="4" t="n">
        <v>44869</v>
      </c>
      <c r="W3" s="5" t="n">
        <v>44871</v>
      </c>
      <c r="X3" s="6" t="s">
        <v>3</v>
      </c>
      <c r="Y3" s="3" t="n">
        <v>2022</v>
      </c>
    </row>
    <row r="5" customFormat="false" ht="15" hidden="false" customHeight="false" outlineLevel="0" collapsed="false">
      <c r="D5" s="8" t="s">
        <v>5</v>
      </c>
      <c r="E5" s="8"/>
      <c r="F5" s="8"/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P5" s="8" t="s">
        <v>5</v>
      </c>
      <c r="Q5" s="8"/>
      <c r="R5" s="8"/>
      <c r="S5" s="1" t="s">
        <v>6</v>
      </c>
      <c r="T5" s="1" t="s">
        <v>7</v>
      </c>
      <c r="U5" s="1" t="s">
        <v>8</v>
      </c>
      <c r="V5" s="1" t="s">
        <v>9</v>
      </c>
      <c r="W5" s="1" t="s">
        <v>10</v>
      </c>
      <c r="X5" s="1" t="s">
        <v>11</v>
      </c>
      <c r="Y5" s="1" t="s">
        <v>12</v>
      </c>
    </row>
    <row r="6" customFormat="false" ht="15" hidden="false" customHeight="true" outlineLevel="0" collapsed="false">
      <c r="C6" s="1" t="n">
        <v>1</v>
      </c>
      <c r="D6" s="9" t="s">
        <v>13</v>
      </c>
      <c r="E6" s="9"/>
      <c r="F6" s="9"/>
      <c r="G6" s="10"/>
      <c r="H6" s="10"/>
      <c r="I6" s="10"/>
      <c r="J6" s="10"/>
      <c r="P6" s="9" t="s">
        <v>13</v>
      </c>
      <c r="Q6" s="9"/>
      <c r="R6" s="9"/>
      <c r="S6" s="10"/>
      <c r="T6" s="10"/>
      <c r="U6" s="10"/>
      <c r="V6" s="10"/>
      <c r="W6" s="11"/>
      <c r="X6" s="11"/>
      <c r="Y6" s="11"/>
    </row>
    <row r="7" customFormat="false" ht="15" hidden="false" customHeight="false" outlineLevel="0" collapsed="false">
      <c r="C7" s="1" t="n">
        <v>5</v>
      </c>
      <c r="D7" s="12" t="s">
        <v>14</v>
      </c>
      <c r="E7" s="12"/>
      <c r="F7" s="12"/>
      <c r="G7" s="10"/>
      <c r="H7" s="10"/>
      <c r="I7" s="10"/>
      <c r="J7" s="10"/>
      <c r="L7" s="13" t="n">
        <v>1</v>
      </c>
      <c r="P7" s="12" t="s">
        <v>14</v>
      </c>
      <c r="Q7" s="12"/>
      <c r="R7" s="12"/>
      <c r="S7" s="10"/>
      <c r="T7" s="10"/>
      <c r="U7" s="10"/>
      <c r="V7" s="10"/>
      <c r="W7" s="11"/>
      <c r="X7" s="14" t="n">
        <f aca="false">Tabella5[[#This Row],[Colonna6]]*Q3</f>
        <v>0.4</v>
      </c>
      <c r="Y7" s="11"/>
    </row>
    <row r="8" customFormat="false" ht="15" hidden="false" customHeight="false" outlineLevel="0" collapsed="false">
      <c r="C8" s="1" t="n">
        <v>8</v>
      </c>
      <c r="D8" s="12" t="s">
        <v>15</v>
      </c>
      <c r="E8" s="12"/>
      <c r="F8" s="12"/>
      <c r="G8" s="10"/>
      <c r="H8" s="10"/>
      <c r="I8" s="10"/>
      <c r="J8" s="10"/>
      <c r="P8" s="12" t="s">
        <v>15</v>
      </c>
      <c r="Q8" s="12"/>
      <c r="R8" s="12"/>
      <c r="S8" s="10"/>
      <c r="T8" s="10"/>
      <c r="U8" s="10"/>
      <c r="V8" s="10"/>
      <c r="W8" s="11"/>
      <c r="X8" s="11"/>
      <c r="Y8" s="11"/>
    </row>
    <row r="9" customFormat="false" ht="15" hidden="false" customHeight="false" outlineLevel="0" collapsed="false">
      <c r="C9" s="1" t="n">
        <v>9</v>
      </c>
      <c r="D9" s="12" t="s">
        <v>16</v>
      </c>
      <c r="E9" s="12"/>
      <c r="F9" s="12"/>
      <c r="G9" s="10"/>
      <c r="H9" s="10"/>
      <c r="I9" s="10"/>
      <c r="J9" s="10"/>
      <c r="P9" s="12" t="s">
        <v>16</v>
      </c>
      <c r="Q9" s="12"/>
      <c r="R9" s="12"/>
      <c r="S9" s="10"/>
      <c r="T9" s="10"/>
      <c r="U9" s="10"/>
      <c r="V9" s="10"/>
      <c r="W9" s="11"/>
      <c r="X9" s="11"/>
      <c r="Y9" s="11"/>
    </row>
    <row r="10" customFormat="false" ht="15" hidden="false" customHeight="false" outlineLevel="0" collapsed="false">
      <c r="C10" s="1" t="n">
        <v>10</v>
      </c>
      <c r="D10" s="12" t="s">
        <v>17</v>
      </c>
      <c r="E10" s="12"/>
      <c r="F10" s="12"/>
      <c r="G10" s="10"/>
      <c r="H10" s="10"/>
      <c r="I10" s="10"/>
      <c r="J10" s="10"/>
      <c r="P10" s="12" t="s">
        <v>17</v>
      </c>
      <c r="Q10" s="12"/>
      <c r="R10" s="12"/>
      <c r="S10" s="10"/>
      <c r="T10" s="10"/>
      <c r="U10" s="10"/>
      <c r="V10" s="10"/>
      <c r="W10" s="11"/>
      <c r="X10" s="11"/>
      <c r="Y10" s="11"/>
    </row>
    <row r="11" customFormat="false" ht="15" hidden="false" customHeight="false" outlineLevel="0" collapsed="false">
      <c r="C11" s="1" t="n">
        <v>12</v>
      </c>
      <c r="D11" s="9" t="s">
        <v>18</v>
      </c>
      <c r="E11" s="9"/>
      <c r="F11" s="9"/>
      <c r="G11" s="10"/>
      <c r="H11" s="10"/>
      <c r="I11" s="10"/>
      <c r="J11" s="10"/>
      <c r="P11" s="9" t="s">
        <v>18</v>
      </c>
      <c r="Q11" s="9"/>
      <c r="R11" s="9"/>
      <c r="S11" s="10"/>
      <c r="T11" s="10"/>
      <c r="U11" s="10"/>
      <c r="V11" s="10"/>
      <c r="W11" s="11"/>
      <c r="X11" s="11"/>
      <c r="Y11" s="11"/>
    </row>
    <row r="12" customFormat="false" ht="15" hidden="false" customHeight="false" outlineLevel="0" collapsed="false">
      <c r="C12" s="1" t="n">
        <v>17</v>
      </c>
      <c r="D12" s="12" t="s">
        <v>19</v>
      </c>
      <c r="E12" s="12"/>
      <c r="F12" s="12"/>
      <c r="G12" s="10"/>
      <c r="H12" s="10"/>
      <c r="I12" s="10"/>
      <c r="J12" s="10"/>
      <c r="P12" s="12" t="s">
        <v>19</v>
      </c>
      <c r="Q12" s="12"/>
      <c r="R12" s="12"/>
      <c r="S12" s="10"/>
      <c r="T12" s="10"/>
      <c r="U12" s="10"/>
      <c r="V12" s="10"/>
      <c r="W12" s="11"/>
      <c r="X12" s="11"/>
      <c r="Y12" s="11"/>
    </row>
    <row r="13" customFormat="false" ht="15" hidden="false" customHeight="false" outlineLevel="0" collapsed="false">
      <c r="C13" s="1" t="n">
        <v>18</v>
      </c>
      <c r="D13" s="12" t="s">
        <v>20</v>
      </c>
      <c r="E13" s="12"/>
      <c r="F13" s="12"/>
      <c r="G13" s="10"/>
      <c r="H13" s="10"/>
      <c r="I13" s="10"/>
      <c r="J13" s="10"/>
      <c r="P13" s="12" t="s">
        <v>20</v>
      </c>
      <c r="Q13" s="12"/>
      <c r="R13" s="12"/>
      <c r="S13" s="10"/>
      <c r="T13" s="10"/>
      <c r="U13" s="10"/>
      <c r="V13" s="10"/>
      <c r="W13" s="11"/>
      <c r="X13" s="11"/>
      <c r="Y13" s="11"/>
    </row>
    <row r="14" customFormat="false" ht="15" hidden="false" customHeight="false" outlineLevel="0" collapsed="false">
      <c r="C14" s="1" t="n">
        <v>19</v>
      </c>
      <c r="D14" s="12" t="s">
        <v>21</v>
      </c>
      <c r="E14" s="12"/>
      <c r="F14" s="12"/>
      <c r="G14" s="10"/>
      <c r="H14" s="10"/>
      <c r="I14" s="10"/>
      <c r="J14" s="10"/>
      <c r="P14" s="12" t="s">
        <v>21</v>
      </c>
      <c r="Q14" s="12"/>
      <c r="R14" s="12"/>
      <c r="S14" s="10"/>
      <c r="T14" s="10"/>
      <c r="U14" s="10"/>
      <c r="V14" s="10"/>
      <c r="W14" s="11"/>
      <c r="X14" s="11"/>
      <c r="Y14" s="11"/>
    </row>
    <row r="15" customFormat="false" ht="15" hidden="false" customHeight="false" outlineLevel="0" collapsed="false">
      <c r="C15" s="1" t="n">
        <v>20</v>
      </c>
      <c r="D15" s="12" t="s">
        <v>22</v>
      </c>
      <c r="E15" s="12"/>
      <c r="F15" s="12"/>
      <c r="G15" s="10"/>
      <c r="H15" s="10"/>
      <c r="I15" s="10"/>
      <c r="J15" s="10"/>
      <c r="P15" s="12" t="s">
        <v>22</v>
      </c>
      <c r="Q15" s="12"/>
      <c r="R15" s="12"/>
      <c r="S15" s="10"/>
      <c r="T15" s="10"/>
      <c r="U15" s="10"/>
      <c r="V15" s="10"/>
      <c r="W15" s="11"/>
      <c r="X15" s="11"/>
      <c r="Y15" s="11"/>
    </row>
    <row r="16" customFormat="false" ht="15" hidden="false" customHeight="false" outlineLevel="0" collapsed="false">
      <c r="C16" s="1" t="n">
        <v>21</v>
      </c>
      <c r="D16" s="12" t="s">
        <v>23</v>
      </c>
      <c r="E16" s="12"/>
      <c r="F16" s="12"/>
      <c r="G16" s="10"/>
      <c r="H16" s="10"/>
      <c r="I16" s="10"/>
      <c r="J16" s="10"/>
      <c r="L16" s="13" t="n">
        <v>1</v>
      </c>
      <c r="P16" s="12" t="s">
        <v>23</v>
      </c>
      <c r="Q16" s="12"/>
      <c r="R16" s="12"/>
      <c r="S16" s="10"/>
      <c r="T16" s="10"/>
      <c r="U16" s="10"/>
      <c r="V16" s="10"/>
      <c r="W16" s="11"/>
      <c r="X16" s="14" t="n">
        <f aca="false">Tabella5[[#This Row],[Colonna6]]*Q3</f>
        <v>0.4</v>
      </c>
      <c r="Y16" s="11"/>
    </row>
    <row r="17" customFormat="false" ht="15" hidden="false" customHeight="true" outlineLevel="0" collapsed="false">
      <c r="C17" s="1" t="n">
        <v>22</v>
      </c>
      <c r="D17" s="15" t="s">
        <v>24</v>
      </c>
      <c r="E17" s="15"/>
      <c r="F17" s="15"/>
      <c r="G17" s="10"/>
      <c r="H17" s="10"/>
      <c r="I17" s="10"/>
      <c r="J17" s="10"/>
      <c r="P17" s="15" t="s">
        <v>24</v>
      </c>
      <c r="Q17" s="15"/>
      <c r="R17" s="15"/>
      <c r="S17" s="10"/>
      <c r="T17" s="10"/>
      <c r="U17" s="10"/>
      <c r="V17" s="10"/>
      <c r="W17" s="11"/>
      <c r="X17" s="11"/>
      <c r="Y17" s="11"/>
    </row>
    <row r="18" customFormat="false" ht="15" hidden="false" customHeight="false" outlineLevel="0" collapsed="false">
      <c r="C18" s="1" t="n">
        <v>23</v>
      </c>
      <c r="D18" s="12" t="s">
        <v>25</v>
      </c>
      <c r="E18" s="12"/>
      <c r="F18" s="12"/>
      <c r="G18" s="10"/>
      <c r="H18" s="10"/>
      <c r="I18" s="10"/>
      <c r="J18" s="10"/>
      <c r="P18" s="12" t="s">
        <v>25</v>
      </c>
      <c r="Q18" s="12"/>
      <c r="R18" s="12"/>
      <c r="S18" s="10"/>
      <c r="T18" s="10"/>
      <c r="U18" s="10"/>
      <c r="V18" s="10"/>
      <c r="W18" s="11"/>
      <c r="X18" s="11"/>
      <c r="Y18" s="11"/>
    </row>
    <row r="19" customFormat="false" ht="15" hidden="false" customHeight="false" outlineLevel="0" collapsed="false">
      <c r="C19" s="1" t="n">
        <v>24</v>
      </c>
      <c r="D19" s="9" t="s">
        <v>26</v>
      </c>
      <c r="E19" s="9"/>
      <c r="F19" s="9"/>
      <c r="G19" s="10"/>
      <c r="H19" s="10"/>
      <c r="I19" s="10"/>
      <c r="J19" s="10"/>
      <c r="P19" s="9" t="s">
        <v>26</v>
      </c>
      <c r="Q19" s="9"/>
      <c r="R19" s="9"/>
      <c r="S19" s="10"/>
      <c r="T19" s="10"/>
      <c r="U19" s="10"/>
      <c r="V19" s="10"/>
      <c r="W19" s="11"/>
      <c r="X19" s="11"/>
      <c r="Y19" s="11"/>
    </row>
    <row r="20" customFormat="false" ht="15" hidden="false" customHeight="false" outlineLevel="0" collapsed="false">
      <c r="C20" s="1" t="n">
        <v>25</v>
      </c>
      <c r="D20" s="9" t="s">
        <v>27</v>
      </c>
      <c r="E20" s="9"/>
      <c r="F20" s="9"/>
      <c r="G20" s="10"/>
      <c r="H20" s="10"/>
      <c r="I20" s="10"/>
      <c r="J20" s="10"/>
      <c r="P20" s="9" t="s">
        <v>27</v>
      </c>
      <c r="Q20" s="9"/>
      <c r="R20" s="9"/>
      <c r="S20" s="10"/>
      <c r="T20" s="10"/>
      <c r="U20" s="10"/>
      <c r="V20" s="10"/>
      <c r="W20" s="11"/>
      <c r="X20" s="11"/>
      <c r="Y20" s="11"/>
    </row>
    <row r="21" customFormat="false" ht="15" hidden="false" customHeight="false" outlineLevel="0" collapsed="false">
      <c r="C21" s="1" t="n">
        <v>26</v>
      </c>
      <c r="D21" s="16" t="s">
        <v>28</v>
      </c>
      <c r="E21" s="16"/>
      <c r="F21" s="16"/>
      <c r="G21" s="10"/>
      <c r="H21" s="10"/>
      <c r="I21" s="10"/>
      <c r="J21" s="10"/>
      <c r="P21" s="16" t="s">
        <v>28</v>
      </c>
      <c r="Q21" s="16"/>
      <c r="R21" s="16"/>
      <c r="S21" s="10"/>
      <c r="T21" s="10"/>
      <c r="U21" s="10"/>
      <c r="V21" s="10"/>
      <c r="W21" s="11"/>
      <c r="X21" s="11"/>
      <c r="Y21" s="11"/>
    </row>
    <row r="22" customFormat="false" ht="15" hidden="false" customHeight="false" outlineLevel="0" collapsed="false">
      <c r="C22" s="1" t="n">
        <v>27</v>
      </c>
      <c r="D22" s="12" t="s">
        <v>29</v>
      </c>
      <c r="E22" s="12"/>
      <c r="F22" s="12"/>
      <c r="G22" s="10"/>
      <c r="H22" s="10"/>
      <c r="I22" s="10"/>
      <c r="J22" s="10"/>
      <c r="K22" s="13" t="n">
        <v>1</v>
      </c>
      <c r="M22" s="13" t="n">
        <v>1</v>
      </c>
      <c r="P22" s="12" t="s">
        <v>29</v>
      </c>
      <c r="Q22" s="12"/>
      <c r="R22" s="12"/>
      <c r="S22" s="10"/>
      <c r="T22" s="10"/>
      <c r="U22" s="10"/>
      <c r="V22" s="10"/>
      <c r="W22" s="14" t="n">
        <f aca="false">Tabella5[[#This Row],[Colonna5]]*Q3</f>
        <v>0.4</v>
      </c>
      <c r="X22" s="11"/>
      <c r="Y22" s="14" t="n">
        <f aca="false">Tabella5[[#This Row],[Colonna7]]*Q3</f>
        <v>0.4</v>
      </c>
    </row>
    <row r="23" customFormat="false" ht="15" hidden="false" customHeight="false" outlineLevel="0" collapsed="false">
      <c r="C23" s="1" t="n">
        <v>29</v>
      </c>
      <c r="D23" s="17" t="s">
        <v>30</v>
      </c>
      <c r="E23" s="17"/>
      <c r="F23" s="17"/>
      <c r="G23" s="10"/>
      <c r="H23" s="10"/>
      <c r="I23" s="10"/>
      <c r="J23" s="10"/>
      <c r="P23" s="17" t="s">
        <v>30</v>
      </c>
      <c r="Q23" s="17"/>
      <c r="R23" s="17"/>
      <c r="S23" s="10"/>
      <c r="T23" s="10"/>
      <c r="U23" s="10"/>
      <c r="V23" s="10"/>
      <c r="W23" s="11"/>
      <c r="X23" s="11"/>
      <c r="Y23" s="11"/>
    </row>
    <row r="24" customFormat="false" ht="15" hidden="false" customHeight="false" outlineLevel="0" collapsed="false">
      <c r="C24" s="1" t="n">
        <v>30</v>
      </c>
      <c r="D24" s="9" t="s">
        <v>31</v>
      </c>
      <c r="E24" s="9"/>
      <c r="F24" s="9"/>
      <c r="G24" s="10"/>
      <c r="H24" s="10"/>
      <c r="I24" s="10"/>
      <c r="J24" s="10"/>
      <c r="P24" s="9" t="s">
        <v>31</v>
      </c>
      <c r="Q24" s="9"/>
      <c r="R24" s="9"/>
      <c r="S24" s="10"/>
      <c r="T24" s="10"/>
      <c r="U24" s="10"/>
      <c r="V24" s="10"/>
      <c r="W24" s="11"/>
      <c r="X24" s="11"/>
      <c r="Y24" s="11"/>
    </row>
    <row r="25" customFormat="false" ht="15" hidden="false" customHeight="false" outlineLevel="0" collapsed="false">
      <c r="C25" s="1" t="n">
        <v>32</v>
      </c>
      <c r="D25" s="12" t="s">
        <v>32</v>
      </c>
      <c r="E25" s="12"/>
      <c r="F25" s="12"/>
      <c r="G25" s="10"/>
      <c r="H25" s="10"/>
      <c r="I25" s="10"/>
      <c r="J25" s="10"/>
      <c r="L25" s="13" t="n">
        <v>1</v>
      </c>
      <c r="P25" s="12" t="s">
        <v>32</v>
      </c>
      <c r="Q25" s="12"/>
      <c r="R25" s="12"/>
      <c r="S25" s="10"/>
      <c r="T25" s="10"/>
      <c r="U25" s="10"/>
      <c r="V25" s="10"/>
      <c r="W25" s="11"/>
      <c r="X25" s="14" t="n">
        <f aca="false">Tabella5[[#This Row],[Colonna6]]*Q3</f>
        <v>0.4</v>
      </c>
      <c r="Y25" s="11"/>
    </row>
    <row r="26" customFormat="false" ht="15" hidden="false" customHeight="false" outlineLevel="0" collapsed="false">
      <c r="C26" s="1" t="n">
        <v>33</v>
      </c>
      <c r="D26" s="12" t="s">
        <v>33</v>
      </c>
      <c r="E26" s="12"/>
      <c r="F26" s="12"/>
      <c r="G26" s="10"/>
      <c r="H26" s="10"/>
      <c r="I26" s="10"/>
      <c r="J26" s="10"/>
      <c r="P26" s="12" t="s">
        <v>33</v>
      </c>
      <c r="Q26" s="12"/>
      <c r="R26" s="12"/>
      <c r="S26" s="10"/>
      <c r="T26" s="10"/>
      <c r="U26" s="10"/>
      <c r="V26" s="10"/>
      <c r="W26" s="11"/>
      <c r="X26" s="11"/>
      <c r="Y26" s="11"/>
    </row>
    <row r="27" customFormat="false" ht="15" hidden="false" customHeight="false" outlineLevel="0" collapsed="false">
      <c r="C27" s="1" t="n">
        <v>34</v>
      </c>
      <c r="D27" s="12" t="s">
        <v>34</v>
      </c>
      <c r="E27" s="12"/>
      <c r="F27" s="12"/>
      <c r="G27" s="10"/>
      <c r="H27" s="10"/>
      <c r="I27" s="10"/>
      <c r="J27" s="10"/>
      <c r="P27" s="12" t="s">
        <v>34</v>
      </c>
      <c r="Q27" s="12"/>
      <c r="R27" s="12"/>
      <c r="S27" s="10"/>
      <c r="T27" s="10"/>
      <c r="U27" s="10"/>
      <c r="V27" s="10"/>
      <c r="W27" s="11"/>
      <c r="X27" s="11"/>
      <c r="Y27" s="11"/>
    </row>
    <row r="28" customFormat="false" ht="15" hidden="false" customHeight="false" outlineLevel="0" collapsed="false">
      <c r="C28" s="1" t="n">
        <v>35</v>
      </c>
      <c r="D28" s="12" t="s">
        <v>35</v>
      </c>
      <c r="E28" s="12"/>
      <c r="F28" s="12"/>
      <c r="G28" s="10"/>
      <c r="H28" s="10"/>
      <c r="I28" s="10"/>
      <c r="J28" s="10"/>
      <c r="P28" s="12" t="s">
        <v>35</v>
      </c>
      <c r="Q28" s="12"/>
      <c r="R28" s="12"/>
      <c r="S28" s="10"/>
      <c r="T28" s="10"/>
      <c r="U28" s="10"/>
      <c r="V28" s="10"/>
      <c r="W28" s="11"/>
      <c r="X28" s="11"/>
      <c r="Y28" s="11"/>
    </row>
    <row r="29" customFormat="false" ht="15" hidden="false" customHeight="false" outlineLevel="0" collapsed="false">
      <c r="C29" s="1" t="n">
        <v>37</v>
      </c>
      <c r="D29" s="12" t="s">
        <v>36</v>
      </c>
      <c r="E29" s="12"/>
      <c r="F29" s="12"/>
      <c r="G29" s="10"/>
      <c r="H29" s="10"/>
      <c r="I29" s="10"/>
      <c r="J29" s="10"/>
      <c r="P29" s="12" t="s">
        <v>36</v>
      </c>
      <c r="Q29" s="12"/>
      <c r="R29" s="12"/>
      <c r="S29" s="10"/>
      <c r="T29" s="10"/>
      <c r="U29" s="10"/>
      <c r="V29" s="10"/>
      <c r="W29" s="11"/>
      <c r="X29" s="11"/>
      <c r="Y29" s="11"/>
    </row>
    <row r="30" customFormat="false" ht="15" hidden="false" customHeight="false" outlineLevel="0" collapsed="false">
      <c r="C30" s="1" t="n">
        <v>38</v>
      </c>
      <c r="D30" s="9" t="s">
        <v>37</v>
      </c>
      <c r="E30" s="9"/>
      <c r="F30" s="9"/>
      <c r="G30" s="10"/>
      <c r="H30" s="10"/>
      <c r="I30" s="10"/>
      <c r="J30" s="10"/>
      <c r="P30" s="9" t="s">
        <v>37</v>
      </c>
      <c r="Q30" s="9"/>
      <c r="R30" s="9"/>
      <c r="S30" s="10"/>
      <c r="T30" s="10"/>
      <c r="U30" s="10"/>
      <c r="V30" s="10"/>
      <c r="W30" s="11"/>
      <c r="X30" s="11"/>
      <c r="Y30" s="11"/>
    </row>
    <row r="31" customFormat="false" ht="15" hidden="false" customHeight="false" outlineLevel="0" collapsed="false">
      <c r="C31" s="1" t="n">
        <v>39</v>
      </c>
      <c r="D31" s="9" t="s">
        <v>38</v>
      </c>
      <c r="E31" s="9"/>
      <c r="F31" s="9"/>
      <c r="G31" s="10"/>
      <c r="H31" s="10"/>
      <c r="I31" s="10"/>
      <c r="J31" s="10"/>
      <c r="P31" s="9" t="s">
        <v>38</v>
      </c>
      <c r="Q31" s="9"/>
      <c r="R31" s="9"/>
      <c r="S31" s="10"/>
      <c r="T31" s="10"/>
      <c r="U31" s="10"/>
      <c r="V31" s="10"/>
      <c r="W31" s="11"/>
      <c r="X31" s="11"/>
      <c r="Y31" s="11"/>
    </row>
    <row r="32" customFormat="false" ht="15" hidden="false" customHeight="false" outlineLevel="0" collapsed="false">
      <c r="C32" s="1" t="n">
        <v>41</v>
      </c>
      <c r="D32" s="9" t="s">
        <v>39</v>
      </c>
      <c r="E32" s="9"/>
      <c r="F32" s="9"/>
      <c r="G32" s="10"/>
      <c r="H32" s="10"/>
      <c r="I32" s="10"/>
      <c r="J32" s="10"/>
      <c r="P32" s="9" t="s">
        <v>39</v>
      </c>
      <c r="Q32" s="9"/>
      <c r="R32" s="9"/>
      <c r="S32" s="10"/>
      <c r="T32" s="10"/>
      <c r="U32" s="10"/>
      <c r="V32" s="10"/>
      <c r="W32" s="11"/>
      <c r="X32" s="11"/>
      <c r="Y32" s="11"/>
    </row>
    <row r="33" customFormat="false" ht="15" hidden="false" customHeight="false" outlineLevel="0" collapsed="false">
      <c r="C33" s="1" t="n">
        <v>42</v>
      </c>
      <c r="D33" s="9" t="s">
        <v>40</v>
      </c>
      <c r="E33" s="9"/>
      <c r="F33" s="9"/>
      <c r="G33" s="10"/>
      <c r="H33" s="10"/>
      <c r="I33" s="10"/>
      <c r="J33" s="10"/>
      <c r="P33" s="9" t="s">
        <v>40</v>
      </c>
      <c r="Q33" s="9"/>
      <c r="R33" s="9"/>
      <c r="S33" s="10"/>
      <c r="T33" s="10"/>
      <c r="U33" s="10"/>
      <c r="V33" s="10"/>
      <c r="W33" s="11"/>
      <c r="X33" s="11"/>
      <c r="Y33" s="11"/>
    </row>
    <row r="34" customFormat="false" ht="15" hidden="false" customHeight="false" outlineLevel="0" collapsed="false">
      <c r="C34" s="1" t="n">
        <v>43</v>
      </c>
      <c r="D34" s="9" t="s">
        <v>41</v>
      </c>
      <c r="E34" s="9"/>
      <c r="F34" s="9"/>
      <c r="G34" s="10"/>
      <c r="H34" s="10"/>
      <c r="I34" s="10"/>
      <c r="J34" s="10"/>
      <c r="P34" s="9" t="s">
        <v>41</v>
      </c>
      <c r="Q34" s="9"/>
      <c r="R34" s="9"/>
      <c r="S34" s="10"/>
      <c r="T34" s="10"/>
      <c r="U34" s="10"/>
      <c r="V34" s="10"/>
      <c r="W34" s="11"/>
      <c r="X34" s="11"/>
      <c r="Y34" s="11"/>
    </row>
    <row r="35" customFormat="false" ht="15" hidden="false" customHeight="false" outlineLevel="0" collapsed="false">
      <c r="C35" s="1" t="n">
        <v>44</v>
      </c>
      <c r="D35" s="9" t="s">
        <v>42</v>
      </c>
      <c r="E35" s="9"/>
      <c r="F35" s="9"/>
      <c r="G35" s="10"/>
      <c r="H35" s="10"/>
      <c r="I35" s="10"/>
      <c r="J35" s="10"/>
      <c r="P35" s="9" t="s">
        <v>42</v>
      </c>
      <c r="Q35" s="9"/>
      <c r="R35" s="9"/>
      <c r="S35" s="10"/>
      <c r="T35" s="10"/>
      <c r="U35" s="10"/>
      <c r="V35" s="10"/>
      <c r="W35" s="11"/>
      <c r="X35" s="11"/>
      <c r="Y35" s="11"/>
    </row>
    <row r="36" customFormat="false" ht="15" hidden="false" customHeight="false" outlineLevel="0" collapsed="false">
      <c r="C36" s="1" t="n">
        <v>45</v>
      </c>
      <c r="D36" s="16" t="s">
        <v>43</v>
      </c>
      <c r="E36" s="16"/>
      <c r="F36" s="16"/>
      <c r="G36" s="10"/>
      <c r="H36" s="10"/>
      <c r="I36" s="10"/>
      <c r="J36" s="10"/>
      <c r="L36" s="13" t="n">
        <v>1</v>
      </c>
      <c r="P36" s="16" t="s">
        <v>43</v>
      </c>
      <c r="Q36" s="16"/>
      <c r="R36" s="16"/>
      <c r="S36" s="10"/>
      <c r="T36" s="10"/>
      <c r="U36" s="10"/>
      <c r="V36" s="10"/>
      <c r="W36" s="11"/>
      <c r="X36" s="14" t="n">
        <f aca="false">Tabella5[[#This Row],[Colonna6]]*Q3</f>
        <v>0.4</v>
      </c>
      <c r="Y36" s="11"/>
    </row>
    <row r="37" customFormat="false" ht="15" hidden="false" customHeight="false" outlineLevel="0" collapsed="false">
      <c r="C37" s="1" t="n">
        <v>46</v>
      </c>
      <c r="D37" s="12" t="s">
        <v>44</v>
      </c>
      <c r="E37" s="12"/>
      <c r="F37" s="12"/>
      <c r="G37" s="10"/>
      <c r="H37" s="10"/>
      <c r="I37" s="10"/>
      <c r="J37" s="10"/>
      <c r="P37" s="12" t="s">
        <v>44</v>
      </c>
      <c r="Q37" s="12"/>
      <c r="R37" s="12"/>
      <c r="S37" s="10"/>
      <c r="T37" s="10"/>
      <c r="U37" s="10"/>
      <c r="V37" s="10"/>
      <c r="W37" s="11"/>
      <c r="X37" s="11"/>
      <c r="Y37" s="11"/>
    </row>
    <row r="38" customFormat="false" ht="15" hidden="false" customHeight="false" outlineLevel="0" collapsed="false">
      <c r="C38" s="1" t="n">
        <v>47</v>
      </c>
      <c r="D38" s="16" t="s">
        <v>45</v>
      </c>
      <c r="E38" s="16"/>
      <c r="F38" s="16"/>
      <c r="G38" s="10"/>
      <c r="H38" s="10"/>
      <c r="I38" s="10"/>
      <c r="J38" s="10"/>
      <c r="P38" s="16" t="s">
        <v>45</v>
      </c>
      <c r="Q38" s="16"/>
      <c r="R38" s="16"/>
      <c r="S38" s="10"/>
      <c r="T38" s="10"/>
      <c r="U38" s="10"/>
      <c r="V38" s="10"/>
      <c r="W38" s="11"/>
      <c r="X38" s="11"/>
      <c r="Y38" s="11"/>
    </row>
    <row r="39" customFormat="false" ht="15" hidden="false" customHeight="false" outlineLevel="0" collapsed="false">
      <c r="C39" s="1" t="n">
        <v>50</v>
      </c>
      <c r="D39" s="12" t="s">
        <v>46</v>
      </c>
      <c r="E39" s="12"/>
      <c r="F39" s="12"/>
      <c r="G39" s="10"/>
      <c r="H39" s="10"/>
      <c r="I39" s="10"/>
      <c r="J39" s="10"/>
      <c r="P39" s="12" t="s">
        <v>46</v>
      </c>
      <c r="Q39" s="12"/>
      <c r="R39" s="12"/>
      <c r="S39" s="10"/>
      <c r="T39" s="10"/>
      <c r="U39" s="10"/>
      <c r="V39" s="10"/>
      <c r="W39" s="11"/>
      <c r="X39" s="11"/>
      <c r="Y39" s="11"/>
    </row>
    <row r="40" customFormat="false" ht="15" hidden="false" customHeight="false" outlineLevel="0" collapsed="false">
      <c r="C40" s="1" t="n">
        <v>51</v>
      </c>
      <c r="D40" s="12" t="s">
        <v>47</v>
      </c>
      <c r="E40" s="12"/>
      <c r="F40" s="12"/>
      <c r="G40" s="10"/>
      <c r="H40" s="10"/>
      <c r="I40" s="10"/>
      <c r="J40" s="10"/>
      <c r="P40" s="12" t="s">
        <v>47</v>
      </c>
      <c r="Q40" s="12"/>
      <c r="R40" s="12"/>
      <c r="S40" s="10"/>
      <c r="T40" s="10"/>
      <c r="U40" s="10"/>
      <c r="V40" s="10"/>
      <c r="W40" s="11"/>
      <c r="X40" s="11"/>
      <c r="Y40" s="11"/>
    </row>
    <row r="41" customFormat="false" ht="15" hidden="false" customHeight="false" outlineLevel="0" collapsed="false">
      <c r="C41" s="1" t="n">
        <v>54</v>
      </c>
      <c r="D41" s="18" t="s">
        <v>48</v>
      </c>
      <c r="E41" s="18"/>
      <c r="F41" s="18"/>
      <c r="G41" s="10"/>
      <c r="H41" s="10"/>
      <c r="I41" s="10"/>
      <c r="J41" s="10"/>
      <c r="K41" s="13" t="n">
        <v>5</v>
      </c>
      <c r="L41" s="13" t="n">
        <v>3</v>
      </c>
      <c r="M41" s="13" t="n">
        <v>1</v>
      </c>
      <c r="P41" s="18" t="s">
        <v>48</v>
      </c>
      <c r="Q41" s="18"/>
      <c r="R41" s="18"/>
      <c r="S41" s="10"/>
      <c r="T41" s="10"/>
      <c r="U41" s="10"/>
      <c r="V41" s="10"/>
      <c r="W41" s="14" t="n">
        <f aca="false">Tabella5[[#This Row],[Colonna5]]*$Q3</f>
        <v>2</v>
      </c>
      <c r="X41" s="14" t="n">
        <f aca="false">Tabella5[[#This Row],[Colonna6]]*$Q3</f>
        <v>1.2</v>
      </c>
      <c r="Y41" s="14" t="n">
        <f aca="false">Tabella5[[#This Row],[Colonna7]]*$Q3</f>
        <v>0.4</v>
      </c>
    </row>
    <row r="42" customFormat="false" ht="15" hidden="false" customHeight="false" outlineLevel="0" collapsed="false">
      <c r="C42" s="1" t="n">
        <v>61</v>
      </c>
      <c r="D42" s="9" t="s">
        <v>49</v>
      </c>
      <c r="E42" s="9"/>
      <c r="F42" s="9"/>
      <c r="G42" s="10"/>
      <c r="H42" s="10"/>
      <c r="I42" s="10"/>
      <c r="J42" s="10"/>
      <c r="P42" s="9" t="s">
        <v>49</v>
      </c>
      <c r="Q42" s="9"/>
      <c r="R42" s="9"/>
      <c r="S42" s="10"/>
      <c r="T42" s="10"/>
      <c r="U42" s="10"/>
      <c r="V42" s="10"/>
      <c r="W42" s="11"/>
      <c r="X42" s="11"/>
      <c r="Y42" s="11"/>
    </row>
    <row r="43" customFormat="false" ht="15" hidden="false" customHeight="false" outlineLevel="0" collapsed="false">
      <c r="C43" s="1" t="n">
        <v>62</v>
      </c>
      <c r="D43" s="18" t="s">
        <v>50</v>
      </c>
      <c r="E43" s="18"/>
      <c r="F43" s="18"/>
      <c r="G43" s="10"/>
      <c r="H43" s="10"/>
      <c r="I43" s="10"/>
      <c r="J43" s="10"/>
      <c r="P43" s="18" t="s">
        <v>50</v>
      </c>
      <c r="Q43" s="18"/>
      <c r="R43" s="18"/>
      <c r="S43" s="10"/>
      <c r="T43" s="10"/>
      <c r="U43" s="10"/>
      <c r="V43" s="10"/>
      <c r="W43" s="11"/>
      <c r="X43" s="11"/>
      <c r="Y43" s="11"/>
    </row>
    <row r="44" customFormat="false" ht="15" hidden="false" customHeight="false" outlineLevel="0" collapsed="false">
      <c r="C44" s="1" t="n">
        <v>63</v>
      </c>
      <c r="D44" s="12" t="s">
        <v>51</v>
      </c>
      <c r="E44" s="12"/>
      <c r="F44" s="12"/>
      <c r="G44" s="10"/>
      <c r="H44" s="10"/>
      <c r="I44" s="10"/>
      <c r="J44" s="10"/>
      <c r="P44" s="12" t="s">
        <v>51</v>
      </c>
      <c r="Q44" s="12"/>
      <c r="R44" s="12"/>
      <c r="S44" s="10"/>
      <c r="T44" s="10"/>
      <c r="U44" s="10"/>
      <c r="V44" s="10"/>
      <c r="W44" s="11"/>
      <c r="X44" s="11"/>
      <c r="Y44" s="11"/>
    </row>
    <row r="45" customFormat="false" ht="15" hidden="false" customHeight="false" outlineLevel="0" collapsed="false">
      <c r="C45" s="1" t="n">
        <v>64</v>
      </c>
      <c r="D45" s="18" t="s">
        <v>52</v>
      </c>
      <c r="E45" s="18"/>
      <c r="F45" s="18"/>
      <c r="G45" s="10"/>
      <c r="H45" s="10"/>
      <c r="I45" s="10"/>
      <c r="J45" s="10"/>
      <c r="K45" s="13" t="n">
        <v>1</v>
      </c>
      <c r="P45" s="18" t="s">
        <v>52</v>
      </c>
      <c r="Q45" s="18"/>
      <c r="R45" s="18"/>
      <c r="S45" s="10"/>
      <c r="T45" s="10"/>
      <c r="U45" s="10"/>
      <c r="V45" s="10"/>
      <c r="W45" s="14" t="n">
        <f aca="false">Tabella5[[#This Row],[Colonna5]]*Q3</f>
        <v>0.4</v>
      </c>
      <c r="X45" s="11"/>
      <c r="Y45" s="11"/>
    </row>
    <row r="46" customFormat="false" ht="15" hidden="false" customHeight="false" outlineLevel="0" collapsed="false">
      <c r="C46" s="1" t="n">
        <v>68</v>
      </c>
      <c r="D46" s="12" t="s">
        <v>53</v>
      </c>
      <c r="E46" s="12"/>
      <c r="F46" s="12"/>
      <c r="G46" s="10"/>
      <c r="H46" s="10"/>
      <c r="I46" s="10"/>
      <c r="J46" s="10"/>
      <c r="P46" s="12" t="s">
        <v>53</v>
      </c>
      <c r="Q46" s="12"/>
      <c r="R46" s="12"/>
      <c r="S46" s="10"/>
      <c r="T46" s="10"/>
      <c r="U46" s="10"/>
      <c r="V46" s="10"/>
      <c r="W46" s="11"/>
      <c r="X46" s="11"/>
      <c r="Y46" s="11"/>
    </row>
    <row r="47" customFormat="false" ht="15" hidden="false" customHeight="false" outlineLevel="0" collapsed="false">
      <c r="C47" s="1" t="n">
        <v>69</v>
      </c>
      <c r="D47" s="16" t="s">
        <v>54</v>
      </c>
      <c r="E47" s="16"/>
      <c r="F47" s="16"/>
      <c r="G47" s="10"/>
      <c r="H47" s="10"/>
      <c r="I47" s="10"/>
      <c r="J47" s="10"/>
      <c r="P47" s="16" t="s">
        <v>54</v>
      </c>
      <c r="Q47" s="16"/>
      <c r="R47" s="16"/>
      <c r="S47" s="10"/>
      <c r="T47" s="10"/>
      <c r="U47" s="10"/>
      <c r="V47" s="10"/>
      <c r="W47" s="11"/>
      <c r="X47" s="11"/>
      <c r="Y47" s="11"/>
    </row>
    <row r="48" customFormat="false" ht="15" hidden="false" customHeight="false" outlineLevel="0" collapsed="false">
      <c r="C48" s="1" t="n">
        <v>70</v>
      </c>
      <c r="D48" s="12" t="s">
        <v>55</v>
      </c>
      <c r="E48" s="12"/>
      <c r="F48" s="12"/>
      <c r="G48" s="10"/>
      <c r="H48" s="10"/>
      <c r="I48" s="10"/>
      <c r="J48" s="10"/>
      <c r="P48" s="12" t="s">
        <v>55</v>
      </c>
      <c r="Q48" s="12"/>
      <c r="R48" s="12"/>
      <c r="S48" s="10"/>
      <c r="T48" s="10"/>
      <c r="U48" s="10"/>
      <c r="V48" s="10"/>
      <c r="W48" s="11"/>
      <c r="X48" s="11"/>
      <c r="Y48" s="11"/>
    </row>
    <row r="49" customFormat="false" ht="15" hidden="false" customHeight="false" outlineLevel="0" collapsed="false">
      <c r="C49" s="1" t="n">
        <v>73</v>
      </c>
      <c r="D49" s="18" t="s">
        <v>56</v>
      </c>
      <c r="E49" s="18"/>
      <c r="F49" s="18"/>
      <c r="G49" s="10"/>
      <c r="H49" s="10"/>
      <c r="I49" s="10"/>
      <c r="J49" s="10"/>
      <c r="P49" s="18" t="s">
        <v>56</v>
      </c>
      <c r="Q49" s="18"/>
      <c r="R49" s="18"/>
      <c r="S49" s="10"/>
      <c r="T49" s="10"/>
      <c r="U49" s="10"/>
      <c r="V49" s="10"/>
      <c r="W49" s="11"/>
      <c r="X49" s="11"/>
      <c r="Y49" s="11"/>
    </row>
    <row r="50" customFormat="false" ht="15" hidden="false" customHeight="false" outlineLevel="0" collapsed="false">
      <c r="C50" s="1" t="n">
        <v>74</v>
      </c>
      <c r="D50" s="9" t="s">
        <v>57</v>
      </c>
      <c r="E50" s="9"/>
      <c r="F50" s="9"/>
      <c r="G50" s="10"/>
      <c r="H50" s="10"/>
      <c r="I50" s="10"/>
      <c r="J50" s="10"/>
      <c r="P50" s="9" t="s">
        <v>57</v>
      </c>
      <c r="Q50" s="9"/>
      <c r="R50" s="9"/>
      <c r="S50" s="10"/>
      <c r="T50" s="10"/>
      <c r="U50" s="10"/>
      <c r="V50" s="10"/>
      <c r="W50" s="11"/>
      <c r="X50" s="11"/>
      <c r="Y50" s="11"/>
    </row>
    <row r="51" customFormat="false" ht="15" hidden="false" customHeight="false" outlineLevel="0" collapsed="false">
      <c r="C51" s="1" t="n">
        <v>77</v>
      </c>
      <c r="D51" s="18" t="s">
        <v>58</v>
      </c>
      <c r="E51" s="18"/>
      <c r="F51" s="18"/>
      <c r="G51" s="10"/>
      <c r="H51" s="10"/>
      <c r="I51" s="10"/>
      <c r="J51" s="10"/>
      <c r="P51" s="18" t="s">
        <v>58</v>
      </c>
      <c r="Q51" s="18"/>
      <c r="R51" s="18"/>
      <c r="S51" s="10"/>
      <c r="T51" s="10"/>
      <c r="U51" s="10"/>
      <c r="V51" s="10"/>
      <c r="W51" s="11"/>
      <c r="X51" s="11"/>
      <c r="Y51" s="11"/>
    </row>
    <row r="52" customFormat="false" ht="15" hidden="false" customHeight="false" outlineLevel="0" collapsed="false">
      <c r="C52" s="1" t="n">
        <v>78</v>
      </c>
      <c r="D52" s="12" t="s">
        <v>59</v>
      </c>
      <c r="E52" s="12"/>
      <c r="F52" s="12"/>
      <c r="G52" s="10"/>
      <c r="H52" s="10"/>
      <c r="I52" s="10"/>
      <c r="J52" s="10"/>
      <c r="P52" s="12" t="s">
        <v>59</v>
      </c>
      <c r="Q52" s="12"/>
      <c r="R52" s="12"/>
      <c r="S52" s="10"/>
      <c r="T52" s="10"/>
      <c r="U52" s="10"/>
      <c r="V52" s="10"/>
      <c r="W52" s="11"/>
      <c r="X52" s="11"/>
      <c r="Y52" s="11"/>
    </row>
    <row r="53" customFormat="false" ht="15" hidden="false" customHeight="false" outlineLevel="0" collapsed="false">
      <c r="C53" s="1" t="n">
        <v>85</v>
      </c>
      <c r="D53" s="17" t="s">
        <v>60</v>
      </c>
      <c r="E53" s="17"/>
      <c r="F53" s="17"/>
      <c r="G53" s="10"/>
      <c r="H53" s="10"/>
      <c r="I53" s="10"/>
      <c r="J53" s="10"/>
      <c r="K53" s="19" t="n">
        <v>8</v>
      </c>
      <c r="L53" s="19" t="n">
        <v>8</v>
      </c>
      <c r="M53" s="19" t="n">
        <v>4</v>
      </c>
      <c r="P53" s="17" t="s">
        <v>60</v>
      </c>
      <c r="Q53" s="17"/>
      <c r="R53" s="17"/>
      <c r="S53" s="10"/>
      <c r="T53" s="10"/>
      <c r="U53" s="10"/>
      <c r="V53" s="10"/>
      <c r="W53" s="20" t="n">
        <f aca="false">Tabella5[[#This Row],[Colonna5]]*$Q3</f>
        <v>3.2</v>
      </c>
      <c r="X53" s="20" t="n">
        <f aca="false">Tabella5[[#This Row],[Colonna6]]*$Q3</f>
        <v>3.2</v>
      </c>
      <c r="Y53" s="20" t="n">
        <f aca="false">Tabella5[[#This Row],[Colonna7]]*$Q3</f>
        <v>1.6</v>
      </c>
    </row>
    <row r="57" customFormat="false" ht="15" hidden="false" customHeight="false" outlineLevel="0" collapsed="false">
      <c r="D57" s="21" t="s">
        <v>61</v>
      </c>
      <c r="E57" s="21"/>
      <c r="F57" s="21"/>
      <c r="G57" s="3" t="s">
        <v>6</v>
      </c>
      <c r="H57" s="22" t="s">
        <v>7</v>
      </c>
      <c r="I57" s="22" t="s">
        <v>8</v>
      </c>
      <c r="J57" s="22" t="s">
        <v>9</v>
      </c>
      <c r="K57" s="22" t="s">
        <v>10</v>
      </c>
      <c r="L57" s="22" t="s">
        <v>11</v>
      </c>
      <c r="M57" s="22" t="s">
        <v>12</v>
      </c>
      <c r="P57" s="21" t="s">
        <v>61</v>
      </c>
      <c r="Q57" s="21"/>
      <c r="R57" s="21"/>
      <c r="S57" s="3" t="s">
        <v>6</v>
      </c>
      <c r="T57" s="22" t="s">
        <v>7</v>
      </c>
      <c r="U57" s="22" t="s">
        <v>8</v>
      </c>
      <c r="V57" s="22" t="s">
        <v>9</v>
      </c>
      <c r="W57" s="22" t="s">
        <v>10</v>
      </c>
      <c r="X57" s="22" t="s">
        <v>11</v>
      </c>
      <c r="Y57" s="22" t="s">
        <v>12</v>
      </c>
    </row>
    <row r="58" customFormat="false" ht="15" hidden="false" customHeight="false" outlineLevel="0" collapsed="false">
      <c r="C58" s="1" t="n">
        <v>87</v>
      </c>
      <c r="D58" s="23" t="s">
        <v>62</v>
      </c>
      <c r="E58" s="23"/>
      <c r="F58" s="23"/>
      <c r="G58" s="24"/>
      <c r="H58" s="25"/>
      <c r="I58" s="25"/>
      <c r="J58" s="25"/>
      <c r="K58" s="26" t="n">
        <v>70</v>
      </c>
      <c r="L58" s="26" t="n">
        <v>64</v>
      </c>
      <c r="M58" s="26" t="n">
        <v>27</v>
      </c>
      <c r="P58" s="23" t="s">
        <v>62</v>
      </c>
      <c r="Q58" s="23"/>
      <c r="R58" s="23"/>
      <c r="S58" s="24"/>
      <c r="T58" s="25"/>
      <c r="U58" s="25"/>
      <c r="V58" s="25"/>
      <c r="W58" s="27" t="n">
        <f aca="false">K58*$Q3</f>
        <v>28</v>
      </c>
      <c r="X58" s="27" t="n">
        <f aca="false">L58*$Q3</f>
        <v>25.6</v>
      </c>
      <c r="Y58" s="27" t="n">
        <f aca="false">M58*$Q3</f>
        <v>10.8</v>
      </c>
    </row>
    <row r="59" customFormat="false" ht="15" hidden="false" customHeight="false" outlineLevel="0" collapsed="false">
      <c r="C59" s="1" t="n">
        <v>89</v>
      </c>
      <c r="D59" s="9" t="s">
        <v>63</v>
      </c>
      <c r="E59" s="9"/>
      <c r="F59" s="9"/>
      <c r="G59" s="24"/>
      <c r="H59" s="25"/>
      <c r="I59" s="25"/>
      <c r="J59" s="25"/>
      <c r="K59" s="26"/>
      <c r="L59" s="26"/>
      <c r="M59" s="26"/>
      <c r="P59" s="9" t="s">
        <v>63</v>
      </c>
      <c r="Q59" s="9"/>
      <c r="R59" s="9"/>
      <c r="S59" s="24"/>
      <c r="T59" s="25"/>
      <c r="U59" s="25"/>
      <c r="V59" s="25"/>
      <c r="W59" s="27"/>
      <c r="X59" s="27"/>
      <c r="Y59" s="27"/>
    </row>
    <row r="60" customFormat="false" ht="15" hidden="false" customHeight="false" outlineLevel="0" collapsed="false">
      <c r="C60" s="1" t="n">
        <v>91</v>
      </c>
      <c r="D60" s="9" t="s">
        <v>64</v>
      </c>
      <c r="E60" s="9"/>
      <c r="F60" s="9"/>
      <c r="G60" s="24"/>
      <c r="H60" s="25"/>
      <c r="I60" s="25"/>
      <c r="J60" s="25"/>
      <c r="K60" s="26"/>
      <c r="L60" s="26"/>
      <c r="M60" s="26"/>
      <c r="P60" s="9" t="s">
        <v>64</v>
      </c>
      <c r="Q60" s="9"/>
      <c r="R60" s="9"/>
      <c r="S60" s="24"/>
      <c r="T60" s="25"/>
      <c r="U60" s="25"/>
      <c r="V60" s="25"/>
      <c r="W60" s="27"/>
      <c r="X60" s="27"/>
      <c r="Y60" s="27"/>
    </row>
    <row r="61" customFormat="false" ht="15" hidden="false" customHeight="false" outlineLevel="0" collapsed="false">
      <c r="C61" s="1" t="n">
        <v>92</v>
      </c>
      <c r="D61" s="9" t="s">
        <v>65</v>
      </c>
      <c r="E61" s="9"/>
      <c r="F61" s="9"/>
      <c r="G61" s="24"/>
      <c r="H61" s="25"/>
      <c r="I61" s="25"/>
      <c r="J61" s="25"/>
      <c r="K61" s="26" t="n">
        <v>2</v>
      </c>
      <c r="L61" s="26"/>
      <c r="M61" s="26"/>
      <c r="P61" s="9" t="s">
        <v>65</v>
      </c>
      <c r="Q61" s="9"/>
      <c r="R61" s="9"/>
      <c r="S61" s="24"/>
      <c r="T61" s="25"/>
      <c r="U61" s="25"/>
      <c r="V61" s="25"/>
      <c r="W61" s="27" t="n">
        <f aca="false">K61*Q3</f>
        <v>0.8</v>
      </c>
      <c r="X61" s="27"/>
      <c r="Y61" s="27"/>
    </row>
    <row r="62" customFormat="false" ht="15" hidden="false" customHeight="false" outlineLevel="0" collapsed="false">
      <c r="C62" s="1" t="n">
        <v>94</v>
      </c>
      <c r="D62" s="9" t="s">
        <v>66</v>
      </c>
      <c r="E62" s="9"/>
      <c r="F62" s="9"/>
      <c r="G62" s="24"/>
      <c r="H62" s="25"/>
      <c r="I62" s="25"/>
      <c r="J62" s="25"/>
      <c r="K62" s="26" t="n">
        <v>6</v>
      </c>
      <c r="L62" s="26" t="n">
        <v>8</v>
      </c>
      <c r="M62" s="26" t="n">
        <v>4</v>
      </c>
      <c r="P62" s="9" t="s">
        <v>66</v>
      </c>
      <c r="Q62" s="9"/>
      <c r="R62" s="9"/>
      <c r="S62" s="24"/>
      <c r="T62" s="25"/>
      <c r="U62" s="25"/>
      <c r="V62" s="25"/>
      <c r="W62" s="27" t="n">
        <f aca="false">K62*$Q3</f>
        <v>2.4</v>
      </c>
      <c r="X62" s="27" t="n">
        <f aca="false">L62*$Q3</f>
        <v>3.2</v>
      </c>
      <c r="Y62" s="27" t="n">
        <f aca="false">M62*$Q3</f>
        <v>1.6</v>
      </c>
    </row>
    <row r="63" customFormat="false" ht="15" hidden="false" customHeight="false" outlineLevel="0" collapsed="false">
      <c r="C63" s="1" t="n">
        <v>95</v>
      </c>
      <c r="D63" s="9" t="s">
        <v>67</v>
      </c>
      <c r="E63" s="9"/>
      <c r="F63" s="9"/>
      <c r="G63" s="24"/>
      <c r="H63" s="25"/>
      <c r="I63" s="25"/>
      <c r="J63" s="25"/>
      <c r="K63" s="26" t="n">
        <v>3</v>
      </c>
      <c r="L63" s="26" t="n">
        <v>2</v>
      </c>
      <c r="M63" s="26"/>
      <c r="P63" s="9" t="s">
        <v>67</v>
      </c>
      <c r="Q63" s="9"/>
      <c r="R63" s="9"/>
      <c r="S63" s="24"/>
      <c r="T63" s="25"/>
      <c r="U63" s="25"/>
      <c r="V63" s="25"/>
      <c r="W63" s="27" t="n">
        <f aca="false">K63*$Q3</f>
        <v>1.2</v>
      </c>
      <c r="X63" s="27" t="n">
        <f aca="false">L63*$Q3</f>
        <v>0.8</v>
      </c>
      <c r="Y63" s="27"/>
    </row>
    <row r="64" customFormat="false" ht="15" hidden="false" customHeight="false" outlineLevel="0" collapsed="false">
      <c r="C64" s="1" t="n">
        <v>99</v>
      </c>
      <c r="D64" s="9" t="s">
        <v>68</v>
      </c>
      <c r="E64" s="9"/>
      <c r="F64" s="9"/>
      <c r="G64" s="24"/>
      <c r="H64" s="25"/>
      <c r="I64" s="25"/>
      <c r="J64" s="25"/>
      <c r="K64" s="26"/>
      <c r="L64" s="26" t="n">
        <v>4</v>
      </c>
      <c r="M64" s="26" t="n">
        <v>1</v>
      </c>
      <c r="P64" s="9" t="s">
        <v>68</v>
      </c>
      <c r="Q64" s="9"/>
      <c r="R64" s="9"/>
      <c r="S64" s="24"/>
      <c r="T64" s="25"/>
      <c r="U64" s="25"/>
      <c r="V64" s="25"/>
      <c r="W64" s="27"/>
      <c r="X64" s="27" t="n">
        <f aca="false">L64*$Q3</f>
        <v>1.6</v>
      </c>
      <c r="Y64" s="27" t="n">
        <f aca="false">M64*$Q3</f>
        <v>0.4</v>
      </c>
    </row>
    <row r="65" customFormat="false" ht="15" hidden="false" customHeight="false" outlineLevel="0" collapsed="false">
      <c r="C65" s="1" t="n">
        <v>100</v>
      </c>
      <c r="D65" s="9" t="s">
        <v>69</v>
      </c>
      <c r="E65" s="9"/>
      <c r="F65" s="9"/>
      <c r="G65" s="24"/>
      <c r="H65" s="25"/>
      <c r="I65" s="25"/>
      <c r="J65" s="25"/>
      <c r="K65" s="26" t="n">
        <v>6</v>
      </c>
      <c r="L65" s="26" t="n">
        <v>2</v>
      </c>
      <c r="M65" s="26"/>
      <c r="P65" s="9" t="s">
        <v>69</v>
      </c>
      <c r="Q65" s="9"/>
      <c r="R65" s="9"/>
      <c r="S65" s="24"/>
      <c r="T65" s="25"/>
      <c r="U65" s="25"/>
      <c r="V65" s="25"/>
      <c r="W65" s="27" t="n">
        <f aca="false">K65*$Q3</f>
        <v>2.4</v>
      </c>
      <c r="X65" s="27" t="n">
        <f aca="false">L65*$Q3</f>
        <v>0.8</v>
      </c>
      <c r="Y65" s="27"/>
    </row>
    <row r="66" customFormat="false" ht="15" hidden="false" customHeight="false" outlineLevel="0" collapsed="false">
      <c r="C66" s="1" t="n">
        <v>101</v>
      </c>
      <c r="D66" s="9" t="s">
        <v>70</v>
      </c>
      <c r="E66" s="9"/>
      <c r="F66" s="9"/>
      <c r="G66" s="24"/>
      <c r="H66" s="25"/>
      <c r="I66" s="25"/>
      <c r="J66" s="25"/>
      <c r="K66" s="26"/>
      <c r="L66" s="26"/>
      <c r="M66" s="26"/>
      <c r="P66" s="9" t="s">
        <v>70</v>
      </c>
      <c r="Q66" s="9"/>
      <c r="R66" s="9"/>
      <c r="S66" s="24"/>
      <c r="T66" s="25"/>
      <c r="U66" s="25"/>
      <c r="V66" s="25"/>
      <c r="W66" s="27"/>
      <c r="X66" s="27"/>
      <c r="Y66" s="27"/>
    </row>
    <row r="67" customFormat="false" ht="15" hidden="false" customHeight="false" outlineLevel="0" collapsed="false">
      <c r="C67" s="1" t="n">
        <v>103</v>
      </c>
      <c r="D67" s="9" t="s">
        <v>71</v>
      </c>
      <c r="E67" s="9"/>
      <c r="F67" s="9"/>
      <c r="G67" s="24"/>
      <c r="H67" s="25"/>
      <c r="I67" s="25"/>
      <c r="J67" s="25"/>
      <c r="K67" s="26" t="n">
        <v>9</v>
      </c>
      <c r="L67" s="26" t="n">
        <v>12</v>
      </c>
      <c r="M67" s="26" t="n">
        <v>1</v>
      </c>
      <c r="P67" s="9" t="s">
        <v>71</v>
      </c>
      <c r="Q67" s="9"/>
      <c r="R67" s="9"/>
      <c r="S67" s="24"/>
      <c r="T67" s="25"/>
      <c r="U67" s="25"/>
      <c r="V67" s="25"/>
      <c r="W67" s="27" t="n">
        <f aca="false">K67*$Q3</f>
        <v>3.6</v>
      </c>
      <c r="X67" s="27" t="n">
        <f aca="false">L67*$Q3</f>
        <v>4.8</v>
      </c>
      <c r="Y67" s="27" t="n">
        <f aca="false">M67*$Q3</f>
        <v>0.4</v>
      </c>
    </row>
    <row r="68" customFormat="false" ht="15" hidden="false" customHeight="false" outlineLevel="0" collapsed="false">
      <c r="C68" s="1" t="n">
        <v>104</v>
      </c>
      <c r="D68" s="9" t="s">
        <v>72</v>
      </c>
      <c r="E68" s="9"/>
      <c r="F68" s="9"/>
      <c r="G68" s="28"/>
      <c r="H68" s="29"/>
      <c r="I68" s="29"/>
      <c r="J68" s="29"/>
      <c r="K68" s="30" t="n">
        <v>7</v>
      </c>
      <c r="L68" s="30" t="n">
        <v>5</v>
      </c>
      <c r="M68" s="30"/>
      <c r="P68" s="9" t="s">
        <v>72</v>
      </c>
      <c r="Q68" s="9"/>
      <c r="R68" s="9"/>
      <c r="S68" s="28"/>
      <c r="T68" s="29"/>
      <c r="U68" s="29"/>
      <c r="V68" s="29"/>
      <c r="W68" s="31" t="n">
        <f aca="false">K68*$Q3</f>
        <v>2.8</v>
      </c>
      <c r="X68" s="31" t="n">
        <f aca="false">L68*$Q3</f>
        <v>2</v>
      </c>
      <c r="Y68" s="31"/>
    </row>
    <row r="69" customFormat="false" ht="15" hidden="false" customHeight="false" outlineLevel="0" collapsed="false">
      <c r="C69" s="1" t="n">
        <v>105</v>
      </c>
      <c r="D69" s="9" t="s">
        <v>73</v>
      </c>
      <c r="E69" s="9"/>
      <c r="F69" s="9"/>
      <c r="G69" s="28"/>
      <c r="H69" s="29"/>
      <c r="I69" s="29"/>
      <c r="J69" s="29"/>
      <c r="K69" s="30" t="n">
        <v>1</v>
      </c>
      <c r="L69" s="30" t="n">
        <v>3</v>
      </c>
      <c r="M69" s="30"/>
      <c r="P69" s="9" t="s">
        <v>73</v>
      </c>
      <c r="Q69" s="9"/>
      <c r="R69" s="9"/>
      <c r="S69" s="28"/>
      <c r="T69" s="29"/>
      <c r="U69" s="29"/>
      <c r="V69" s="29"/>
      <c r="W69" s="31" t="n">
        <f aca="false">K69*$Q3</f>
        <v>0.4</v>
      </c>
      <c r="X69" s="31" t="n">
        <f aca="false">L69*$Q3</f>
        <v>1.2</v>
      </c>
      <c r="Y69" s="31"/>
    </row>
    <row r="70" customFormat="false" ht="15" hidden="false" customHeight="false" outlineLevel="0" collapsed="false">
      <c r="C70" s="1" t="n">
        <v>107</v>
      </c>
      <c r="D70" s="9" t="s">
        <v>60</v>
      </c>
      <c r="E70" s="9"/>
      <c r="F70" s="9"/>
      <c r="G70" s="24"/>
      <c r="H70" s="25"/>
      <c r="I70" s="25"/>
      <c r="J70" s="25"/>
      <c r="K70" s="12" t="n">
        <v>105</v>
      </c>
      <c r="L70" s="12" t="n">
        <v>102</v>
      </c>
      <c r="M70" s="12" t="n">
        <v>34</v>
      </c>
      <c r="P70" s="9" t="s">
        <v>60</v>
      </c>
      <c r="Q70" s="9"/>
      <c r="R70" s="9"/>
      <c r="S70" s="24"/>
      <c r="T70" s="25"/>
      <c r="U70" s="25"/>
      <c r="V70" s="25"/>
      <c r="W70" s="32" t="n">
        <f aca="false">K70*$Q3</f>
        <v>42</v>
      </c>
      <c r="X70" s="32" t="n">
        <f aca="false">L70*$Q3</f>
        <v>40.8</v>
      </c>
      <c r="Y70" s="32" t="n">
        <f aca="false">M70*$Q3</f>
        <v>13.6</v>
      </c>
    </row>
    <row r="75" customFormat="false" ht="15" hidden="false" customHeight="false" outlineLevel="0" collapsed="false">
      <c r="G75" s="7"/>
      <c r="I75" s="7"/>
      <c r="J75" s="33"/>
      <c r="K75" s="33"/>
      <c r="L75" s="7"/>
      <c r="P75" s="7"/>
      <c r="Q75" s="7"/>
      <c r="S75" s="7"/>
      <c r="U75" s="7"/>
      <c r="V75" s="33"/>
      <c r="W75" s="33"/>
      <c r="X75" s="7"/>
    </row>
    <row r="76" customFormat="false" ht="15" hidden="false" customHeight="false" outlineLevel="0" collapsed="false">
      <c r="F76" s="34" t="s">
        <v>74</v>
      </c>
      <c r="G76" s="35"/>
      <c r="H76" s="36" t="s">
        <v>75</v>
      </c>
      <c r="I76" s="36" t="s">
        <v>76</v>
      </c>
      <c r="J76" s="36" t="s">
        <v>77</v>
      </c>
      <c r="K76" s="36" t="s">
        <v>78</v>
      </c>
      <c r="L76" s="36" t="s">
        <v>79</v>
      </c>
      <c r="M76" s="36" t="s">
        <v>80</v>
      </c>
      <c r="N76" s="35"/>
      <c r="O76" s="36" t="s">
        <v>81</v>
      </c>
      <c r="P76" s="36" t="s">
        <v>82</v>
      </c>
      <c r="Q76" s="36" t="s">
        <v>83</v>
      </c>
      <c r="R76" s="36" t="s">
        <v>84</v>
      </c>
      <c r="S76" s="36" t="s">
        <v>85</v>
      </c>
      <c r="T76" s="36" t="s">
        <v>86</v>
      </c>
      <c r="U76" s="35"/>
      <c r="V76" s="37" t="s">
        <v>87</v>
      </c>
    </row>
    <row r="77" customFormat="false" ht="15" hidden="false" customHeight="false" outlineLevel="0" collapsed="false">
      <c r="D77" s="7"/>
      <c r="E77" s="7"/>
      <c r="F77" s="38" t="n">
        <v>44869</v>
      </c>
      <c r="G77" s="39"/>
      <c r="H77" s="40" t="n">
        <v>11.4</v>
      </c>
      <c r="I77" s="40" t="n">
        <v>18.9</v>
      </c>
      <c r="J77" s="40" t="n">
        <v>13.1</v>
      </c>
      <c r="K77" s="40" t="n">
        <v>19.3</v>
      </c>
      <c r="L77" s="40" t="n">
        <v>10.9</v>
      </c>
      <c r="M77" s="41" t="n">
        <v>15.1</v>
      </c>
      <c r="N77" s="13"/>
      <c r="O77" s="42" t="n">
        <v>85</v>
      </c>
      <c r="P77" s="42" t="n">
        <v>34</v>
      </c>
      <c r="Q77" s="42" t="n">
        <v>70</v>
      </c>
      <c r="R77" s="40" t="n">
        <v>63</v>
      </c>
      <c r="S77" s="43" t="n">
        <v>92</v>
      </c>
      <c r="T77" s="43" t="n">
        <v>31</v>
      </c>
      <c r="U77" s="13"/>
      <c r="V77" s="44" t="n">
        <v>5.2</v>
      </c>
      <c r="W77" s="13"/>
      <c r="X77" s="13"/>
      <c r="Y77" s="13"/>
    </row>
    <row r="78" customFormat="false" ht="15" hidden="false" customHeight="false" outlineLevel="0" collapsed="false">
      <c r="F78" s="38" t="n">
        <v>44870</v>
      </c>
      <c r="G78" s="39"/>
      <c r="H78" s="40" t="n">
        <v>9.3</v>
      </c>
      <c r="I78" s="40" t="n">
        <v>17.6</v>
      </c>
      <c r="J78" s="40" t="n">
        <v>12.8</v>
      </c>
      <c r="K78" s="40" t="n">
        <v>18.8</v>
      </c>
      <c r="L78" s="40" t="n">
        <v>9.3</v>
      </c>
      <c r="M78" s="41" t="n">
        <v>14.05</v>
      </c>
      <c r="N78" s="13"/>
      <c r="O78" s="42" t="n">
        <v>80</v>
      </c>
      <c r="P78" s="42" t="n">
        <v>42</v>
      </c>
      <c r="Q78" s="42" t="n">
        <v>58</v>
      </c>
      <c r="R78" s="40" t="n">
        <v>60</v>
      </c>
      <c r="S78" s="43" t="n">
        <v>82</v>
      </c>
      <c r="T78" s="43" t="n">
        <v>35</v>
      </c>
      <c r="U78" s="13"/>
      <c r="V78" s="44" t="n">
        <v>0</v>
      </c>
      <c r="W78" s="14"/>
      <c r="X78" s="14"/>
      <c r="Y78" s="14"/>
    </row>
    <row r="79" customFormat="false" ht="15" hidden="false" customHeight="false" outlineLevel="0" collapsed="false">
      <c r="D79" s="7"/>
      <c r="E79" s="7"/>
      <c r="F79" s="45" t="n">
        <v>44871</v>
      </c>
      <c r="G79" s="46"/>
      <c r="H79" s="47" t="n">
        <v>8.3</v>
      </c>
      <c r="I79" s="47" t="n">
        <v>14.9</v>
      </c>
      <c r="J79" s="47" t="n">
        <v>11.4</v>
      </c>
      <c r="K79" s="47" t="n">
        <v>15.6</v>
      </c>
      <c r="L79" s="47" t="n">
        <v>6.4</v>
      </c>
      <c r="M79" s="48" t="n">
        <v>11</v>
      </c>
      <c r="N79" s="49"/>
      <c r="O79" s="50" t="n">
        <v>68</v>
      </c>
      <c r="P79" s="50" t="n">
        <v>56</v>
      </c>
      <c r="Q79" s="50" t="n">
        <v>79</v>
      </c>
      <c r="R79" s="47" t="n">
        <v>67.7</v>
      </c>
      <c r="S79" s="51" t="n">
        <v>81</v>
      </c>
      <c r="T79" s="51" t="n">
        <v>50</v>
      </c>
      <c r="U79" s="49"/>
      <c r="V79" s="52" t="n">
        <v>0</v>
      </c>
      <c r="W79" s="14"/>
      <c r="X79" s="14"/>
      <c r="Y79" s="14"/>
    </row>
    <row r="80" customFormat="false" ht="15" hidden="false" customHeight="false" outlineLevel="0" collapsed="false">
      <c r="D80" s="7"/>
      <c r="E80" s="7"/>
      <c r="F80" s="7"/>
      <c r="G80" s="13"/>
      <c r="H80" s="13"/>
      <c r="I80" s="13"/>
      <c r="J80" s="13"/>
      <c r="K80" s="13"/>
      <c r="L80" s="13"/>
      <c r="M80" s="13"/>
      <c r="Q80" s="7"/>
      <c r="R80" s="7"/>
      <c r="S80" s="7"/>
      <c r="T80" s="7"/>
    </row>
    <row r="81" customFormat="false" ht="15" hidden="false" customHeight="false" outlineLevel="0" collapsed="false">
      <c r="D81" s="7"/>
      <c r="E81" s="7"/>
      <c r="F81" s="7"/>
      <c r="G81" s="13"/>
      <c r="H81" s="13"/>
      <c r="I81" s="13"/>
      <c r="J81" s="13"/>
      <c r="K81" s="13"/>
      <c r="L81" s="13"/>
      <c r="M81" s="13"/>
    </row>
    <row r="82" customFormat="false" ht="15" hidden="false" customHeight="false" outlineLevel="0" collapsed="false">
      <c r="D82" s="7"/>
      <c r="E82" s="7"/>
      <c r="F82" s="7"/>
      <c r="G82" s="13"/>
      <c r="H82" s="13"/>
      <c r="I82" s="13"/>
      <c r="J82" s="13"/>
      <c r="K82" s="13"/>
      <c r="L82" s="13"/>
      <c r="M82" s="13"/>
      <c r="P82" s="53"/>
      <c r="Q82" s="7"/>
      <c r="R82" s="7"/>
      <c r="S82" s="7"/>
      <c r="T82" s="7"/>
      <c r="V82" s="7"/>
      <c r="W82" s="7"/>
      <c r="X82" s="7"/>
      <c r="Z82" s="7"/>
      <c r="AA82" s="7"/>
      <c r="AB82" s="7"/>
      <c r="AC82" s="7"/>
    </row>
    <row r="83" customFormat="false" ht="15" hidden="false" customHeight="false" outlineLevel="0" collapsed="false">
      <c r="G83" s="13"/>
      <c r="H83" s="13"/>
      <c r="I83" s="13"/>
      <c r="J83" s="13"/>
      <c r="K83" s="13"/>
      <c r="L83" s="13"/>
      <c r="M83" s="13"/>
      <c r="P83" s="53"/>
      <c r="S83" s="54"/>
      <c r="T83" s="14"/>
      <c r="V83" s="13"/>
      <c r="W83" s="13"/>
      <c r="X83" s="14"/>
      <c r="AB83" s="13"/>
      <c r="AC83" s="14"/>
    </row>
    <row r="84" customFormat="false" ht="15" hidden="false" customHeight="false" outlineLevel="0" collapsed="false">
      <c r="D84" s="7"/>
      <c r="E84" s="7"/>
      <c r="F84" s="7"/>
      <c r="G84" s="13"/>
      <c r="H84" s="13"/>
      <c r="I84" s="13"/>
      <c r="J84" s="13"/>
      <c r="K84" s="13"/>
      <c r="L84" s="13"/>
      <c r="M84" s="13"/>
      <c r="P84" s="53"/>
      <c r="S84" s="54"/>
      <c r="T84" s="14"/>
      <c r="V84" s="13"/>
      <c r="W84" s="13"/>
      <c r="X84" s="14"/>
      <c r="AB84" s="13"/>
      <c r="AC84" s="14"/>
    </row>
    <row r="85" customFormat="false" ht="15" hidden="false" customHeight="false" outlineLevel="0" collapsed="false">
      <c r="D85" s="7"/>
      <c r="E85" s="7"/>
      <c r="F85" s="7"/>
      <c r="G85" s="13"/>
      <c r="H85" s="13"/>
      <c r="I85" s="13"/>
      <c r="J85" s="13"/>
      <c r="K85" s="13"/>
      <c r="L85" s="13"/>
      <c r="M85" s="13"/>
      <c r="P85" s="53"/>
      <c r="S85" s="13"/>
      <c r="T85" s="14"/>
      <c r="V85" s="13"/>
      <c r="W85" s="13"/>
      <c r="X85" s="14"/>
    </row>
    <row r="86" customFormat="false" ht="15" hidden="false" customHeight="false" outlineLevel="0" collapsed="false">
      <c r="D86" s="7"/>
      <c r="E86" s="7"/>
      <c r="F86" s="7"/>
      <c r="G86" s="13"/>
      <c r="H86" s="13"/>
      <c r="I86" s="13"/>
      <c r="J86" s="13"/>
      <c r="K86" s="13"/>
      <c r="L86" s="13"/>
      <c r="M86" s="13"/>
      <c r="P86" s="53"/>
      <c r="V86" s="13"/>
      <c r="W86" s="13"/>
      <c r="X86" s="14"/>
    </row>
    <row r="87" customFormat="false" ht="15" hidden="false" customHeight="false" outlineLevel="0" collapsed="false">
      <c r="D87" s="7"/>
      <c r="E87" s="7"/>
      <c r="F87" s="7"/>
      <c r="G87" s="13"/>
      <c r="H87" s="13"/>
      <c r="I87" s="13"/>
      <c r="J87" s="13"/>
      <c r="K87" s="13"/>
      <c r="L87" s="13"/>
      <c r="M87" s="13"/>
      <c r="P87" s="53"/>
      <c r="V87" s="13"/>
      <c r="W87" s="13"/>
      <c r="X87" s="14"/>
    </row>
    <row r="88" customFormat="false" ht="15" hidden="false" customHeight="false" outlineLevel="0" collapsed="false">
      <c r="D88" s="7"/>
      <c r="E88" s="7"/>
      <c r="F88" s="7"/>
      <c r="G88" s="13"/>
      <c r="H88" s="13"/>
      <c r="I88" s="13"/>
      <c r="J88" s="13"/>
      <c r="K88" s="13"/>
      <c r="L88" s="13"/>
      <c r="M88" s="13"/>
      <c r="P88" s="53"/>
    </row>
    <row r="89" customFormat="false" ht="15" hidden="false" customHeight="false" outlineLevel="0" collapsed="false">
      <c r="D89" s="7"/>
      <c r="E89" s="7"/>
      <c r="F89" s="7"/>
      <c r="G89" s="13"/>
      <c r="H89" s="13"/>
      <c r="I89" s="13"/>
      <c r="J89" s="13"/>
      <c r="K89" s="13"/>
      <c r="L89" s="13"/>
      <c r="M89" s="13"/>
      <c r="P89" s="53"/>
    </row>
    <row r="90" customFormat="false" ht="15" hidden="false" customHeight="false" outlineLevel="0" collapsed="false">
      <c r="D90" s="7"/>
      <c r="E90" s="7"/>
      <c r="F90" s="7"/>
      <c r="G90" s="13"/>
      <c r="H90" s="13"/>
      <c r="I90" s="13"/>
      <c r="J90" s="13"/>
      <c r="K90" s="13"/>
      <c r="L90" s="13"/>
      <c r="M90" s="13"/>
      <c r="P90" s="53"/>
      <c r="Q90" s="7"/>
      <c r="R90" s="7"/>
      <c r="S90" s="13"/>
      <c r="T90" s="14"/>
      <c r="V90" s="19"/>
      <c r="W90" s="13"/>
      <c r="X90" s="14"/>
      <c r="Z90" s="7"/>
      <c r="AA90" s="7"/>
      <c r="AB90" s="13"/>
      <c r="AC90" s="14"/>
    </row>
    <row r="91" customFormat="false" ht="15" hidden="false" customHeight="false" outlineLevel="0" collapsed="false">
      <c r="G91" s="13"/>
      <c r="H91" s="13"/>
      <c r="I91" s="13"/>
      <c r="J91" s="13"/>
      <c r="K91" s="13"/>
      <c r="L91" s="13"/>
      <c r="M91" s="13"/>
    </row>
    <row r="92" customFormat="false" ht="15" hidden="false" customHeight="false" outlineLevel="0" collapsed="false">
      <c r="G92" s="13"/>
      <c r="H92" s="13"/>
      <c r="I92" s="13"/>
      <c r="J92" s="13"/>
      <c r="K92" s="13"/>
      <c r="L92" s="13"/>
      <c r="M92" s="13"/>
    </row>
    <row r="93" customFormat="false" ht="15" hidden="false" customHeight="false" outlineLevel="0" collapsed="false">
      <c r="D93" s="7"/>
      <c r="E93" s="7"/>
      <c r="F93" s="7"/>
      <c r="G93" s="13"/>
      <c r="H93" s="13"/>
      <c r="I93" s="13"/>
      <c r="J93" s="13"/>
      <c r="K93" s="13"/>
      <c r="L93" s="13"/>
      <c r="M93" s="13"/>
      <c r="P93" s="53"/>
      <c r="Q93" s="7"/>
      <c r="R93" s="7"/>
      <c r="S93" s="7"/>
      <c r="T93" s="7"/>
      <c r="V93" s="7"/>
      <c r="Z93" s="7"/>
    </row>
    <row r="94" customFormat="false" ht="15" hidden="false" customHeight="false" outlineLevel="0" collapsed="false">
      <c r="D94" s="7"/>
      <c r="E94" s="7"/>
      <c r="F94" s="7"/>
      <c r="G94" s="13"/>
      <c r="H94" s="13"/>
      <c r="I94" s="13"/>
      <c r="J94" s="13"/>
      <c r="K94" s="13"/>
      <c r="L94" s="13"/>
      <c r="M94" s="13"/>
      <c r="P94" s="53"/>
      <c r="S94" s="13"/>
      <c r="T94" s="14"/>
      <c r="V94" s="13"/>
      <c r="W94" s="13"/>
      <c r="X94" s="14"/>
      <c r="AB94" s="13"/>
      <c r="AC94" s="14"/>
    </row>
    <row r="95" customFormat="false" ht="15" hidden="false" customHeight="false" outlineLevel="0" collapsed="false">
      <c r="G95" s="13"/>
      <c r="H95" s="13"/>
      <c r="I95" s="13"/>
      <c r="J95" s="13"/>
      <c r="K95" s="13"/>
      <c r="L95" s="13"/>
      <c r="M95" s="13"/>
      <c r="P95" s="53"/>
      <c r="S95" s="13"/>
      <c r="T95" s="14"/>
      <c r="V95" s="13"/>
      <c r="W95" s="13"/>
      <c r="X95" s="14"/>
      <c r="AB95" s="13"/>
      <c r="AC95" s="14"/>
    </row>
    <row r="96" customFormat="false" ht="15" hidden="false" customHeight="false" outlineLevel="0" collapsed="false">
      <c r="G96" s="13"/>
      <c r="H96" s="13"/>
      <c r="I96" s="13"/>
      <c r="J96" s="13"/>
      <c r="K96" s="13"/>
      <c r="L96" s="13"/>
      <c r="M96" s="13"/>
      <c r="P96" s="53"/>
      <c r="S96" s="13"/>
      <c r="T96" s="14"/>
      <c r="V96" s="13"/>
      <c r="W96" s="13"/>
      <c r="X96" s="14"/>
      <c r="AB96" s="13"/>
      <c r="AC96" s="14"/>
    </row>
    <row r="97" customFormat="false" ht="15" hidden="false" customHeight="false" outlineLevel="0" collapsed="false">
      <c r="D97" s="7"/>
      <c r="E97" s="7"/>
      <c r="F97" s="7"/>
      <c r="G97" s="13"/>
      <c r="H97" s="13"/>
      <c r="I97" s="13"/>
      <c r="J97" s="13"/>
      <c r="K97" s="13"/>
      <c r="L97" s="13"/>
      <c r="M97" s="13"/>
      <c r="P97" s="53"/>
      <c r="S97" s="13"/>
      <c r="T97" s="14"/>
      <c r="V97" s="13"/>
      <c r="W97" s="13"/>
      <c r="X97" s="14"/>
      <c r="AB97" s="13"/>
      <c r="AC97" s="14"/>
    </row>
    <row r="98" customFormat="false" ht="15" hidden="false" customHeight="false" outlineLevel="0" collapsed="false">
      <c r="D98" s="7"/>
      <c r="E98" s="7"/>
      <c r="F98" s="7"/>
      <c r="G98" s="13"/>
      <c r="H98" s="13"/>
      <c r="I98" s="13"/>
      <c r="J98" s="13"/>
      <c r="K98" s="13"/>
      <c r="L98" s="13"/>
      <c r="M98" s="13"/>
      <c r="P98" s="53"/>
      <c r="S98" s="13"/>
      <c r="T98" s="14"/>
      <c r="V98" s="13"/>
      <c r="W98" s="13"/>
      <c r="X98" s="14"/>
      <c r="AB98" s="13"/>
      <c r="AC98" s="14"/>
    </row>
    <row r="99" customFormat="false" ht="15" hidden="false" customHeight="false" outlineLevel="0" collapsed="false">
      <c r="D99" s="7"/>
      <c r="E99" s="7"/>
      <c r="F99" s="7"/>
      <c r="G99" s="13"/>
      <c r="H99" s="13"/>
      <c r="I99" s="13"/>
      <c r="J99" s="13"/>
      <c r="K99" s="13"/>
      <c r="L99" s="13"/>
      <c r="M99" s="13"/>
      <c r="P99" s="53"/>
      <c r="S99" s="13"/>
      <c r="T99" s="14"/>
      <c r="V99" s="13"/>
      <c r="W99" s="13"/>
      <c r="X99" s="14"/>
    </row>
    <row r="100" customFormat="false" ht="15" hidden="false" customHeight="false" outlineLevel="0" collapsed="false">
      <c r="D100" s="7"/>
      <c r="E100" s="7"/>
      <c r="F100" s="7"/>
      <c r="G100" s="13"/>
      <c r="H100" s="13"/>
      <c r="I100" s="13"/>
      <c r="J100" s="13"/>
      <c r="K100" s="13"/>
      <c r="L100" s="13"/>
      <c r="M100" s="13"/>
      <c r="P100" s="53"/>
      <c r="S100" s="13"/>
      <c r="T100" s="14"/>
      <c r="V100" s="13"/>
      <c r="W100" s="13"/>
      <c r="X100" s="14"/>
    </row>
    <row r="101" customFormat="false" ht="15" hidden="false" customHeight="false" outlineLevel="0" collapsed="false">
      <c r="D101" s="7"/>
      <c r="E101" s="7"/>
      <c r="F101" s="7"/>
      <c r="G101" s="13"/>
      <c r="H101" s="13"/>
      <c r="I101" s="13"/>
      <c r="J101" s="13"/>
      <c r="K101" s="13"/>
      <c r="L101" s="13"/>
      <c r="M101" s="13"/>
      <c r="P101" s="53"/>
      <c r="S101" s="13"/>
      <c r="T101" s="14"/>
      <c r="V101" s="13"/>
      <c r="W101" s="13"/>
      <c r="X101" s="14"/>
    </row>
    <row r="102" customFormat="false" ht="15" hidden="false" customHeight="false" outlineLevel="0" collapsed="false">
      <c r="G102" s="13"/>
      <c r="H102" s="13"/>
      <c r="I102" s="13"/>
      <c r="J102" s="13"/>
      <c r="K102" s="13"/>
      <c r="L102" s="13"/>
      <c r="M102" s="13"/>
      <c r="P102" s="53"/>
      <c r="S102" s="13"/>
      <c r="T102" s="14"/>
      <c r="V102" s="13"/>
      <c r="W102" s="13"/>
      <c r="X102" s="14"/>
    </row>
    <row r="103" customFormat="false" ht="15" hidden="false" customHeight="false" outlineLevel="0" collapsed="false">
      <c r="G103" s="13"/>
      <c r="H103" s="13"/>
      <c r="I103" s="13"/>
      <c r="J103" s="13"/>
      <c r="K103" s="13"/>
      <c r="L103" s="13"/>
      <c r="M103" s="13"/>
      <c r="P103" s="53"/>
    </row>
    <row r="104" customFormat="false" ht="15" hidden="false" customHeight="false" outlineLevel="0" collapsed="false">
      <c r="G104" s="13"/>
      <c r="H104" s="13"/>
      <c r="I104" s="13"/>
      <c r="J104" s="13"/>
      <c r="K104" s="13"/>
      <c r="L104" s="13"/>
      <c r="M104" s="13"/>
      <c r="P104" s="53"/>
      <c r="Q104" s="7"/>
      <c r="R104" s="7"/>
      <c r="S104" s="13"/>
      <c r="T104" s="14"/>
      <c r="V104" s="19"/>
      <c r="W104" s="13"/>
      <c r="X104" s="14"/>
      <c r="Z104" s="7"/>
      <c r="AA104" s="7"/>
      <c r="AB104" s="13"/>
      <c r="AC104" s="14"/>
    </row>
    <row r="105" customFormat="false" ht="15" hidden="false" customHeight="false" outlineLevel="0" collapsed="false">
      <c r="G105" s="13"/>
      <c r="H105" s="13"/>
      <c r="I105" s="13"/>
      <c r="J105" s="13"/>
      <c r="K105" s="13"/>
      <c r="L105" s="13"/>
      <c r="M105" s="13"/>
      <c r="S105" s="14"/>
      <c r="T105" s="14"/>
      <c r="U105" s="14"/>
      <c r="V105" s="14"/>
      <c r="W105" s="14"/>
      <c r="X105" s="14"/>
      <c r="Y105" s="14"/>
    </row>
    <row r="106" customFormat="false" ht="15" hidden="false" customHeight="false" outlineLevel="0" collapsed="false">
      <c r="G106" s="13"/>
      <c r="H106" s="13"/>
      <c r="I106" s="13"/>
      <c r="J106" s="13"/>
      <c r="K106" s="13"/>
      <c r="L106" s="13"/>
      <c r="M106" s="13"/>
      <c r="S106" s="14"/>
      <c r="T106" s="14"/>
      <c r="U106" s="14"/>
      <c r="V106" s="14"/>
      <c r="W106" s="14"/>
      <c r="X106" s="14"/>
      <c r="Y106" s="14"/>
    </row>
    <row r="107" customFormat="false" ht="15" hidden="false" customHeight="false" outlineLevel="0" collapsed="false">
      <c r="G107" s="13"/>
      <c r="H107" s="13"/>
      <c r="I107" s="13"/>
      <c r="J107" s="13"/>
      <c r="K107" s="13"/>
      <c r="L107" s="13"/>
      <c r="M107" s="13"/>
      <c r="S107" s="14"/>
      <c r="T107" s="14"/>
      <c r="U107" s="14"/>
      <c r="V107" s="14"/>
      <c r="W107" s="14"/>
      <c r="X107" s="14"/>
      <c r="Y107" s="14"/>
    </row>
    <row r="108" customFormat="false" ht="15" hidden="false" customHeight="false" outlineLevel="0" collapsed="false">
      <c r="D108" s="7"/>
      <c r="E108" s="7"/>
      <c r="F108" s="7"/>
      <c r="G108" s="13"/>
      <c r="H108" s="13"/>
      <c r="I108" s="13"/>
      <c r="J108" s="13"/>
      <c r="K108" s="13"/>
      <c r="L108" s="13"/>
      <c r="M108" s="13"/>
      <c r="P108" s="7"/>
      <c r="Q108" s="7"/>
      <c r="R108" s="7"/>
      <c r="S108" s="14"/>
      <c r="T108" s="14"/>
      <c r="U108" s="14"/>
      <c r="V108" s="14"/>
      <c r="W108" s="14"/>
      <c r="X108" s="14"/>
      <c r="Y108" s="14"/>
    </row>
    <row r="109" customFormat="false" ht="15" hidden="false" customHeight="false" outlineLevel="0" collapsed="false">
      <c r="D109" s="7"/>
      <c r="E109" s="7"/>
      <c r="F109" s="7"/>
      <c r="G109" s="13"/>
      <c r="H109" s="13"/>
      <c r="I109" s="13"/>
      <c r="J109" s="13"/>
      <c r="K109" s="13"/>
      <c r="L109" s="13"/>
      <c r="M109" s="13"/>
      <c r="P109" s="7"/>
      <c r="Q109" s="7"/>
      <c r="R109" s="7"/>
      <c r="S109" s="14"/>
      <c r="T109" s="14"/>
      <c r="U109" s="14"/>
      <c r="V109" s="14"/>
      <c r="W109" s="14"/>
      <c r="X109" s="14"/>
      <c r="Y109" s="14"/>
    </row>
    <row r="110" customFormat="false" ht="15" hidden="false" customHeight="false" outlineLevel="0" collapsed="false">
      <c r="D110" s="7"/>
      <c r="E110" s="7"/>
      <c r="F110" s="7"/>
      <c r="G110" s="13"/>
      <c r="H110" s="13"/>
      <c r="I110" s="13"/>
      <c r="J110" s="13"/>
      <c r="K110" s="13"/>
      <c r="L110" s="13"/>
      <c r="M110" s="13"/>
      <c r="P110" s="7"/>
      <c r="Q110" s="7"/>
      <c r="R110" s="7"/>
      <c r="S110" s="14"/>
      <c r="T110" s="14"/>
      <c r="U110" s="14"/>
      <c r="V110" s="14"/>
      <c r="W110" s="14"/>
      <c r="X110" s="14"/>
      <c r="Y110" s="14"/>
    </row>
    <row r="111" customFormat="false" ht="15" hidden="false" customHeight="false" outlineLevel="0" collapsed="false">
      <c r="D111" s="7"/>
      <c r="E111" s="7"/>
      <c r="F111" s="7"/>
      <c r="G111" s="13"/>
      <c r="H111" s="13"/>
      <c r="I111" s="13"/>
      <c r="J111" s="13"/>
      <c r="K111" s="13"/>
      <c r="L111" s="13"/>
      <c r="M111" s="13"/>
      <c r="P111" s="7"/>
      <c r="Q111" s="7"/>
      <c r="R111" s="7"/>
      <c r="S111" s="14"/>
      <c r="T111" s="14"/>
      <c r="U111" s="14"/>
      <c r="V111" s="14"/>
      <c r="W111" s="14"/>
      <c r="X111" s="14"/>
      <c r="Y111" s="14"/>
    </row>
    <row r="112" customFormat="false" ht="15" hidden="false" customHeight="false" outlineLevel="0" collapsed="false">
      <c r="D112" s="7"/>
      <c r="E112" s="7"/>
      <c r="F112" s="7"/>
      <c r="G112" s="13"/>
      <c r="H112" s="13"/>
      <c r="I112" s="13"/>
      <c r="J112" s="13"/>
      <c r="K112" s="13"/>
      <c r="L112" s="13"/>
      <c r="M112" s="13"/>
      <c r="P112" s="7"/>
      <c r="Q112" s="7"/>
      <c r="R112" s="7"/>
      <c r="S112" s="14"/>
      <c r="T112" s="14"/>
      <c r="U112" s="14"/>
      <c r="V112" s="14"/>
      <c r="W112" s="14"/>
      <c r="X112" s="14"/>
      <c r="Y112" s="14"/>
    </row>
    <row r="113" customFormat="false" ht="15" hidden="false" customHeight="false" outlineLevel="0" collapsed="false">
      <c r="G113" s="13"/>
      <c r="H113" s="13"/>
      <c r="I113" s="13"/>
      <c r="J113" s="13"/>
      <c r="K113" s="13"/>
      <c r="L113" s="13"/>
      <c r="M113" s="13"/>
      <c r="S113" s="14"/>
      <c r="T113" s="14"/>
      <c r="U113" s="14"/>
      <c r="V113" s="14"/>
      <c r="W113" s="14"/>
      <c r="X113" s="14"/>
      <c r="Y113" s="14"/>
    </row>
    <row r="114" customFormat="false" ht="15" hidden="false" customHeight="false" outlineLevel="0" collapsed="false">
      <c r="G114" s="13"/>
      <c r="H114" s="13"/>
      <c r="I114" s="13"/>
      <c r="J114" s="13"/>
      <c r="K114" s="13"/>
      <c r="L114" s="13"/>
      <c r="M114" s="13"/>
      <c r="S114" s="14"/>
      <c r="T114" s="14"/>
      <c r="U114" s="14"/>
      <c r="V114" s="14"/>
      <c r="W114" s="14"/>
      <c r="X114" s="14"/>
      <c r="Y114" s="14"/>
    </row>
    <row r="115" customFormat="false" ht="15" hidden="false" customHeight="false" outlineLevel="0" collapsed="false">
      <c r="G115" s="13"/>
      <c r="H115" s="13"/>
      <c r="I115" s="13"/>
      <c r="J115" s="13"/>
      <c r="K115" s="13"/>
      <c r="L115" s="13"/>
      <c r="M115" s="13"/>
      <c r="S115" s="14"/>
      <c r="T115" s="14"/>
      <c r="U115" s="14"/>
      <c r="V115" s="14"/>
      <c r="W115" s="14"/>
      <c r="X115" s="14"/>
      <c r="Y115" s="14"/>
    </row>
    <row r="116" customFormat="false" ht="15" hidden="false" customHeight="false" outlineLevel="0" collapsed="false">
      <c r="D116" s="7"/>
      <c r="E116" s="7"/>
      <c r="F116" s="7"/>
      <c r="G116" s="13"/>
      <c r="H116" s="13"/>
      <c r="I116" s="13"/>
      <c r="J116" s="13"/>
      <c r="K116" s="13"/>
      <c r="L116" s="13"/>
      <c r="M116" s="13"/>
      <c r="P116" s="7"/>
      <c r="Q116" s="7"/>
      <c r="R116" s="7"/>
      <c r="S116" s="14"/>
      <c r="T116" s="14"/>
      <c r="U116" s="14"/>
      <c r="V116" s="14"/>
      <c r="W116" s="14"/>
      <c r="X116" s="14"/>
      <c r="Y116" s="14"/>
    </row>
    <row r="117" customFormat="false" ht="15" hidden="false" customHeight="false" outlineLevel="0" collapsed="false">
      <c r="G117" s="13"/>
      <c r="H117" s="13"/>
      <c r="I117" s="13"/>
      <c r="J117" s="13"/>
      <c r="K117" s="13"/>
      <c r="L117" s="13"/>
      <c r="M117" s="13"/>
      <c r="S117" s="14"/>
      <c r="T117" s="14"/>
      <c r="U117" s="14"/>
      <c r="V117" s="14"/>
      <c r="W117" s="14"/>
      <c r="X117" s="14"/>
      <c r="Y117" s="14"/>
    </row>
    <row r="118" customFormat="false" ht="15" hidden="false" customHeight="false" outlineLevel="0" collapsed="false">
      <c r="D118" s="7"/>
      <c r="E118" s="7"/>
      <c r="F118" s="7"/>
      <c r="G118" s="13"/>
      <c r="H118" s="13"/>
      <c r="I118" s="13"/>
      <c r="J118" s="13"/>
      <c r="K118" s="13"/>
      <c r="L118" s="13"/>
      <c r="M118" s="13"/>
      <c r="P118" s="7"/>
      <c r="Q118" s="7"/>
      <c r="R118" s="7"/>
      <c r="S118" s="14"/>
      <c r="T118" s="14"/>
      <c r="U118" s="14"/>
      <c r="V118" s="14"/>
      <c r="W118" s="14"/>
      <c r="X118" s="14"/>
      <c r="Y118" s="14"/>
    </row>
    <row r="119" customFormat="false" ht="15" hidden="false" customHeight="false" outlineLevel="0" collapsed="false">
      <c r="D119" s="7"/>
      <c r="E119" s="7"/>
      <c r="F119" s="7"/>
      <c r="G119" s="13"/>
      <c r="H119" s="13"/>
      <c r="I119" s="13"/>
      <c r="J119" s="13"/>
      <c r="K119" s="13"/>
      <c r="L119" s="13"/>
      <c r="M119" s="13"/>
      <c r="P119" s="7"/>
      <c r="Q119" s="7"/>
      <c r="R119" s="7"/>
      <c r="S119" s="14"/>
      <c r="T119" s="14"/>
      <c r="U119" s="14"/>
      <c r="V119" s="14"/>
      <c r="W119" s="14"/>
      <c r="X119" s="14"/>
      <c r="Y119" s="14"/>
    </row>
    <row r="120" customFormat="false" ht="15" hidden="false" customHeight="false" outlineLevel="0" collapsed="false">
      <c r="D120" s="7"/>
      <c r="E120" s="7"/>
      <c r="F120" s="7"/>
      <c r="G120" s="13"/>
      <c r="H120" s="13"/>
      <c r="I120" s="13"/>
      <c r="J120" s="13"/>
      <c r="K120" s="13"/>
      <c r="L120" s="13"/>
      <c r="M120" s="13"/>
      <c r="P120" s="7"/>
      <c r="Q120" s="7"/>
      <c r="R120" s="7"/>
      <c r="S120" s="14"/>
      <c r="T120" s="14"/>
      <c r="U120" s="14"/>
      <c r="V120" s="14"/>
      <c r="W120" s="14"/>
      <c r="X120" s="14"/>
      <c r="Y120" s="14"/>
    </row>
    <row r="121" customFormat="false" ht="15" hidden="false" customHeight="false" outlineLevel="0" collapsed="false">
      <c r="G121" s="13"/>
      <c r="H121" s="13"/>
      <c r="I121" s="13"/>
      <c r="J121" s="13"/>
      <c r="K121" s="13"/>
      <c r="L121" s="13"/>
      <c r="M121" s="13"/>
      <c r="S121" s="14"/>
      <c r="T121" s="14"/>
      <c r="U121" s="14"/>
      <c r="V121" s="14"/>
      <c r="W121" s="14"/>
      <c r="X121" s="14"/>
      <c r="Y121" s="14"/>
    </row>
    <row r="122" customFormat="false" ht="15" hidden="false" customHeight="false" outlineLevel="0" collapsed="false">
      <c r="G122" s="13"/>
      <c r="H122" s="13"/>
      <c r="I122" s="13"/>
      <c r="J122" s="13"/>
      <c r="K122" s="13"/>
      <c r="L122" s="13"/>
      <c r="M122" s="13"/>
      <c r="S122" s="14"/>
      <c r="T122" s="14"/>
      <c r="U122" s="14"/>
      <c r="V122" s="14"/>
      <c r="W122" s="14"/>
      <c r="X122" s="14"/>
      <c r="Y122" s="14"/>
    </row>
    <row r="123" customFormat="false" ht="15" hidden="false" customHeight="false" outlineLevel="0" collapsed="false">
      <c r="G123" s="13"/>
      <c r="H123" s="13"/>
      <c r="I123" s="13"/>
      <c r="J123" s="13"/>
      <c r="K123" s="13"/>
      <c r="L123" s="13"/>
      <c r="M123" s="13"/>
      <c r="S123" s="14"/>
      <c r="T123" s="14"/>
      <c r="U123" s="14"/>
      <c r="V123" s="14"/>
      <c r="W123" s="14"/>
      <c r="X123" s="14"/>
      <c r="Y123" s="14"/>
    </row>
    <row r="124" customFormat="false" ht="15" hidden="false" customHeight="false" outlineLevel="0" collapsed="false">
      <c r="D124" s="7"/>
      <c r="E124" s="7"/>
      <c r="F124" s="7"/>
      <c r="G124" s="13"/>
      <c r="H124" s="13"/>
      <c r="I124" s="13"/>
      <c r="J124" s="13"/>
      <c r="K124" s="13"/>
      <c r="L124" s="13"/>
      <c r="M124" s="13"/>
      <c r="P124" s="7"/>
      <c r="Q124" s="7"/>
      <c r="R124" s="7"/>
      <c r="S124" s="14"/>
      <c r="T124" s="14"/>
      <c r="U124" s="14"/>
      <c r="V124" s="14"/>
      <c r="W124" s="14"/>
      <c r="X124" s="14"/>
      <c r="Y124" s="14"/>
    </row>
    <row r="125" customFormat="false" ht="15" hidden="false" customHeight="false" outlineLevel="0" collapsed="false">
      <c r="G125" s="55"/>
      <c r="H125" s="55"/>
      <c r="I125" s="55"/>
      <c r="J125" s="55"/>
      <c r="K125" s="55"/>
      <c r="L125" s="55"/>
      <c r="M125" s="55"/>
      <c r="S125" s="20"/>
      <c r="T125" s="20"/>
      <c r="U125" s="20"/>
      <c r="V125" s="20"/>
      <c r="W125" s="20"/>
      <c r="X125" s="20"/>
      <c r="Y125" s="20"/>
    </row>
    <row r="129" customFormat="false" ht="15" hidden="false" customHeight="false" outlineLevel="0" collapsed="false">
      <c r="D129" s="7"/>
      <c r="E129" s="7"/>
      <c r="F129" s="7"/>
      <c r="G129" s="13"/>
      <c r="H129" s="13"/>
      <c r="I129" s="13"/>
      <c r="J129" s="13"/>
      <c r="K129" s="13"/>
      <c r="L129" s="13"/>
      <c r="M129" s="13"/>
      <c r="P129" s="7"/>
      <c r="Q129" s="7"/>
      <c r="R129" s="7"/>
      <c r="S129" s="13"/>
      <c r="T129" s="13"/>
      <c r="U129" s="13"/>
      <c r="V129" s="13"/>
      <c r="W129" s="13"/>
      <c r="X129" s="13"/>
      <c r="Y129" s="13"/>
    </row>
    <row r="130" customFormat="false" ht="15" hidden="false" customHeight="false" outlineLevel="0" collapsed="false">
      <c r="D130" s="7"/>
      <c r="E130" s="7"/>
      <c r="F130" s="7"/>
      <c r="G130" s="13"/>
      <c r="H130" s="13"/>
      <c r="I130" s="13"/>
      <c r="J130" s="13"/>
      <c r="K130" s="13"/>
      <c r="L130" s="13"/>
      <c r="M130" s="13"/>
      <c r="P130" s="7"/>
      <c r="Q130" s="7"/>
      <c r="R130" s="7"/>
      <c r="S130" s="14"/>
      <c r="T130" s="14"/>
      <c r="U130" s="14"/>
      <c r="V130" s="14"/>
      <c r="W130" s="14"/>
      <c r="X130" s="14"/>
      <c r="Y130" s="14"/>
    </row>
    <row r="131" customFormat="false" ht="15" hidden="false" customHeight="false" outlineLevel="0" collapsed="false">
      <c r="G131" s="13"/>
      <c r="H131" s="13"/>
      <c r="I131" s="13"/>
      <c r="J131" s="13"/>
      <c r="K131" s="13"/>
      <c r="L131" s="13"/>
      <c r="M131" s="13"/>
      <c r="S131" s="14"/>
      <c r="T131" s="14"/>
      <c r="U131" s="14"/>
      <c r="V131" s="14"/>
      <c r="W131" s="14"/>
      <c r="X131" s="14"/>
      <c r="Y131" s="14"/>
    </row>
    <row r="132" customFormat="false" ht="15" hidden="false" customHeight="false" outlineLevel="0" collapsed="false">
      <c r="G132" s="13"/>
      <c r="H132" s="13"/>
      <c r="I132" s="13"/>
      <c r="J132" s="13"/>
      <c r="K132" s="13"/>
      <c r="L132" s="13"/>
      <c r="M132" s="13"/>
      <c r="S132" s="14"/>
      <c r="T132" s="14"/>
      <c r="U132" s="14"/>
      <c r="V132" s="14"/>
      <c r="W132" s="14"/>
      <c r="X132" s="14"/>
      <c r="Y132" s="14"/>
    </row>
    <row r="133" customFormat="false" ht="15" hidden="false" customHeight="false" outlineLevel="0" collapsed="false">
      <c r="G133" s="13"/>
      <c r="H133" s="13"/>
      <c r="I133" s="13"/>
      <c r="J133" s="13"/>
      <c r="K133" s="13"/>
      <c r="L133" s="13"/>
      <c r="M133" s="13"/>
      <c r="S133" s="14"/>
      <c r="T133" s="14"/>
      <c r="U133" s="14"/>
      <c r="V133" s="14"/>
      <c r="W133" s="14"/>
      <c r="X133" s="14"/>
      <c r="Y133" s="14"/>
    </row>
    <row r="134" customFormat="false" ht="15" hidden="false" customHeight="false" outlineLevel="0" collapsed="false">
      <c r="G134" s="13"/>
      <c r="H134" s="13"/>
      <c r="I134" s="13"/>
      <c r="J134" s="13"/>
      <c r="K134" s="13"/>
      <c r="L134" s="13"/>
      <c r="M134" s="13"/>
      <c r="S134" s="14"/>
      <c r="T134" s="14"/>
      <c r="U134" s="14"/>
      <c r="V134" s="14"/>
      <c r="W134" s="14"/>
      <c r="X134" s="14"/>
      <c r="Y134" s="14"/>
    </row>
    <row r="135" customFormat="false" ht="15" hidden="false" customHeight="false" outlineLevel="0" collapsed="false">
      <c r="G135" s="13"/>
      <c r="H135" s="13"/>
      <c r="I135" s="13"/>
      <c r="J135" s="13"/>
      <c r="K135" s="13"/>
      <c r="L135" s="13"/>
      <c r="M135" s="13"/>
      <c r="S135" s="14"/>
      <c r="T135" s="14"/>
      <c r="U135" s="14"/>
      <c r="V135" s="14"/>
      <c r="W135" s="14"/>
      <c r="X135" s="14"/>
      <c r="Y135" s="14"/>
    </row>
    <row r="136" customFormat="false" ht="15" hidden="false" customHeight="false" outlineLevel="0" collapsed="false">
      <c r="G136" s="13"/>
      <c r="H136" s="13"/>
      <c r="I136" s="13"/>
      <c r="J136" s="13"/>
      <c r="K136" s="13"/>
      <c r="L136" s="13"/>
      <c r="M136" s="13"/>
      <c r="S136" s="14"/>
      <c r="T136" s="14"/>
      <c r="U136" s="14"/>
      <c r="V136" s="14"/>
      <c r="W136" s="14"/>
      <c r="X136" s="14"/>
      <c r="Y136" s="14"/>
    </row>
    <row r="137" customFormat="false" ht="15" hidden="false" customHeight="false" outlineLevel="0" collapsed="false">
      <c r="G137" s="13"/>
      <c r="H137" s="13"/>
      <c r="I137" s="13"/>
      <c r="J137" s="13"/>
      <c r="K137" s="13"/>
      <c r="L137" s="13"/>
      <c r="M137" s="13"/>
      <c r="S137" s="14"/>
      <c r="T137" s="14"/>
      <c r="U137" s="14"/>
      <c r="V137" s="14"/>
      <c r="W137" s="14"/>
      <c r="X137" s="14"/>
      <c r="Y137" s="14"/>
    </row>
    <row r="138" customFormat="false" ht="15" hidden="false" customHeight="false" outlineLevel="0" collapsed="false">
      <c r="G138" s="13"/>
      <c r="H138" s="13"/>
      <c r="I138" s="13"/>
      <c r="J138" s="13"/>
      <c r="K138" s="13"/>
      <c r="L138" s="13"/>
      <c r="M138" s="13"/>
      <c r="S138" s="14"/>
      <c r="T138" s="14"/>
      <c r="U138" s="14"/>
      <c r="V138" s="14"/>
      <c r="W138" s="14"/>
      <c r="X138" s="14"/>
      <c r="Y138" s="14"/>
    </row>
    <row r="139" customFormat="false" ht="15" hidden="false" customHeight="false" outlineLevel="0" collapsed="false">
      <c r="G139" s="13"/>
      <c r="H139" s="13"/>
      <c r="I139" s="13"/>
      <c r="J139" s="13"/>
      <c r="K139" s="13"/>
      <c r="L139" s="13"/>
      <c r="M139" s="13"/>
      <c r="S139" s="14"/>
      <c r="T139" s="14"/>
      <c r="U139" s="14"/>
      <c r="V139" s="14"/>
      <c r="W139" s="14"/>
      <c r="X139" s="14"/>
      <c r="Y139" s="14"/>
    </row>
    <row r="140" customFormat="false" ht="15" hidden="false" customHeight="false" outlineLevel="0" collapsed="false">
      <c r="G140" s="13"/>
      <c r="H140" s="13"/>
      <c r="I140" s="13"/>
      <c r="J140" s="13"/>
      <c r="K140" s="13"/>
      <c r="L140" s="13"/>
      <c r="M140" s="13"/>
      <c r="S140" s="14"/>
      <c r="T140" s="14"/>
      <c r="U140" s="14"/>
      <c r="V140" s="14"/>
      <c r="W140" s="14"/>
      <c r="X140" s="14"/>
      <c r="Y140" s="14"/>
    </row>
    <row r="141" customFormat="false" ht="15" hidden="false" customHeight="false" outlineLevel="0" collapsed="false">
      <c r="G141" s="13"/>
      <c r="H141" s="13"/>
      <c r="I141" s="13"/>
      <c r="J141" s="13"/>
      <c r="K141" s="13"/>
      <c r="L141" s="13"/>
      <c r="M141" s="13"/>
      <c r="S141" s="14"/>
      <c r="T141" s="14"/>
      <c r="U141" s="14"/>
      <c r="V141" s="14"/>
      <c r="W141" s="14"/>
      <c r="X141" s="14"/>
      <c r="Y141" s="14"/>
    </row>
    <row r="142" customFormat="false" ht="15" hidden="false" customHeight="false" outlineLevel="0" collapsed="false">
      <c r="G142" s="13"/>
      <c r="H142" s="13"/>
      <c r="I142" s="13"/>
      <c r="J142" s="13"/>
      <c r="K142" s="13"/>
      <c r="L142" s="13"/>
      <c r="M142" s="13"/>
      <c r="S142" s="14"/>
      <c r="T142" s="14"/>
      <c r="U142" s="14"/>
      <c r="V142" s="14"/>
      <c r="W142" s="14"/>
      <c r="X142" s="14"/>
      <c r="Y142" s="14"/>
    </row>
    <row r="143" customFormat="false" ht="15" hidden="false" customHeight="false" outlineLevel="0" collapsed="false">
      <c r="G143" s="19"/>
      <c r="H143" s="19"/>
      <c r="I143" s="19"/>
      <c r="J143" s="19"/>
      <c r="K143" s="19"/>
      <c r="L143" s="19"/>
      <c r="M143" s="19"/>
      <c r="S143" s="20"/>
      <c r="T143" s="20"/>
      <c r="U143" s="20"/>
      <c r="V143" s="20"/>
      <c r="W143" s="20"/>
      <c r="X143" s="20"/>
      <c r="Y143" s="20"/>
    </row>
    <row r="147" customFormat="false" ht="15" hidden="false" customHeight="false" outlineLevel="0" collapsed="false">
      <c r="G147" s="7"/>
      <c r="I147" s="7"/>
      <c r="J147" s="33"/>
      <c r="K147" s="33"/>
      <c r="L147" s="7"/>
      <c r="P147" s="7"/>
      <c r="Q147" s="7"/>
      <c r="S147" s="7"/>
      <c r="U147" s="7"/>
      <c r="V147" s="33"/>
      <c r="W147" s="33"/>
      <c r="X147" s="7"/>
    </row>
    <row r="149" customFormat="false" ht="15" hidden="false" customHeight="false" outlineLevel="0" collapsed="false">
      <c r="D149" s="7"/>
      <c r="E149" s="7"/>
      <c r="F149" s="7"/>
      <c r="G149" s="13"/>
      <c r="H149" s="13"/>
      <c r="I149" s="13"/>
      <c r="J149" s="13"/>
      <c r="K149" s="13"/>
      <c r="L149" s="13"/>
      <c r="M149" s="13"/>
      <c r="P149" s="7"/>
      <c r="Q149" s="7"/>
      <c r="R149" s="7"/>
      <c r="S149" s="13"/>
      <c r="T149" s="13"/>
      <c r="U149" s="13"/>
      <c r="V149" s="13"/>
      <c r="W149" s="13"/>
      <c r="X149" s="13"/>
      <c r="Y149" s="13"/>
    </row>
    <row r="151" customFormat="false" ht="15" hidden="false" customHeight="false" outlineLevel="0" collapsed="false">
      <c r="D151" s="7"/>
      <c r="E151" s="7"/>
      <c r="F151" s="7"/>
      <c r="G151" s="13"/>
      <c r="H151" s="13"/>
      <c r="I151" s="13"/>
      <c r="J151" s="13"/>
      <c r="K151" s="13"/>
      <c r="L151" s="13"/>
      <c r="M151" s="13"/>
      <c r="P151" s="7"/>
      <c r="Q151" s="7"/>
      <c r="R151" s="7"/>
      <c r="S151" s="13"/>
      <c r="T151" s="13"/>
      <c r="U151" s="13"/>
      <c r="V151" s="13"/>
      <c r="W151" s="13"/>
      <c r="X151" s="13"/>
      <c r="Y151" s="13"/>
    </row>
    <row r="152" customFormat="false" ht="15" hidden="false" customHeight="false" outlineLevel="0" collapsed="false">
      <c r="D152" s="7"/>
      <c r="E152" s="7"/>
      <c r="F152" s="7"/>
      <c r="G152" s="13"/>
      <c r="H152" s="13"/>
      <c r="I152" s="13"/>
      <c r="J152" s="13"/>
      <c r="K152" s="13"/>
      <c r="L152" s="13"/>
      <c r="M152" s="13"/>
      <c r="P152" s="7"/>
      <c r="Q152" s="7"/>
      <c r="R152" s="7"/>
      <c r="S152" s="13"/>
      <c r="T152" s="13"/>
      <c r="U152" s="13"/>
      <c r="V152" s="13"/>
      <c r="W152" s="13"/>
      <c r="X152" s="13"/>
      <c r="Y152" s="13"/>
    </row>
    <row r="153" customFormat="false" ht="15" hidden="false" customHeight="false" outlineLevel="0" collapsed="false">
      <c r="D153" s="7"/>
      <c r="E153" s="7"/>
      <c r="F153" s="7"/>
      <c r="G153" s="13"/>
      <c r="H153" s="13"/>
      <c r="I153" s="13"/>
      <c r="J153" s="13"/>
      <c r="K153" s="13"/>
      <c r="L153" s="13"/>
      <c r="M153" s="13"/>
      <c r="P153" s="7"/>
      <c r="Q153" s="7"/>
      <c r="R153" s="7"/>
      <c r="S153" s="13"/>
      <c r="T153" s="13"/>
      <c r="U153" s="13"/>
      <c r="V153" s="13"/>
      <c r="W153" s="13"/>
      <c r="X153" s="13"/>
      <c r="Y153" s="13"/>
    </row>
    <row r="154" customFormat="false" ht="15" hidden="false" customHeight="false" outlineLevel="0" collapsed="false">
      <c r="D154" s="7"/>
      <c r="E154" s="7"/>
      <c r="F154" s="7"/>
      <c r="G154" s="13"/>
      <c r="H154" s="13"/>
      <c r="I154" s="13"/>
      <c r="J154" s="13"/>
      <c r="K154" s="13"/>
      <c r="L154" s="13"/>
      <c r="M154" s="13"/>
      <c r="P154" s="7"/>
      <c r="Q154" s="7"/>
      <c r="R154" s="7"/>
      <c r="S154" s="13"/>
      <c r="T154" s="13"/>
      <c r="U154" s="13"/>
      <c r="V154" s="13"/>
      <c r="W154" s="13"/>
      <c r="X154" s="13"/>
      <c r="Y154" s="13"/>
    </row>
    <row r="155" customFormat="false" ht="15" hidden="false" customHeight="false" outlineLevel="0" collapsed="false">
      <c r="G155" s="13"/>
      <c r="H155" s="13"/>
      <c r="I155" s="13"/>
      <c r="J155" s="13"/>
      <c r="K155" s="13"/>
      <c r="L155" s="13"/>
      <c r="M155" s="13"/>
      <c r="S155" s="13"/>
      <c r="T155" s="13"/>
      <c r="U155" s="13"/>
      <c r="V155" s="13"/>
      <c r="W155" s="13"/>
      <c r="X155" s="13"/>
      <c r="Y155" s="13"/>
    </row>
    <row r="156" customFormat="false" ht="15" hidden="false" customHeight="false" outlineLevel="0" collapsed="false">
      <c r="D156" s="7"/>
      <c r="E156" s="7"/>
      <c r="F156" s="7"/>
      <c r="G156" s="13"/>
      <c r="H156" s="13"/>
      <c r="I156" s="13"/>
      <c r="J156" s="13"/>
      <c r="K156" s="13"/>
      <c r="L156" s="13"/>
      <c r="M156" s="13"/>
      <c r="P156" s="7"/>
      <c r="Q156" s="7"/>
      <c r="R156" s="7"/>
      <c r="S156" s="13"/>
      <c r="T156" s="13"/>
      <c r="U156" s="13"/>
      <c r="V156" s="13"/>
      <c r="W156" s="13"/>
      <c r="X156" s="13"/>
      <c r="Y156" s="13"/>
    </row>
    <row r="157" customFormat="false" ht="15" hidden="false" customHeight="false" outlineLevel="0" collapsed="false">
      <c r="D157" s="7"/>
      <c r="E157" s="7"/>
      <c r="F157" s="7"/>
      <c r="G157" s="13"/>
      <c r="H157" s="13"/>
      <c r="I157" s="13"/>
      <c r="J157" s="13"/>
      <c r="K157" s="13"/>
      <c r="L157" s="13"/>
      <c r="M157" s="13"/>
      <c r="P157" s="7"/>
      <c r="Q157" s="7"/>
      <c r="R157" s="7"/>
      <c r="S157" s="13"/>
      <c r="T157" s="13"/>
      <c r="U157" s="13"/>
      <c r="V157" s="13"/>
      <c r="W157" s="13"/>
      <c r="X157" s="13"/>
      <c r="Y157" s="13"/>
    </row>
    <row r="158" customFormat="false" ht="15" hidden="false" customHeight="false" outlineLevel="0" collapsed="false">
      <c r="D158" s="7"/>
      <c r="E158" s="7"/>
      <c r="F158" s="7"/>
      <c r="G158" s="13"/>
      <c r="H158" s="13"/>
      <c r="I158" s="13"/>
      <c r="J158" s="13"/>
      <c r="K158" s="13"/>
      <c r="L158" s="13"/>
      <c r="M158" s="13"/>
      <c r="P158" s="7"/>
      <c r="Q158" s="7"/>
      <c r="R158" s="7"/>
      <c r="S158" s="13"/>
      <c r="T158" s="13"/>
      <c r="U158" s="13"/>
      <c r="V158" s="13"/>
      <c r="W158" s="13"/>
      <c r="X158" s="13"/>
      <c r="Y158" s="13"/>
    </row>
    <row r="159" customFormat="false" ht="15" hidden="false" customHeight="false" outlineLevel="0" collapsed="false">
      <c r="D159" s="7"/>
      <c r="E159" s="7"/>
      <c r="F159" s="7"/>
      <c r="G159" s="13"/>
      <c r="H159" s="13"/>
      <c r="I159" s="13"/>
      <c r="J159" s="13"/>
      <c r="K159" s="13"/>
      <c r="L159" s="13"/>
      <c r="M159" s="13"/>
      <c r="P159" s="7"/>
      <c r="Q159" s="7"/>
      <c r="R159" s="7"/>
      <c r="S159" s="13"/>
      <c r="T159" s="13"/>
      <c r="U159" s="13"/>
      <c r="V159" s="13"/>
      <c r="W159" s="13"/>
      <c r="X159" s="13"/>
      <c r="Y159" s="13"/>
    </row>
    <row r="160" customFormat="false" ht="15" hidden="false" customHeight="false" outlineLevel="0" collapsed="false">
      <c r="D160" s="7"/>
      <c r="E160" s="7"/>
      <c r="F160" s="7"/>
      <c r="G160" s="13"/>
      <c r="H160" s="13"/>
      <c r="I160" s="13"/>
      <c r="J160" s="13"/>
      <c r="K160" s="13"/>
      <c r="L160" s="13"/>
      <c r="M160" s="13"/>
      <c r="P160" s="7"/>
      <c r="Q160" s="7"/>
      <c r="R160" s="7"/>
      <c r="S160" s="13"/>
      <c r="T160" s="13"/>
      <c r="U160" s="13"/>
      <c r="V160" s="13"/>
      <c r="W160" s="13"/>
      <c r="X160" s="13"/>
      <c r="Y160" s="13"/>
    </row>
    <row r="161" customFormat="false" ht="15" hidden="false" customHeight="false" outlineLevel="0" collapsed="false">
      <c r="D161" s="7"/>
      <c r="E161" s="7"/>
      <c r="F161" s="7"/>
      <c r="G161" s="13"/>
      <c r="H161" s="13"/>
      <c r="I161" s="13"/>
      <c r="J161" s="13"/>
      <c r="K161" s="13"/>
      <c r="L161" s="13"/>
      <c r="M161" s="13"/>
      <c r="P161" s="7"/>
      <c r="Q161" s="7"/>
      <c r="R161" s="7"/>
      <c r="S161" s="13"/>
      <c r="T161" s="13"/>
      <c r="U161" s="13"/>
      <c r="V161" s="13"/>
      <c r="W161" s="13"/>
      <c r="X161" s="13"/>
      <c r="Y161" s="13"/>
    </row>
    <row r="162" customFormat="false" ht="15" hidden="false" customHeight="false" outlineLevel="0" collapsed="false">
      <c r="D162" s="7"/>
      <c r="E162" s="7"/>
      <c r="F162" s="7"/>
      <c r="G162" s="13"/>
      <c r="H162" s="13"/>
      <c r="I162" s="13"/>
      <c r="J162" s="13"/>
      <c r="K162" s="13"/>
      <c r="L162" s="13"/>
      <c r="M162" s="13"/>
      <c r="P162" s="7"/>
      <c r="Q162" s="7"/>
      <c r="R162" s="7"/>
      <c r="S162" s="13"/>
      <c r="T162" s="13"/>
      <c r="U162" s="13"/>
      <c r="V162" s="13"/>
      <c r="W162" s="13"/>
      <c r="X162" s="13"/>
      <c r="Y162" s="13"/>
    </row>
    <row r="163" customFormat="false" ht="15" hidden="false" customHeight="false" outlineLevel="0" collapsed="false">
      <c r="G163" s="13"/>
      <c r="H163" s="13"/>
      <c r="I163" s="13"/>
      <c r="J163" s="13"/>
      <c r="K163" s="13"/>
      <c r="L163" s="13"/>
      <c r="M163" s="13"/>
      <c r="S163" s="13"/>
      <c r="T163" s="13"/>
      <c r="U163" s="13"/>
      <c r="V163" s="13"/>
      <c r="W163" s="13"/>
      <c r="X163" s="13"/>
      <c r="Y163" s="13"/>
    </row>
    <row r="164" customFormat="false" ht="15" hidden="false" customHeight="false" outlineLevel="0" collapsed="false">
      <c r="G164" s="13"/>
      <c r="H164" s="13"/>
      <c r="I164" s="13"/>
      <c r="J164" s="13"/>
      <c r="K164" s="13"/>
      <c r="L164" s="13"/>
      <c r="M164" s="13"/>
      <c r="S164" s="13"/>
      <c r="T164" s="13"/>
      <c r="U164" s="13"/>
      <c r="V164" s="13"/>
      <c r="W164" s="13"/>
      <c r="X164" s="13"/>
      <c r="Y164" s="13"/>
    </row>
    <row r="165" customFormat="false" ht="15" hidden="false" customHeight="false" outlineLevel="0" collapsed="false">
      <c r="D165" s="7"/>
      <c r="E165" s="7"/>
      <c r="F165" s="7"/>
      <c r="G165" s="13"/>
      <c r="H165" s="13"/>
      <c r="I165" s="13"/>
      <c r="J165" s="13"/>
      <c r="K165" s="13"/>
      <c r="L165" s="13"/>
      <c r="M165" s="13"/>
      <c r="P165" s="7"/>
      <c r="Q165" s="7"/>
      <c r="R165" s="7"/>
      <c r="S165" s="13"/>
      <c r="T165" s="13"/>
      <c r="U165" s="13"/>
      <c r="V165" s="13"/>
      <c r="W165" s="13"/>
      <c r="X165" s="13"/>
      <c r="Y165" s="13"/>
    </row>
    <row r="166" customFormat="false" ht="15" hidden="false" customHeight="false" outlineLevel="0" collapsed="false">
      <c r="D166" s="7"/>
      <c r="E166" s="7"/>
      <c r="F166" s="7"/>
      <c r="G166" s="13"/>
      <c r="H166" s="13"/>
      <c r="I166" s="13"/>
      <c r="J166" s="13"/>
      <c r="K166" s="13"/>
      <c r="L166" s="13"/>
      <c r="M166" s="13"/>
      <c r="P166" s="7"/>
      <c r="Q166" s="7"/>
      <c r="R166" s="7"/>
      <c r="S166" s="13"/>
      <c r="T166" s="13"/>
      <c r="U166" s="13"/>
      <c r="V166" s="13"/>
      <c r="W166" s="13"/>
      <c r="X166" s="13"/>
      <c r="Y166" s="13"/>
    </row>
    <row r="167" customFormat="false" ht="15" hidden="false" customHeight="false" outlineLevel="0" collapsed="false">
      <c r="G167" s="13"/>
      <c r="H167" s="13"/>
      <c r="I167" s="13"/>
      <c r="J167" s="13"/>
      <c r="K167" s="13"/>
      <c r="L167" s="13"/>
      <c r="M167" s="13"/>
      <c r="S167" s="13"/>
      <c r="T167" s="13"/>
      <c r="U167" s="13"/>
      <c r="V167" s="13"/>
      <c r="W167" s="13"/>
      <c r="X167" s="13"/>
      <c r="Y167" s="13"/>
    </row>
    <row r="168" customFormat="false" ht="15" hidden="false" customHeight="false" outlineLevel="0" collapsed="false">
      <c r="G168" s="13"/>
      <c r="H168" s="13"/>
      <c r="I168" s="13"/>
      <c r="J168" s="13"/>
      <c r="K168" s="13"/>
      <c r="L168" s="13"/>
      <c r="M168" s="13"/>
      <c r="S168" s="13"/>
      <c r="T168" s="13"/>
      <c r="U168" s="13"/>
      <c r="V168" s="13"/>
      <c r="W168" s="13"/>
      <c r="X168" s="13"/>
      <c r="Y168" s="13"/>
    </row>
    <row r="169" customFormat="false" ht="15" hidden="false" customHeight="false" outlineLevel="0" collapsed="false">
      <c r="D169" s="7"/>
      <c r="E169" s="7"/>
      <c r="F169" s="7"/>
      <c r="G169" s="13"/>
      <c r="H169" s="13"/>
      <c r="I169" s="13"/>
      <c r="J169" s="13"/>
      <c r="K169" s="13"/>
      <c r="L169" s="13"/>
      <c r="M169" s="13"/>
      <c r="P169" s="7"/>
      <c r="Q169" s="7"/>
      <c r="R169" s="7"/>
      <c r="S169" s="14"/>
      <c r="T169" s="13"/>
      <c r="U169" s="13"/>
      <c r="V169" s="13"/>
      <c r="W169" s="13"/>
      <c r="X169" s="13"/>
      <c r="Y169" s="13"/>
    </row>
    <row r="170" customFormat="false" ht="15" hidden="false" customHeight="false" outlineLevel="0" collapsed="false">
      <c r="D170" s="7"/>
      <c r="E170" s="7"/>
      <c r="F170" s="7"/>
      <c r="G170" s="13"/>
      <c r="H170" s="13"/>
      <c r="I170" s="13"/>
      <c r="J170" s="13"/>
      <c r="K170" s="13"/>
      <c r="L170" s="13"/>
      <c r="M170" s="13"/>
      <c r="P170" s="7"/>
      <c r="Q170" s="7"/>
      <c r="R170" s="7"/>
      <c r="S170" s="14"/>
      <c r="T170" s="13"/>
      <c r="U170" s="13"/>
      <c r="V170" s="13"/>
      <c r="W170" s="13"/>
      <c r="X170" s="13"/>
      <c r="Y170" s="13"/>
    </row>
    <row r="171" customFormat="false" ht="15" hidden="false" customHeight="false" outlineLevel="0" collapsed="false">
      <c r="D171" s="7"/>
      <c r="E171" s="7"/>
      <c r="F171" s="7"/>
      <c r="G171" s="13"/>
      <c r="H171" s="13"/>
      <c r="I171" s="13"/>
      <c r="J171" s="13"/>
      <c r="K171" s="13"/>
      <c r="L171" s="13"/>
      <c r="M171" s="13"/>
      <c r="P171" s="7"/>
      <c r="Q171" s="7"/>
      <c r="R171" s="7"/>
      <c r="S171" s="14"/>
      <c r="T171" s="13"/>
      <c r="U171" s="13"/>
      <c r="V171" s="13"/>
      <c r="W171" s="13"/>
      <c r="X171" s="13"/>
      <c r="Y171" s="13"/>
    </row>
    <row r="172" customFormat="false" ht="15" hidden="false" customHeight="false" outlineLevel="0" collapsed="false">
      <c r="D172" s="7"/>
      <c r="E172" s="7"/>
      <c r="F172" s="7"/>
      <c r="G172" s="13"/>
      <c r="H172" s="13"/>
      <c r="I172" s="13"/>
      <c r="J172" s="13"/>
      <c r="K172" s="13"/>
      <c r="L172" s="13"/>
      <c r="M172" s="13"/>
      <c r="P172" s="7"/>
      <c r="Q172" s="7"/>
      <c r="R172" s="7"/>
      <c r="S172" s="14"/>
      <c r="T172" s="13"/>
      <c r="U172" s="13"/>
      <c r="V172" s="13"/>
      <c r="W172" s="13"/>
      <c r="X172" s="13"/>
      <c r="Y172" s="13"/>
    </row>
    <row r="173" customFormat="false" ht="15" hidden="false" customHeight="false" outlineLevel="0" collapsed="false">
      <c r="D173" s="7"/>
      <c r="E173" s="7"/>
      <c r="F173" s="7"/>
      <c r="G173" s="13"/>
      <c r="H173" s="13"/>
      <c r="I173" s="13"/>
      <c r="J173" s="13"/>
      <c r="K173" s="13"/>
      <c r="L173" s="13"/>
      <c r="M173" s="13"/>
      <c r="P173" s="7"/>
      <c r="Q173" s="7"/>
      <c r="R173" s="7"/>
      <c r="S173" s="14"/>
      <c r="T173" s="13"/>
      <c r="U173" s="13"/>
      <c r="V173" s="13"/>
      <c r="W173" s="13"/>
      <c r="X173" s="13"/>
      <c r="Y173" s="13"/>
    </row>
    <row r="174" customFormat="false" ht="15" hidden="false" customHeight="false" outlineLevel="0" collapsed="false">
      <c r="G174" s="13"/>
      <c r="H174" s="13"/>
      <c r="I174" s="13"/>
      <c r="J174" s="13"/>
      <c r="K174" s="13"/>
      <c r="L174" s="13"/>
      <c r="M174" s="13"/>
      <c r="S174" s="14"/>
      <c r="T174" s="13"/>
      <c r="U174" s="13"/>
      <c r="V174" s="13"/>
      <c r="W174" s="13"/>
      <c r="X174" s="13"/>
      <c r="Y174" s="13"/>
    </row>
    <row r="175" customFormat="false" ht="15" hidden="false" customHeight="false" outlineLevel="0" collapsed="false">
      <c r="G175" s="13"/>
      <c r="H175" s="13"/>
      <c r="I175" s="13"/>
      <c r="J175" s="13"/>
      <c r="K175" s="13"/>
      <c r="L175" s="13"/>
      <c r="M175" s="13"/>
      <c r="S175" s="14"/>
      <c r="T175" s="13"/>
      <c r="U175" s="13"/>
      <c r="V175" s="13"/>
      <c r="W175" s="13"/>
      <c r="X175" s="13"/>
      <c r="Y175" s="13"/>
    </row>
    <row r="176" customFormat="false" ht="15" hidden="false" customHeight="false" outlineLevel="0" collapsed="false">
      <c r="G176" s="13"/>
      <c r="H176" s="13"/>
      <c r="I176" s="13"/>
      <c r="J176" s="13"/>
      <c r="K176" s="13"/>
      <c r="L176" s="13"/>
      <c r="M176" s="13"/>
      <c r="S176" s="14"/>
      <c r="T176" s="13"/>
      <c r="U176" s="13"/>
      <c r="V176" s="13"/>
      <c r="W176" s="13"/>
      <c r="X176" s="13"/>
      <c r="Y176" s="13"/>
    </row>
    <row r="177" customFormat="false" ht="15" hidden="false" customHeight="false" outlineLevel="0" collapsed="false">
      <c r="G177" s="13"/>
      <c r="H177" s="13"/>
      <c r="I177" s="13"/>
      <c r="J177" s="13"/>
      <c r="K177" s="13"/>
      <c r="L177" s="13"/>
      <c r="M177" s="13"/>
      <c r="S177" s="14"/>
      <c r="T177" s="13"/>
      <c r="U177" s="13"/>
      <c r="V177" s="13"/>
      <c r="W177" s="13"/>
      <c r="X177" s="13"/>
      <c r="Y177" s="13"/>
    </row>
    <row r="178" customFormat="false" ht="15" hidden="false" customHeight="false" outlineLevel="0" collapsed="false">
      <c r="G178" s="13"/>
      <c r="H178" s="13"/>
      <c r="I178" s="13"/>
      <c r="J178" s="13"/>
      <c r="K178" s="13"/>
      <c r="L178" s="13"/>
      <c r="M178" s="13"/>
      <c r="S178" s="14"/>
      <c r="T178" s="13"/>
      <c r="U178" s="13"/>
      <c r="V178" s="13"/>
      <c r="W178" s="13"/>
      <c r="X178" s="13"/>
      <c r="Y178" s="13"/>
    </row>
    <row r="179" customFormat="false" ht="15" hidden="false" customHeight="false" outlineLevel="0" collapsed="false">
      <c r="G179" s="13"/>
      <c r="H179" s="13"/>
      <c r="I179" s="13"/>
      <c r="J179" s="13"/>
      <c r="K179" s="13"/>
      <c r="L179" s="13"/>
      <c r="M179" s="13"/>
      <c r="S179" s="14"/>
      <c r="T179" s="13"/>
      <c r="U179" s="13"/>
      <c r="V179" s="13"/>
      <c r="W179" s="13"/>
      <c r="X179" s="13"/>
      <c r="Y179" s="13"/>
    </row>
    <row r="180" customFormat="false" ht="15" hidden="false" customHeight="false" outlineLevel="0" collapsed="false">
      <c r="D180" s="7"/>
      <c r="E180" s="7"/>
      <c r="F180" s="7"/>
      <c r="G180" s="13"/>
      <c r="H180" s="13"/>
      <c r="I180" s="13"/>
      <c r="J180" s="13"/>
      <c r="K180" s="13"/>
      <c r="L180" s="13"/>
      <c r="M180" s="13"/>
      <c r="P180" s="7"/>
      <c r="Q180" s="7"/>
      <c r="R180" s="7"/>
      <c r="S180" s="14"/>
      <c r="T180" s="13"/>
      <c r="U180" s="13"/>
      <c r="V180" s="13"/>
      <c r="W180" s="13"/>
      <c r="X180" s="13"/>
      <c r="Y180" s="13"/>
    </row>
    <row r="181" customFormat="false" ht="15" hidden="false" customHeight="false" outlineLevel="0" collapsed="false">
      <c r="D181" s="7"/>
      <c r="E181" s="7"/>
      <c r="F181" s="7"/>
      <c r="G181" s="13"/>
      <c r="H181" s="13"/>
      <c r="I181" s="13"/>
      <c r="J181" s="13"/>
      <c r="K181" s="13"/>
      <c r="L181" s="13"/>
      <c r="M181" s="13"/>
      <c r="P181" s="7"/>
      <c r="Q181" s="7"/>
      <c r="R181" s="7"/>
      <c r="S181" s="14"/>
      <c r="T181" s="13"/>
      <c r="U181" s="13"/>
      <c r="V181" s="13"/>
      <c r="W181" s="13"/>
      <c r="X181" s="13"/>
      <c r="Y181" s="13"/>
    </row>
    <row r="182" customFormat="false" ht="15" hidden="false" customHeight="false" outlineLevel="0" collapsed="false">
      <c r="D182" s="7"/>
      <c r="E182" s="7"/>
      <c r="F182" s="7"/>
      <c r="G182" s="13"/>
      <c r="H182" s="13"/>
      <c r="I182" s="13"/>
      <c r="J182" s="13"/>
      <c r="K182" s="13"/>
      <c r="L182" s="13"/>
      <c r="M182" s="13"/>
      <c r="P182" s="7"/>
      <c r="Q182" s="7"/>
      <c r="R182" s="7"/>
      <c r="S182" s="14"/>
      <c r="T182" s="13"/>
      <c r="U182" s="13"/>
      <c r="V182" s="13"/>
      <c r="W182" s="13"/>
      <c r="X182" s="13"/>
      <c r="Y182" s="13"/>
    </row>
    <row r="183" customFormat="false" ht="15" hidden="false" customHeight="false" outlineLevel="0" collapsed="false">
      <c r="D183" s="7"/>
      <c r="E183" s="7"/>
      <c r="F183" s="7"/>
      <c r="G183" s="13"/>
      <c r="H183" s="13"/>
      <c r="I183" s="13"/>
      <c r="J183" s="13"/>
      <c r="K183" s="13"/>
      <c r="L183" s="13"/>
      <c r="M183" s="13"/>
      <c r="P183" s="7"/>
      <c r="Q183" s="7"/>
      <c r="R183" s="7"/>
      <c r="S183" s="14"/>
      <c r="T183" s="13"/>
      <c r="U183" s="13"/>
      <c r="V183" s="13"/>
      <c r="W183" s="13"/>
      <c r="X183" s="13"/>
      <c r="Y183" s="13"/>
    </row>
    <row r="184" customFormat="false" ht="15" hidden="false" customHeight="false" outlineLevel="0" collapsed="false">
      <c r="D184" s="7"/>
      <c r="E184" s="7"/>
      <c r="F184" s="7"/>
      <c r="G184" s="13"/>
      <c r="H184" s="13"/>
      <c r="I184" s="13"/>
      <c r="J184" s="13"/>
      <c r="K184" s="13"/>
      <c r="L184" s="13"/>
      <c r="M184" s="13"/>
      <c r="P184" s="7"/>
      <c r="Q184" s="7"/>
      <c r="R184" s="7"/>
      <c r="S184" s="14"/>
      <c r="T184" s="13"/>
      <c r="U184" s="13"/>
      <c r="V184" s="13"/>
      <c r="W184" s="13"/>
      <c r="X184" s="13"/>
      <c r="Y184" s="13"/>
    </row>
    <row r="185" customFormat="false" ht="15" hidden="false" customHeight="false" outlineLevel="0" collapsed="false">
      <c r="G185" s="13"/>
      <c r="H185" s="13"/>
      <c r="I185" s="13"/>
      <c r="J185" s="13"/>
      <c r="K185" s="13"/>
      <c r="L185" s="13"/>
      <c r="M185" s="13"/>
      <c r="S185" s="14"/>
      <c r="T185" s="13"/>
      <c r="U185" s="13"/>
      <c r="V185" s="13"/>
      <c r="W185" s="13"/>
      <c r="X185" s="13"/>
      <c r="Y185" s="13"/>
    </row>
    <row r="186" customFormat="false" ht="15" hidden="false" customHeight="false" outlineLevel="0" collapsed="false">
      <c r="G186" s="13"/>
      <c r="H186" s="13"/>
      <c r="I186" s="13"/>
      <c r="J186" s="13"/>
      <c r="K186" s="13"/>
      <c r="L186" s="13"/>
      <c r="M186" s="13"/>
      <c r="S186" s="14"/>
      <c r="T186" s="13"/>
      <c r="U186" s="13"/>
      <c r="V186" s="13"/>
      <c r="W186" s="13"/>
      <c r="X186" s="13"/>
      <c r="Y186" s="13"/>
    </row>
    <row r="187" customFormat="false" ht="15" hidden="false" customHeight="false" outlineLevel="0" collapsed="false">
      <c r="G187" s="13"/>
      <c r="H187" s="13"/>
      <c r="I187" s="13"/>
      <c r="J187" s="13"/>
      <c r="K187" s="13"/>
      <c r="L187" s="13"/>
      <c r="M187" s="13"/>
      <c r="S187" s="14"/>
      <c r="T187" s="13"/>
      <c r="U187" s="13"/>
      <c r="V187" s="13"/>
      <c r="W187" s="13"/>
      <c r="X187" s="13"/>
      <c r="Y187" s="13"/>
    </row>
    <row r="188" customFormat="false" ht="15" hidden="false" customHeight="false" outlineLevel="0" collapsed="false">
      <c r="D188" s="7"/>
      <c r="E188" s="7"/>
      <c r="F188" s="7"/>
      <c r="G188" s="13"/>
      <c r="H188" s="13"/>
      <c r="I188" s="13"/>
      <c r="J188" s="13"/>
      <c r="K188" s="13"/>
      <c r="L188" s="13"/>
      <c r="M188" s="13"/>
      <c r="P188" s="7"/>
      <c r="Q188" s="7"/>
      <c r="R188" s="7"/>
      <c r="S188" s="14"/>
      <c r="T188" s="13"/>
      <c r="U188" s="13"/>
      <c r="V188" s="13"/>
      <c r="W188" s="13"/>
      <c r="X188" s="13"/>
      <c r="Y188" s="13"/>
    </row>
    <row r="189" customFormat="false" ht="15" hidden="false" customHeight="false" outlineLevel="0" collapsed="false">
      <c r="G189" s="13"/>
      <c r="H189" s="13"/>
      <c r="I189" s="13"/>
      <c r="J189" s="13"/>
      <c r="K189" s="13"/>
      <c r="L189" s="13"/>
      <c r="M189" s="13"/>
      <c r="S189" s="14"/>
      <c r="T189" s="13"/>
      <c r="U189" s="13"/>
      <c r="V189" s="13"/>
      <c r="W189" s="13"/>
      <c r="X189" s="13"/>
      <c r="Y189" s="13"/>
    </row>
    <row r="190" customFormat="false" ht="15" hidden="false" customHeight="false" outlineLevel="0" collapsed="false">
      <c r="D190" s="7"/>
      <c r="E190" s="7"/>
      <c r="F190" s="7"/>
      <c r="G190" s="13"/>
      <c r="H190" s="13"/>
      <c r="I190" s="13"/>
      <c r="J190" s="13"/>
      <c r="K190" s="13"/>
      <c r="L190" s="13"/>
      <c r="M190" s="13"/>
      <c r="P190" s="7"/>
      <c r="Q190" s="7"/>
      <c r="R190" s="7"/>
      <c r="S190" s="14"/>
      <c r="T190" s="13"/>
      <c r="U190" s="13"/>
      <c r="V190" s="13"/>
      <c r="W190" s="13"/>
      <c r="X190" s="13"/>
      <c r="Y190" s="13"/>
    </row>
    <row r="191" customFormat="false" ht="15" hidden="false" customHeight="false" outlineLevel="0" collapsed="false">
      <c r="D191" s="7"/>
      <c r="E191" s="7"/>
      <c r="F191" s="7"/>
      <c r="G191" s="13"/>
      <c r="H191" s="13"/>
      <c r="I191" s="13"/>
      <c r="J191" s="13"/>
      <c r="K191" s="13"/>
      <c r="L191" s="13"/>
      <c r="M191" s="13"/>
      <c r="P191" s="7"/>
      <c r="Q191" s="7"/>
      <c r="R191" s="7"/>
      <c r="S191" s="14"/>
      <c r="T191" s="13"/>
      <c r="U191" s="13"/>
      <c r="V191" s="13"/>
      <c r="W191" s="13"/>
      <c r="X191" s="13"/>
      <c r="Y191" s="13"/>
    </row>
    <row r="192" customFormat="false" ht="15" hidden="false" customHeight="false" outlineLevel="0" collapsed="false">
      <c r="D192" s="7"/>
      <c r="E192" s="7"/>
      <c r="F192" s="7"/>
      <c r="G192" s="13"/>
      <c r="H192" s="13"/>
      <c r="I192" s="13"/>
      <c r="J192" s="13"/>
      <c r="K192" s="13"/>
      <c r="L192" s="13"/>
      <c r="M192" s="13"/>
      <c r="P192" s="7"/>
      <c r="Q192" s="7"/>
      <c r="R192" s="7"/>
      <c r="S192" s="14"/>
      <c r="T192" s="13"/>
      <c r="U192" s="13"/>
      <c r="V192" s="13"/>
      <c r="W192" s="13"/>
      <c r="X192" s="13"/>
      <c r="Y192" s="13"/>
    </row>
    <row r="193" customFormat="false" ht="15" hidden="false" customHeight="false" outlineLevel="0" collapsed="false">
      <c r="G193" s="13"/>
      <c r="H193" s="13"/>
      <c r="I193" s="13"/>
      <c r="J193" s="13"/>
      <c r="K193" s="13"/>
      <c r="L193" s="13"/>
      <c r="M193" s="13"/>
      <c r="S193" s="14"/>
      <c r="T193" s="13"/>
      <c r="U193" s="13"/>
      <c r="V193" s="13"/>
      <c r="W193" s="13"/>
      <c r="X193" s="13"/>
      <c r="Y193" s="13"/>
    </row>
    <row r="194" customFormat="false" ht="15" hidden="false" customHeight="false" outlineLevel="0" collapsed="false">
      <c r="G194" s="13"/>
      <c r="H194" s="13"/>
      <c r="I194" s="13"/>
      <c r="J194" s="13"/>
      <c r="K194" s="13"/>
      <c r="L194" s="13"/>
      <c r="M194" s="13"/>
      <c r="S194" s="14"/>
      <c r="T194" s="13"/>
      <c r="U194" s="13"/>
      <c r="V194" s="13"/>
      <c r="W194" s="13"/>
      <c r="X194" s="13"/>
      <c r="Y194" s="13"/>
    </row>
    <row r="195" customFormat="false" ht="15" hidden="false" customHeight="false" outlineLevel="0" collapsed="false">
      <c r="G195" s="13"/>
      <c r="H195" s="13"/>
      <c r="I195" s="13"/>
      <c r="J195" s="13"/>
      <c r="K195" s="13"/>
      <c r="L195" s="13"/>
      <c r="M195" s="13"/>
      <c r="S195" s="14"/>
      <c r="T195" s="13"/>
      <c r="U195" s="13"/>
      <c r="V195" s="13"/>
      <c r="W195" s="13"/>
      <c r="X195" s="13"/>
      <c r="Y195" s="13"/>
    </row>
    <row r="196" customFormat="false" ht="15" hidden="false" customHeight="false" outlineLevel="0" collapsed="false">
      <c r="D196" s="7"/>
      <c r="E196" s="7"/>
      <c r="F196" s="7"/>
      <c r="G196" s="13"/>
      <c r="H196" s="13"/>
      <c r="I196" s="13"/>
      <c r="J196" s="13"/>
      <c r="K196" s="13"/>
      <c r="L196" s="13"/>
      <c r="M196" s="13"/>
      <c r="P196" s="7"/>
      <c r="Q196" s="7"/>
      <c r="R196" s="7"/>
      <c r="S196" s="14"/>
      <c r="T196" s="13"/>
      <c r="U196" s="13"/>
      <c r="V196" s="13"/>
      <c r="W196" s="13"/>
      <c r="X196" s="13"/>
      <c r="Y196" s="13"/>
    </row>
    <row r="197" customFormat="false" ht="15" hidden="false" customHeight="false" outlineLevel="0" collapsed="false">
      <c r="G197" s="55"/>
      <c r="H197" s="55"/>
      <c r="I197" s="55"/>
      <c r="J197" s="55"/>
      <c r="K197" s="55"/>
      <c r="L197" s="55"/>
      <c r="M197" s="55"/>
      <c r="S197" s="56"/>
      <c r="T197" s="55"/>
      <c r="U197" s="55"/>
      <c r="V197" s="55"/>
      <c r="W197" s="55"/>
      <c r="X197" s="55"/>
      <c r="Y197" s="55"/>
    </row>
    <row r="201" customFormat="false" ht="15" hidden="false" customHeight="false" outlineLevel="0" collapsed="false">
      <c r="D201" s="7"/>
      <c r="E201" s="7"/>
      <c r="F201" s="7"/>
      <c r="G201" s="13"/>
      <c r="H201" s="13"/>
      <c r="I201" s="13"/>
      <c r="J201" s="13"/>
      <c r="K201" s="13"/>
      <c r="L201" s="13"/>
      <c r="M201" s="13"/>
      <c r="P201" s="7"/>
      <c r="Q201" s="7"/>
      <c r="R201" s="7"/>
      <c r="S201" s="13"/>
      <c r="T201" s="13"/>
      <c r="U201" s="13"/>
      <c r="V201" s="13"/>
      <c r="W201" s="13"/>
      <c r="X201" s="13"/>
      <c r="Y201" s="13"/>
    </row>
    <row r="202" customFormat="false" ht="15" hidden="false" customHeight="false" outlineLevel="0" collapsed="false">
      <c r="D202" s="7"/>
      <c r="E202" s="7"/>
      <c r="F202" s="7"/>
      <c r="G202" s="13"/>
      <c r="H202" s="13"/>
      <c r="I202" s="13"/>
      <c r="J202" s="13"/>
      <c r="K202" s="13"/>
      <c r="L202" s="13"/>
      <c r="M202" s="13"/>
      <c r="P202" s="7"/>
      <c r="Q202" s="7"/>
      <c r="R202" s="7"/>
      <c r="S202" s="14"/>
      <c r="T202" s="13"/>
      <c r="U202" s="13"/>
      <c r="V202" s="13"/>
      <c r="W202" s="13"/>
      <c r="X202" s="13"/>
      <c r="Y202" s="13"/>
    </row>
    <row r="203" customFormat="false" ht="15" hidden="false" customHeight="false" outlineLevel="0" collapsed="false">
      <c r="G203" s="13"/>
      <c r="H203" s="13"/>
      <c r="I203" s="13"/>
      <c r="J203" s="13"/>
      <c r="K203" s="13"/>
      <c r="L203" s="13"/>
      <c r="M203" s="13"/>
      <c r="S203" s="14"/>
      <c r="T203" s="13"/>
      <c r="U203" s="13"/>
      <c r="V203" s="13"/>
      <c r="W203" s="13"/>
      <c r="X203" s="13"/>
      <c r="Y203" s="13"/>
    </row>
    <row r="204" customFormat="false" ht="15" hidden="false" customHeight="false" outlineLevel="0" collapsed="false">
      <c r="G204" s="13"/>
      <c r="H204" s="13"/>
      <c r="I204" s="13"/>
      <c r="J204" s="13"/>
      <c r="K204" s="13"/>
      <c r="L204" s="13"/>
      <c r="M204" s="13"/>
      <c r="S204" s="14"/>
      <c r="T204" s="13"/>
      <c r="U204" s="13"/>
      <c r="V204" s="13"/>
      <c r="W204" s="13"/>
      <c r="X204" s="13"/>
      <c r="Y204" s="13"/>
    </row>
    <row r="205" customFormat="false" ht="15" hidden="false" customHeight="false" outlineLevel="0" collapsed="false">
      <c r="G205" s="13"/>
      <c r="H205" s="13"/>
      <c r="I205" s="13"/>
      <c r="J205" s="13"/>
      <c r="K205" s="13"/>
      <c r="L205" s="13"/>
      <c r="M205" s="13"/>
      <c r="S205" s="14"/>
      <c r="T205" s="13"/>
      <c r="U205" s="13"/>
      <c r="V205" s="13"/>
      <c r="W205" s="13"/>
      <c r="X205" s="13"/>
      <c r="Y205" s="13"/>
    </row>
    <row r="206" customFormat="false" ht="15" hidden="false" customHeight="false" outlineLevel="0" collapsed="false">
      <c r="G206" s="13"/>
      <c r="H206" s="13"/>
      <c r="I206" s="13"/>
      <c r="J206" s="13"/>
      <c r="K206" s="13"/>
      <c r="L206" s="13"/>
      <c r="M206" s="13"/>
      <c r="S206" s="14"/>
      <c r="T206" s="13"/>
      <c r="U206" s="13"/>
      <c r="V206" s="13"/>
      <c r="W206" s="13"/>
      <c r="X206" s="13"/>
      <c r="Y206" s="13"/>
    </row>
    <row r="207" customFormat="false" ht="15" hidden="false" customHeight="false" outlineLevel="0" collapsed="false">
      <c r="G207" s="13"/>
      <c r="H207" s="13"/>
      <c r="I207" s="13"/>
      <c r="J207" s="13"/>
      <c r="K207" s="13"/>
      <c r="L207" s="13"/>
      <c r="M207" s="13"/>
      <c r="S207" s="14"/>
      <c r="T207" s="13"/>
      <c r="U207" s="13"/>
      <c r="V207" s="13"/>
      <c r="W207" s="13"/>
      <c r="X207" s="13"/>
      <c r="Y207" s="13"/>
    </row>
    <row r="208" customFormat="false" ht="15" hidden="false" customHeight="false" outlineLevel="0" collapsed="false">
      <c r="G208" s="13"/>
      <c r="H208" s="13"/>
      <c r="I208" s="13"/>
      <c r="J208" s="13"/>
      <c r="K208" s="13"/>
      <c r="L208" s="13"/>
      <c r="M208" s="13"/>
      <c r="S208" s="14"/>
      <c r="T208" s="13"/>
      <c r="U208" s="13"/>
      <c r="V208" s="13"/>
      <c r="W208" s="13"/>
      <c r="X208" s="13"/>
      <c r="Y208" s="13"/>
    </row>
    <row r="209" customFormat="false" ht="15" hidden="false" customHeight="false" outlineLevel="0" collapsed="false">
      <c r="G209" s="13"/>
      <c r="H209" s="13"/>
      <c r="I209" s="13"/>
      <c r="J209" s="13"/>
      <c r="K209" s="13"/>
      <c r="L209" s="13"/>
      <c r="M209" s="13"/>
      <c r="S209" s="14"/>
      <c r="T209" s="13"/>
      <c r="U209" s="13"/>
      <c r="V209" s="13"/>
      <c r="W209" s="13"/>
      <c r="X209" s="13"/>
      <c r="Y209" s="13"/>
    </row>
    <row r="210" customFormat="false" ht="15" hidden="false" customHeight="false" outlineLevel="0" collapsed="false">
      <c r="G210" s="13"/>
      <c r="H210" s="13"/>
      <c r="I210" s="13"/>
      <c r="J210" s="13"/>
      <c r="K210" s="13"/>
      <c r="L210" s="13"/>
      <c r="M210" s="13"/>
      <c r="S210" s="14"/>
      <c r="T210" s="13"/>
      <c r="U210" s="13"/>
      <c r="V210" s="13"/>
      <c r="W210" s="13"/>
      <c r="X210" s="13"/>
      <c r="Y210" s="13"/>
    </row>
    <row r="211" customFormat="false" ht="15" hidden="false" customHeight="false" outlineLevel="0" collapsed="false">
      <c r="G211" s="13"/>
      <c r="H211" s="13"/>
      <c r="I211" s="13"/>
      <c r="J211" s="13"/>
      <c r="K211" s="13"/>
      <c r="L211" s="13"/>
      <c r="M211" s="13"/>
      <c r="S211" s="14"/>
      <c r="T211" s="13"/>
      <c r="U211" s="13"/>
      <c r="V211" s="13"/>
      <c r="W211" s="13"/>
      <c r="X211" s="13"/>
      <c r="Y211" s="13"/>
    </row>
    <row r="212" customFormat="false" ht="15" hidden="false" customHeight="false" outlineLevel="0" collapsed="false">
      <c r="G212" s="13"/>
      <c r="H212" s="13"/>
      <c r="I212" s="13"/>
      <c r="J212" s="13"/>
      <c r="K212" s="13"/>
      <c r="L212" s="13"/>
      <c r="M212" s="13"/>
      <c r="S212" s="14"/>
      <c r="T212" s="13"/>
      <c r="U212" s="13"/>
      <c r="V212" s="13"/>
      <c r="W212" s="13"/>
      <c r="X212" s="13"/>
      <c r="Y212" s="13"/>
    </row>
    <row r="213" customFormat="false" ht="15" hidden="false" customHeight="false" outlineLevel="0" collapsed="false">
      <c r="G213" s="13"/>
      <c r="H213" s="13"/>
      <c r="I213" s="13"/>
      <c r="J213" s="13"/>
      <c r="K213" s="13"/>
      <c r="L213" s="13"/>
      <c r="M213" s="13"/>
      <c r="S213" s="14"/>
      <c r="T213" s="13"/>
      <c r="U213" s="13"/>
      <c r="V213" s="13"/>
      <c r="W213" s="13"/>
      <c r="X213" s="13"/>
      <c r="Y213" s="13"/>
    </row>
    <row r="214" customFormat="false" ht="15" hidden="false" customHeight="false" outlineLevel="0" collapsed="false">
      <c r="G214" s="13"/>
      <c r="H214" s="13"/>
      <c r="I214" s="13"/>
      <c r="J214" s="13"/>
      <c r="K214" s="13"/>
      <c r="L214" s="13"/>
      <c r="M214" s="13"/>
      <c r="S214" s="14"/>
      <c r="T214" s="13"/>
      <c r="U214" s="13"/>
      <c r="V214" s="13"/>
      <c r="W214" s="13"/>
      <c r="X214" s="13"/>
      <c r="Y214" s="13"/>
    </row>
    <row r="215" customFormat="false" ht="15" hidden="false" customHeight="false" outlineLevel="0" collapsed="false">
      <c r="G215" s="19"/>
      <c r="H215" s="19"/>
      <c r="I215" s="19"/>
      <c r="J215" s="19"/>
      <c r="K215" s="19"/>
      <c r="L215" s="19"/>
      <c r="M215" s="19"/>
      <c r="S215" s="20"/>
      <c r="T215" s="19"/>
      <c r="U215" s="19"/>
      <c r="V215" s="19"/>
      <c r="W215" s="19"/>
      <c r="X215" s="19"/>
      <c r="Y215" s="19"/>
    </row>
  </sheetData>
  <mergeCells count="126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55" colorId="64" zoomScale="100" zoomScaleNormal="100" zoomScalePageLayoutView="100" workbookViewId="0">
      <selection pane="topLeft" activeCell="E73" activeCellId="0" sqref="E73"/>
    </sheetView>
  </sheetViews>
  <sheetFormatPr defaultColWidth="8.859375" defaultRowHeight="15" customHeight="true" zeroHeight="false" outlineLevelRow="0" outlineLevelCol="0"/>
  <cols>
    <col collapsed="false" customWidth="true" hidden="false" outlineLevel="0" max="15" min="15" style="1" width="9.71"/>
  </cols>
  <sheetData>
    <row r="3" customFormat="false" ht="15" hidden="false" customHeight="false" outlineLevel="0" collapsed="false">
      <c r="G3" s="2" t="s">
        <v>0</v>
      </c>
      <c r="H3" s="3" t="s">
        <v>1</v>
      </c>
      <c r="I3" s="2" t="s">
        <v>2</v>
      </c>
      <c r="J3" s="4" t="n">
        <v>44872</v>
      </c>
      <c r="K3" s="5" t="n">
        <v>44878</v>
      </c>
      <c r="L3" s="6" t="s">
        <v>3</v>
      </c>
      <c r="M3" s="3" t="n">
        <v>2022</v>
      </c>
      <c r="P3" s="7" t="s">
        <v>4</v>
      </c>
      <c r="Q3" s="7" t="n">
        <v>0.4</v>
      </c>
      <c r="S3" s="2" t="s">
        <v>0</v>
      </c>
      <c r="T3" s="3" t="s">
        <v>1</v>
      </c>
      <c r="U3" s="2" t="s">
        <v>2</v>
      </c>
      <c r="V3" s="4" t="n">
        <v>44872</v>
      </c>
      <c r="W3" s="5" t="n">
        <v>44878</v>
      </c>
      <c r="X3" s="6" t="s">
        <v>3</v>
      </c>
      <c r="Y3" s="3" t="n">
        <v>2022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</v>
      </c>
      <c r="H22" s="13"/>
      <c r="I22" s="13"/>
      <c r="J22" s="13" t="n">
        <v>1</v>
      </c>
      <c r="K22" s="13"/>
      <c r="L22" s="13"/>
      <c r="M22" s="13"/>
      <c r="P22" s="12" t="s">
        <v>29</v>
      </c>
      <c r="Q22" s="12"/>
      <c r="R22" s="12"/>
      <c r="S22" s="14" t="n">
        <f aca="false">Tabella5213[[#This Row],[Colonna1]]*Q3</f>
        <v>0.8</v>
      </c>
      <c r="T22" s="14"/>
      <c r="U22" s="14"/>
      <c r="V22" s="14" t="n">
        <f aca="false">Tabella5213[[#This Row],[Colonna4]]*Q3</f>
        <v>0.4</v>
      </c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 t="n">
        <v>1</v>
      </c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 t="n">
        <f aca="false">Tabella5213[[#This Row],[Colonna7]]*Q3</f>
        <v>0.4</v>
      </c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 t="n">
        <v>2</v>
      </c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 t="n">
        <f aca="false">Tabella5213[[#This Row],[Colonna2]]*Q3</f>
        <v>0.8</v>
      </c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13" t="n">
        <v>1</v>
      </c>
      <c r="I41" s="13"/>
      <c r="J41" s="13"/>
      <c r="K41" s="13"/>
      <c r="L41" s="13" t="n">
        <v>1</v>
      </c>
      <c r="M41" s="13" t="n">
        <v>2</v>
      </c>
      <c r="P41" s="18" t="s">
        <v>48</v>
      </c>
      <c r="Q41" s="18"/>
      <c r="R41" s="18"/>
      <c r="S41" s="14" t="n">
        <f aca="false">Tabella5213[[#This Row],[Colonna1]]*Q3</f>
        <v>0.4</v>
      </c>
      <c r="T41" s="14" t="n">
        <f aca="false">Tabella5213[[#This Row],[Colonna2]]*Q3</f>
        <v>0.4</v>
      </c>
      <c r="U41" s="14"/>
      <c r="V41" s="14"/>
      <c r="W41" s="14"/>
      <c r="X41" s="14" t="n">
        <f aca="false">Tabella5213[[#This Row],[Colonna6]]*Q3</f>
        <v>0.4</v>
      </c>
      <c r="Y41" s="14" t="n">
        <f aca="false">Tabella5213[[#This Row],[Colonna7]]*Q3</f>
        <v>0.8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</v>
      </c>
      <c r="H44" s="13" t="n">
        <v>1</v>
      </c>
      <c r="I44" s="13"/>
      <c r="J44" s="13"/>
      <c r="K44" s="13"/>
      <c r="L44" s="13"/>
      <c r="M44" s="13"/>
      <c r="P44" s="12" t="s">
        <v>51</v>
      </c>
      <c r="Q44" s="12"/>
      <c r="R44" s="12"/>
      <c r="S44" s="14" t="n">
        <f aca="false">Tabella5213[[#This Row],[Colonna1]]*Q3</f>
        <v>0.4</v>
      </c>
      <c r="T44" s="14" t="n">
        <f aca="false">Tabella5213[[#This Row],[Colonna2]]*Q3</f>
        <v>0.4</v>
      </c>
      <c r="U44" s="14"/>
      <c r="V44" s="14"/>
      <c r="W44" s="14"/>
      <c r="X44" s="14"/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 t="n">
        <v>1</v>
      </c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 t="n">
        <f aca="false">Tabella5213[[#This Row],[Colonna2]]*$Q3</f>
        <v>0.4</v>
      </c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v>4</v>
      </c>
      <c r="H53" s="55" t="n">
        <v>5</v>
      </c>
      <c r="I53" s="55" t="n">
        <v>0</v>
      </c>
      <c r="J53" s="55" t="n">
        <v>1</v>
      </c>
      <c r="K53" s="55" t="n">
        <v>0</v>
      </c>
      <c r="L53" s="55" t="n">
        <v>1</v>
      </c>
      <c r="M53" s="55" t="n">
        <v>3</v>
      </c>
      <c r="P53" s="17" t="s">
        <v>60</v>
      </c>
      <c r="Q53" s="17"/>
      <c r="R53" s="17"/>
      <c r="S53" s="20" t="n">
        <f aca="false">Tabella5213[[#This Row],[Colonna1]]*$Q3</f>
        <v>1.6</v>
      </c>
      <c r="T53" s="20" t="n">
        <f aca="false">Tabella5213[[#This Row],[Colonna2]]*$Q3</f>
        <v>2</v>
      </c>
      <c r="U53" s="20" t="n">
        <f aca="false">Tabella5213[[#This Row],[Colonna3]]*$Q3</f>
        <v>0</v>
      </c>
      <c r="V53" s="20" t="n">
        <f aca="false">Tabella5213[[#This Row],[Colonna4]]*$Q3</f>
        <v>0.4</v>
      </c>
      <c r="W53" s="20" t="n">
        <f aca="false">Tabella5213[[#This Row],[Colonna5]]*$Q3</f>
        <v>0</v>
      </c>
      <c r="X53" s="20" t="n">
        <f aca="false">Tabella5213[[#This Row],[Colonna6]]*$Q3</f>
        <v>0.4</v>
      </c>
      <c r="Y53" s="20" t="n">
        <f aca="false">Tabella5213[[#This Row],[Colonna7]]*$Q3</f>
        <v>1.2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66</v>
      </c>
      <c r="H58" s="26" t="n">
        <v>143</v>
      </c>
      <c r="I58" s="26" t="n">
        <v>62</v>
      </c>
      <c r="J58" s="26" t="n">
        <v>8</v>
      </c>
      <c r="K58" s="26" t="n">
        <v>48</v>
      </c>
      <c r="L58" s="26" t="n">
        <v>102</v>
      </c>
      <c r="M58" s="26" t="n">
        <v>213</v>
      </c>
      <c r="P58" s="23" t="s">
        <v>62</v>
      </c>
      <c r="Q58" s="23"/>
      <c r="R58" s="23"/>
      <c r="S58" s="57" t="n">
        <f aca="false">G58*$Q3</f>
        <v>26.4</v>
      </c>
      <c r="T58" s="57" t="n">
        <f aca="false">H58*$Q3</f>
        <v>57.2</v>
      </c>
      <c r="U58" s="57" t="n">
        <f aca="false">I58*$Q3</f>
        <v>24.8</v>
      </c>
      <c r="V58" s="57" t="n">
        <f aca="false">J58*$Q3</f>
        <v>3.2</v>
      </c>
      <c r="W58" s="57" t="n">
        <f aca="false">K58*$Q3</f>
        <v>19.2</v>
      </c>
      <c r="X58" s="57" t="n">
        <f aca="false">L58*$Q3</f>
        <v>40.8</v>
      </c>
      <c r="Y58" s="57" t="n">
        <f aca="false">M58*$Q3</f>
        <v>85.2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7</v>
      </c>
      <c r="H62" s="26" t="n">
        <v>19</v>
      </c>
      <c r="I62" s="26" t="n">
        <v>7</v>
      </c>
      <c r="J62" s="26" t="n">
        <v>5</v>
      </c>
      <c r="K62" s="26" t="n">
        <v>10</v>
      </c>
      <c r="L62" s="26" t="n">
        <v>8</v>
      </c>
      <c r="M62" s="26" t="n">
        <v>48</v>
      </c>
      <c r="P62" s="9" t="s">
        <v>66</v>
      </c>
      <c r="Q62" s="9"/>
      <c r="R62" s="9"/>
      <c r="S62" s="57" t="n">
        <f aca="false">G62*$Q3</f>
        <v>2.8</v>
      </c>
      <c r="T62" s="57" t="n">
        <f aca="false">H62*$Q3</f>
        <v>7.6</v>
      </c>
      <c r="U62" s="57" t="n">
        <f aca="false">I62*$Q3</f>
        <v>2.8</v>
      </c>
      <c r="V62" s="57" t="n">
        <f aca="false">J62*$Q3</f>
        <v>2</v>
      </c>
      <c r="W62" s="57" t="n">
        <f aca="false">K62*$Q3</f>
        <v>4</v>
      </c>
      <c r="X62" s="57" t="n">
        <f aca="false">L62*$Q3</f>
        <v>3.2</v>
      </c>
      <c r="Y62" s="57" t="n">
        <f aca="false">M62*$Q3</f>
        <v>19.2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4</v>
      </c>
      <c r="H63" s="26" t="n">
        <v>4</v>
      </c>
      <c r="I63" s="26" t="n">
        <v>2</v>
      </c>
      <c r="J63" s="26" t="n">
        <v>1</v>
      </c>
      <c r="K63" s="26" t="n">
        <v>2</v>
      </c>
      <c r="L63" s="26"/>
      <c r="M63" s="26" t="n">
        <v>5</v>
      </c>
      <c r="P63" s="9" t="s">
        <v>67</v>
      </c>
      <c r="Q63" s="9"/>
      <c r="R63" s="9"/>
      <c r="S63" s="57" t="n">
        <f aca="false">G63*$Q3</f>
        <v>1.6</v>
      </c>
      <c r="T63" s="57" t="n">
        <f aca="false">H63*$Q3</f>
        <v>1.6</v>
      </c>
      <c r="U63" s="57" t="n">
        <f aca="false">I63*$Q3</f>
        <v>0.8</v>
      </c>
      <c r="V63" s="57" t="n">
        <f aca="false">J63*$Q3</f>
        <v>0.4</v>
      </c>
      <c r="W63" s="57" t="n">
        <f aca="false">K63*$Q3</f>
        <v>0.8</v>
      </c>
      <c r="X63" s="57"/>
      <c r="Y63" s="57" t="n">
        <f aca="false">M63*$Q3</f>
        <v>2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6</v>
      </c>
      <c r="H64" s="26" t="n">
        <v>9</v>
      </c>
      <c r="I64" s="26" t="n">
        <v>3</v>
      </c>
      <c r="J64" s="26" t="n">
        <v>2</v>
      </c>
      <c r="K64" s="26" t="n">
        <v>1</v>
      </c>
      <c r="L64" s="26"/>
      <c r="M64" s="26" t="n">
        <v>3</v>
      </c>
      <c r="P64" s="9" t="s">
        <v>68</v>
      </c>
      <c r="Q64" s="9"/>
      <c r="R64" s="9"/>
      <c r="S64" s="57" t="n">
        <f aca="false">G65*$Q3</f>
        <v>0.4</v>
      </c>
      <c r="T64" s="57"/>
      <c r="U64" s="57" t="n">
        <f aca="false">I65*$Q3</f>
        <v>0.8</v>
      </c>
      <c r="V64" s="57" t="n">
        <f aca="false">J65*$Q3</f>
        <v>1.6</v>
      </c>
      <c r="W64" s="57" t="n">
        <f aca="false">K65*$Q3</f>
        <v>0.4</v>
      </c>
      <c r="X64" s="57"/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1</v>
      </c>
      <c r="H65" s="26"/>
      <c r="I65" s="26" t="n">
        <v>2</v>
      </c>
      <c r="J65" s="26" t="n">
        <v>4</v>
      </c>
      <c r="K65" s="26" t="n">
        <v>1</v>
      </c>
      <c r="L65" s="26"/>
      <c r="M65" s="26"/>
      <c r="P65" s="9" t="s">
        <v>69</v>
      </c>
      <c r="Q65" s="9"/>
      <c r="R65" s="9"/>
      <c r="S65" s="57"/>
      <c r="T65" s="27"/>
      <c r="U65" s="27"/>
      <c r="V65" s="27"/>
      <c r="W65" s="27"/>
      <c r="X65" s="2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 t="n">
        <v>2</v>
      </c>
      <c r="K66" s="26"/>
      <c r="L66" s="26"/>
      <c r="M66" s="26" t="n">
        <v>1</v>
      </c>
      <c r="P66" s="9" t="s">
        <v>70</v>
      </c>
      <c r="Q66" s="9"/>
      <c r="R66" s="9"/>
      <c r="S66" s="57"/>
      <c r="T66" s="27"/>
      <c r="U66" s="27"/>
      <c r="V66" s="27" t="n">
        <f aca="false">J66*$Q3</f>
        <v>0.8</v>
      </c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15</v>
      </c>
      <c r="H67" s="26" t="n">
        <v>42</v>
      </c>
      <c r="I67" s="26" t="n">
        <v>9</v>
      </c>
      <c r="J67" s="26" t="n">
        <v>3</v>
      </c>
      <c r="K67" s="26" t="n">
        <v>76</v>
      </c>
      <c r="L67" s="26" t="n">
        <v>35</v>
      </c>
      <c r="M67" s="26" t="n">
        <v>72</v>
      </c>
      <c r="P67" s="9" t="s">
        <v>71</v>
      </c>
      <c r="Q67" s="9"/>
      <c r="R67" s="9"/>
      <c r="S67" s="57" t="n">
        <f aca="false">G67*$Q3</f>
        <v>6</v>
      </c>
      <c r="T67" s="57" t="n">
        <f aca="false">H67*$Q3</f>
        <v>16.8</v>
      </c>
      <c r="U67" s="57" t="n">
        <f aca="false">I67*$Q3</f>
        <v>3.6</v>
      </c>
      <c r="V67" s="57" t="n">
        <f aca="false">J67*$Q3</f>
        <v>1.2</v>
      </c>
      <c r="W67" s="57" t="n">
        <f aca="false">K67*$Q3</f>
        <v>30.4</v>
      </c>
      <c r="X67" s="57" t="n">
        <f aca="false">L67*$Q3</f>
        <v>14</v>
      </c>
      <c r="Y67" s="57" t="n">
        <f aca="false">M67*$Q3</f>
        <v>28.8</v>
      </c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 t="n">
        <v>5</v>
      </c>
      <c r="I68" s="30" t="n">
        <v>2</v>
      </c>
      <c r="J68" s="30"/>
      <c r="K68" s="30" t="n">
        <v>1</v>
      </c>
      <c r="L68" s="30" t="n">
        <v>2</v>
      </c>
      <c r="M68" s="30" t="n">
        <v>1</v>
      </c>
      <c r="P68" s="9" t="s">
        <v>72</v>
      </c>
      <c r="Q68" s="9"/>
      <c r="R68" s="9"/>
      <c r="S68" s="59"/>
      <c r="T68" s="31" t="n">
        <f aca="false">H68*$Q3</f>
        <v>2</v>
      </c>
      <c r="U68" s="31" t="n">
        <f aca="false">I68*$Q3</f>
        <v>0.8</v>
      </c>
      <c r="V68" s="31"/>
      <c r="W68" s="31" t="n">
        <f aca="false">K68*$Q3</f>
        <v>0.4</v>
      </c>
      <c r="X68" s="31" t="n">
        <f aca="false">L68*$Q3</f>
        <v>0.8</v>
      </c>
      <c r="Y68" s="31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 t="n">
        <v>1</v>
      </c>
      <c r="J69" s="30"/>
      <c r="K69" s="30"/>
      <c r="L69" s="30"/>
      <c r="M69" s="30"/>
      <c r="P69" s="9" t="s">
        <v>73</v>
      </c>
      <c r="Q69" s="9"/>
      <c r="R69" s="9"/>
      <c r="S69" s="59"/>
      <c r="T69" s="31"/>
      <c r="U69" s="31"/>
      <c r="V69" s="31"/>
      <c r="W69" s="31"/>
      <c r="X69" s="31"/>
      <c r="Y69" s="31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SUM(G58,G62,G63,G64,G65,G67)</f>
        <v>99</v>
      </c>
      <c r="H70" s="12" t="n">
        <f aca="false">SUM(H58,H62,H63,H64,H67,H68)</f>
        <v>222</v>
      </c>
      <c r="I70" s="12" t="n">
        <f aca="false">SUM(I58,I62,I63,I64,I65,I67,I68,I69)</f>
        <v>88</v>
      </c>
      <c r="J70" s="12" t="n">
        <f aca="false">SUM(J58,J62,J63,J64,J65,J66,J67)</f>
        <v>25</v>
      </c>
      <c r="K70" s="12" t="n">
        <f aca="false">SUM(K58,K62,K63,K64,K65,K67,K68)</f>
        <v>139</v>
      </c>
      <c r="L70" s="12" t="n">
        <f aca="false">SUM(L58,L62,L67,L68)</f>
        <v>147</v>
      </c>
      <c r="M70" s="12" t="n">
        <f aca="false">SUM(M58,M62,M63,M64,M66,M67,M68)</f>
        <v>343</v>
      </c>
      <c r="P70" s="9" t="s">
        <v>60</v>
      </c>
      <c r="Q70" s="9"/>
      <c r="R70" s="9"/>
      <c r="S70" s="61" t="n">
        <f aca="false">G70*$Q3</f>
        <v>39.6</v>
      </c>
      <c r="T70" s="61" t="n">
        <f aca="false">H70*$Q3</f>
        <v>88.8</v>
      </c>
      <c r="U70" s="61" t="n">
        <f aca="false">I70*$Q3</f>
        <v>35.2</v>
      </c>
      <c r="V70" s="61" t="n">
        <f aca="false">J70*$Q3</f>
        <v>10</v>
      </c>
      <c r="W70" s="61" t="n">
        <f aca="false">K70*$Q3</f>
        <v>55.6</v>
      </c>
      <c r="X70" s="61" t="n">
        <f aca="false">L70*$Q3</f>
        <v>58.8</v>
      </c>
      <c r="Y70" s="61" t="n">
        <f aca="false">M70*$Q3</f>
        <v>137.2</v>
      </c>
    </row>
    <row r="76" customFormat="false" ht="15" hidden="false" customHeight="false" outlineLevel="0" collapsed="false">
      <c r="F76" s="34" t="s">
        <v>74</v>
      </c>
      <c r="G76" s="34"/>
      <c r="H76" s="35" t="s">
        <v>75</v>
      </c>
      <c r="I76" s="35" t="s">
        <v>76</v>
      </c>
      <c r="J76" s="35" t="s">
        <v>77</v>
      </c>
      <c r="K76" s="35" t="s">
        <v>78</v>
      </c>
      <c r="L76" s="35" t="s">
        <v>79</v>
      </c>
      <c r="M76" s="35" t="s">
        <v>80</v>
      </c>
      <c r="N76" s="35"/>
      <c r="O76" s="35" t="s">
        <v>81</v>
      </c>
      <c r="P76" s="35" t="s">
        <v>82</v>
      </c>
      <c r="Q76" s="35" t="s">
        <v>83</v>
      </c>
      <c r="R76" s="35" t="s">
        <v>84</v>
      </c>
      <c r="S76" s="35" t="s">
        <v>85</v>
      </c>
      <c r="T76" s="35" t="s">
        <v>86</v>
      </c>
      <c r="U76" s="35"/>
      <c r="V76" s="37" t="s">
        <v>87</v>
      </c>
    </row>
    <row r="77" customFormat="false" ht="15" hidden="false" customHeight="false" outlineLevel="0" collapsed="false">
      <c r="F77" s="38" t="n">
        <v>44872</v>
      </c>
      <c r="G77" s="38"/>
      <c r="H77" s="62" t="n">
        <v>7.8</v>
      </c>
      <c r="I77" s="62" t="n">
        <v>16</v>
      </c>
      <c r="J77" s="62" t="n">
        <v>12</v>
      </c>
      <c r="K77" s="62" t="n">
        <v>17.4</v>
      </c>
      <c r="L77" s="62" t="n">
        <v>6.9</v>
      </c>
      <c r="M77" s="63" t="n">
        <v>12.15</v>
      </c>
      <c r="N77" s="13"/>
      <c r="O77" s="13" t="n">
        <v>82</v>
      </c>
      <c r="P77" s="13" t="n">
        <v>52</v>
      </c>
      <c r="Q77" s="13" t="n">
        <v>76</v>
      </c>
      <c r="R77" s="62" t="n">
        <v>70</v>
      </c>
      <c r="S77" s="64" t="n">
        <v>88</v>
      </c>
      <c r="T77" s="64" t="n">
        <v>50</v>
      </c>
      <c r="U77" s="13"/>
      <c r="V77" s="65" t="n">
        <v>0</v>
      </c>
    </row>
    <row r="78" customFormat="false" ht="15" hidden="false" customHeight="false" outlineLevel="0" collapsed="false">
      <c r="F78" s="38" t="n">
        <v>44873</v>
      </c>
      <c r="G78" s="38"/>
      <c r="H78" s="62" t="n">
        <v>9.8</v>
      </c>
      <c r="I78" s="62" t="n">
        <v>15.9</v>
      </c>
      <c r="J78" s="62" t="n">
        <v>12.9</v>
      </c>
      <c r="K78" s="62" t="n">
        <v>16.7</v>
      </c>
      <c r="L78" s="62" t="n">
        <v>9</v>
      </c>
      <c r="M78" s="63" t="n">
        <v>12.85</v>
      </c>
      <c r="N78" s="13"/>
      <c r="O78" s="13" t="n">
        <v>87</v>
      </c>
      <c r="P78" s="13" t="n">
        <v>55</v>
      </c>
      <c r="Q78" s="13" t="n">
        <v>78</v>
      </c>
      <c r="R78" s="62" t="n">
        <v>73.3</v>
      </c>
      <c r="S78" s="64" t="n">
        <v>89</v>
      </c>
      <c r="T78" s="64" t="n">
        <v>54</v>
      </c>
      <c r="U78" s="13"/>
      <c r="V78" s="65" t="n">
        <v>0</v>
      </c>
    </row>
    <row r="79" customFormat="false" ht="15" hidden="false" customHeight="false" outlineLevel="0" collapsed="false">
      <c r="F79" s="38" t="n">
        <v>44874</v>
      </c>
      <c r="G79" s="38"/>
      <c r="H79" s="62" t="n">
        <v>12.1</v>
      </c>
      <c r="I79" s="62" t="n">
        <v>14.8</v>
      </c>
      <c r="J79" s="62" t="n">
        <v>13</v>
      </c>
      <c r="K79" s="62" t="n">
        <v>15</v>
      </c>
      <c r="L79" s="62" t="n">
        <v>12</v>
      </c>
      <c r="M79" s="63" t="n">
        <v>13.5</v>
      </c>
      <c r="N79" s="13"/>
      <c r="O79" s="13" t="n">
        <v>88</v>
      </c>
      <c r="P79" s="13" t="n">
        <v>76</v>
      </c>
      <c r="Q79" s="13" t="n">
        <v>88</v>
      </c>
      <c r="R79" s="62" t="n">
        <v>84</v>
      </c>
      <c r="S79" s="64" t="n">
        <v>93</v>
      </c>
      <c r="T79" s="64" t="n">
        <v>74</v>
      </c>
      <c r="U79" s="13"/>
      <c r="V79" s="65" t="n">
        <v>0.4</v>
      </c>
    </row>
    <row r="80" customFormat="false" ht="15" hidden="false" customHeight="false" outlineLevel="0" collapsed="false">
      <c r="F80" s="38" t="n">
        <v>44875</v>
      </c>
      <c r="G80" s="38"/>
      <c r="H80" s="62" t="n">
        <v>11.6</v>
      </c>
      <c r="I80" s="62" t="n">
        <v>14.5</v>
      </c>
      <c r="J80" s="62" t="n">
        <v>14</v>
      </c>
      <c r="K80" s="62" t="n">
        <v>14.8</v>
      </c>
      <c r="L80" s="62" t="n">
        <v>11.4</v>
      </c>
      <c r="M80" s="63" t="n">
        <v>13.1</v>
      </c>
      <c r="N80" s="13"/>
      <c r="O80" s="13" t="n">
        <v>93</v>
      </c>
      <c r="P80" s="13" t="n">
        <v>81</v>
      </c>
      <c r="Q80" s="13" t="n">
        <v>89</v>
      </c>
      <c r="R80" s="62" t="n">
        <v>87.7</v>
      </c>
      <c r="S80" s="64" t="n">
        <v>93</v>
      </c>
      <c r="T80" s="64" t="n">
        <v>80</v>
      </c>
      <c r="U80" s="13"/>
      <c r="V80" s="65" t="n">
        <v>2.8</v>
      </c>
    </row>
    <row r="81" customFormat="false" ht="15" hidden="false" customHeight="false" outlineLevel="0" collapsed="false">
      <c r="F81" s="38" t="n">
        <v>44876</v>
      </c>
      <c r="G81" s="38"/>
      <c r="H81" s="62" t="n">
        <v>12</v>
      </c>
      <c r="I81" s="62" t="n">
        <v>16.7</v>
      </c>
      <c r="J81" s="62" t="n">
        <v>13</v>
      </c>
      <c r="K81" s="62" t="n">
        <v>16.7</v>
      </c>
      <c r="L81" s="62" t="n">
        <v>11.2</v>
      </c>
      <c r="M81" s="63" t="n">
        <v>13.95</v>
      </c>
      <c r="N81" s="13"/>
      <c r="O81" s="13" t="n">
        <v>92</v>
      </c>
      <c r="P81" s="13" t="n">
        <v>70</v>
      </c>
      <c r="Q81" s="13" t="n">
        <v>91</v>
      </c>
      <c r="R81" s="62" t="n">
        <v>84.3</v>
      </c>
      <c r="S81" s="64" t="n">
        <v>93</v>
      </c>
      <c r="T81" s="64" t="n">
        <v>70</v>
      </c>
      <c r="U81" s="13"/>
      <c r="V81" s="65" t="n">
        <v>0</v>
      </c>
    </row>
    <row r="82" customFormat="false" ht="15" hidden="false" customHeight="false" outlineLevel="0" collapsed="false">
      <c r="F82" s="38" t="n">
        <v>44877</v>
      </c>
      <c r="G82" s="38"/>
      <c r="H82" s="62" t="n">
        <v>11</v>
      </c>
      <c r="I82" s="62" t="n">
        <v>14</v>
      </c>
      <c r="J82" s="62" t="n">
        <v>12.3</v>
      </c>
      <c r="K82" s="62" t="n">
        <v>14.1</v>
      </c>
      <c r="L82" s="62" t="n">
        <v>10.3</v>
      </c>
      <c r="M82" s="63" t="n">
        <v>12.2</v>
      </c>
      <c r="N82" s="13"/>
      <c r="O82" s="13" t="n">
        <v>79</v>
      </c>
      <c r="P82" s="13" t="n">
        <v>76</v>
      </c>
      <c r="Q82" s="13" t="n">
        <v>90</v>
      </c>
      <c r="R82" s="62" t="n">
        <v>81.7</v>
      </c>
      <c r="S82" s="64" t="n">
        <v>92</v>
      </c>
      <c r="T82" s="64" t="n">
        <v>70</v>
      </c>
      <c r="U82" s="13"/>
      <c r="V82" s="65" t="n">
        <v>0</v>
      </c>
    </row>
    <row r="83" customFormat="false" ht="15" hidden="false" customHeight="false" outlineLevel="0" collapsed="false">
      <c r="F83" s="45" t="n">
        <v>44878</v>
      </c>
      <c r="G83" s="45"/>
      <c r="H83" s="66" t="n">
        <v>8.5</v>
      </c>
      <c r="I83" s="66" t="n">
        <v>13.9</v>
      </c>
      <c r="J83" s="66" t="n">
        <v>12.3</v>
      </c>
      <c r="K83" s="66" t="n">
        <v>14</v>
      </c>
      <c r="L83" s="66" t="n">
        <v>7.7</v>
      </c>
      <c r="M83" s="67" t="n">
        <v>10.85</v>
      </c>
      <c r="N83" s="49"/>
      <c r="O83" s="49" t="n">
        <v>89</v>
      </c>
      <c r="P83" s="49" t="n">
        <v>63</v>
      </c>
      <c r="Q83" s="49" t="n">
        <v>79</v>
      </c>
      <c r="R83" s="66" t="n">
        <v>77</v>
      </c>
      <c r="S83" s="68" t="n">
        <v>92</v>
      </c>
      <c r="T83" s="68" t="n">
        <v>62</v>
      </c>
      <c r="U83" s="49"/>
      <c r="V83" s="69" t="n">
        <v>0.2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AB83"/>
  <sheetViews>
    <sheetView showFormulas="false" showGridLines="true" showRowColHeaders="true" showZeros="true" rightToLeft="false" tabSelected="false" showOutlineSymbols="true" defaultGridColor="true" view="normal" topLeftCell="B45" colorId="64" zoomScale="100" zoomScaleNormal="100" zoomScalePageLayoutView="100" workbookViewId="0">
      <selection pane="topLeft" activeCell="T50" activeCellId="0" sqref="T50"/>
    </sheetView>
  </sheetViews>
  <sheetFormatPr defaultColWidth="8.859375" defaultRowHeight="15" customHeight="true" zeroHeight="false" outlineLevelRow="0" outlineLevelCol="0"/>
  <cols>
    <col collapsed="false" customWidth="true" hidden="false" outlineLevel="0" max="4" min="3" style="1" width="9.14"/>
    <col collapsed="false" customWidth="true" hidden="false" outlineLevel="0" max="5" min="5" style="1" width="8.42"/>
    <col collapsed="false" customWidth="true" hidden="false" outlineLevel="0" max="11" min="6" style="1" width="9.14"/>
  </cols>
  <sheetData>
    <row r="3" customFormat="false" ht="15" hidden="false" customHeight="false" outlineLevel="0" collapsed="false">
      <c r="G3" s="2" t="s">
        <v>0</v>
      </c>
      <c r="H3" s="3" t="s">
        <v>1</v>
      </c>
      <c r="I3" s="2" t="s">
        <v>2</v>
      </c>
      <c r="J3" s="4" t="n">
        <v>44879</v>
      </c>
      <c r="K3" s="5" t="n">
        <v>44885</v>
      </c>
      <c r="L3" s="6" t="s">
        <v>3</v>
      </c>
      <c r="M3" s="3" t="n">
        <v>2022</v>
      </c>
      <c r="P3" s="7" t="s">
        <v>4</v>
      </c>
      <c r="Q3" s="7" t="n">
        <v>0.4</v>
      </c>
      <c r="S3" s="2" t="s">
        <v>0</v>
      </c>
      <c r="T3" s="3" t="s">
        <v>1</v>
      </c>
      <c r="U3" s="2" t="s">
        <v>2</v>
      </c>
      <c r="V3" s="4" t="n">
        <v>44879</v>
      </c>
      <c r="W3" s="5" t="n">
        <v>44885</v>
      </c>
      <c r="X3" s="6" t="s">
        <v>3</v>
      </c>
      <c r="Y3" s="3" t="n">
        <v>2022</v>
      </c>
      <c r="Z3" s="33"/>
      <c r="AA3" s="7"/>
    </row>
    <row r="5" customFormat="false" ht="15" hidden="false" customHeight="false" outlineLevel="0" collapsed="false">
      <c r="C5" s="7"/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  <c r="Z5" s="13"/>
      <c r="AA5" s="13"/>
      <c r="AB5" s="13"/>
    </row>
    <row r="6" customFormat="false" ht="15" hidden="false" customHeight="false" outlineLevel="0" collapsed="false">
      <c r="C6" s="70"/>
      <c r="D6" s="9" t="s">
        <v>13</v>
      </c>
      <c r="E6" s="9"/>
      <c r="F6" s="9"/>
      <c r="P6" s="9" t="s">
        <v>13</v>
      </c>
      <c r="Q6" s="9"/>
      <c r="R6" s="9"/>
    </row>
    <row r="7" customFormat="false" ht="15" hidden="false" customHeight="false" outlineLevel="0" collapsed="false">
      <c r="C7" s="71"/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 t="n">
        <v>2</v>
      </c>
      <c r="I15" s="13" t="n">
        <v>1</v>
      </c>
      <c r="J15" s="13"/>
      <c r="K15" s="13"/>
      <c r="L15" s="13"/>
      <c r="M15" s="13"/>
      <c r="P15" s="12" t="s">
        <v>22</v>
      </c>
      <c r="Q15" s="12"/>
      <c r="R15" s="12"/>
      <c r="S15" s="13"/>
      <c r="T15" s="14" t="n">
        <f aca="false">Tabella527911[[#This Row],[Colonna2]]*$Q3</f>
        <v>0.8</v>
      </c>
      <c r="U15" s="14" t="n">
        <f aca="false">Tabella527911[[#This Row],[Colonna3]]*$Q3</f>
        <v>0.4</v>
      </c>
      <c r="V15" s="13"/>
      <c r="W15" s="13"/>
      <c r="X15" s="13"/>
      <c r="Y15" s="13"/>
      <c r="Z15" s="13"/>
      <c r="AA15" s="13"/>
      <c r="AB15" s="13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</v>
      </c>
      <c r="H22" s="13" t="n">
        <v>2</v>
      </c>
      <c r="I22" s="13" t="n">
        <v>4</v>
      </c>
      <c r="J22" s="13" t="n">
        <v>10</v>
      </c>
      <c r="K22" s="13" t="n">
        <v>6</v>
      </c>
      <c r="L22" s="13" t="n">
        <v>6</v>
      </c>
      <c r="M22" s="13" t="n">
        <v>2</v>
      </c>
      <c r="P22" s="12" t="s">
        <v>29</v>
      </c>
      <c r="Q22" s="12"/>
      <c r="R22" s="12"/>
      <c r="S22" s="14" t="n">
        <f aca="false">Tabella527911[[#This Row],[Colonna1]]*$Q3</f>
        <v>0.8</v>
      </c>
      <c r="T22" s="14" t="n">
        <f aca="false">Tabella527911[[#This Row],[Colonna2]]*$Q3</f>
        <v>0.8</v>
      </c>
      <c r="U22" s="14" t="n">
        <f aca="false">Tabella527911[[#This Row],[Colonna3]]*$Q3</f>
        <v>1.6</v>
      </c>
      <c r="V22" s="14" t="n">
        <f aca="false">Tabella527911[[#This Row],[Colonna4]]*$Q3</f>
        <v>4</v>
      </c>
      <c r="W22" s="14" t="n">
        <f aca="false">Tabella527911[[#This Row],[Colonna5]]*$Q3</f>
        <v>2.4</v>
      </c>
      <c r="X22" s="14" t="n">
        <f aca="false">Tabella527911[[#This Row],[Colonna6]]*$Q3</f>
        <v>2.4</v>
      </c>
      <c r="Y22" s="14" t="n">
        <f aca="false">Tabella527911[[#This Row],[Colonna7]]*$Q3</f>
        <v>0.8</v>
      </c>
      <c r="Z22" s="13"/>
      <c r="AA22" s="13"/>
      <c r="AB22" s="13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customFormat="false" ht="15" hidden="false" customHeight="false" outlineLevel="0" collapsed="false">
      <c r="D25" s="12" t="s">
        <v>32</v>
      </c>
      <c r="E25" s="12"/>
      <c r="F25" s="12"/>
      <c r="G25" s="13" t="n">
        <v>1</v>
      </c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 t="n">
        <f aca="false">Tabella527911[[#This Row],[Colonna1]]*$Q3</f>
        <v>0.4</v>
      </c>
      <c r="T25" s="13"/>
      <c r="U25" s="13"/>
      <c r="V25" s="13"/>
      <c r="W25" s="13"/>
      <c r="X25" s="13"/>
      <c r="Y25" s="13"/>
      <c r="Z25" s="13"/>
      <c r="AA25" s="13"/>
      <c r="AB25" s="13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1</v>
      </c>
      <c r="H26" s="13"/>
      <c r="I26" s="13" t="n">
        <v>1</v>
      </c>
      <c r="J26" s="13" t="n">
        <v>1</v>
      </c>
      <c r="K26" s="13"/>
      <c r="L26" s="13"/>
      <c r="M26" s="13"/>
      <c r="P26" s="12" t="s">
        <v>33</v>
      </c>
      <c r="Q26" s="12"/>
      <c r="R26" s="12"/>
      <c r="S26" s="14" t="n">
        <f aca="false">Tabella527911[[#This Row],[Colonna1]]*$Q3</f>
        <v>0.4</v>
      </c>
      <c r="T26" s="14"/>
      <c r="U26" s="14" t="n">
        <f aca="false">Tabella527911[[#This Row],[Colonna3]]*$Q3</f>
        <v>0.4</v>
      </c>
      <c r="V26" s="14" t="n">
        <f aca="false">Tabella527911[[#This Row],[Colonna4]]*$Q3</f>
        <v>0.4</v>
      </c>
      <c r="W26" s="13"/>
      <c r="X26" s="13"/>
      <c r="Y26" s="13"/>
      <c r="Z26" s="13"/>
      <c r="AA26" s="13"/>
      <c r="AB26" s="13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2</v>
      </c>
      <c r="H27" s="13" t="n">
        <v>1</v>
      </c>
      <c r="I27" s="13" t="n">
        <v>2</v>
      </c>
      <c r="J27" s="13" t="n">
        <v>1</v>
      </c>
      <c r="K27" s="13" t="n">
        <v>2</v>
      </c>
      <c r="L27" s="13"/>
      <c r="M27" s="13" t="n">
        <v>1</v>
      </c>
      <c r="P27" s="12" t="s">
        <v>34</v>
      </c>
      <c r="Q27" s="12"/>
      <c r="R27" s="12"/>
      <c r="S27" s="14" t="n">
        <f aca="false">Tabella527911[[#This Row],[Colonna1]]*$Q3</f>
        <v>0.8</v>
      </c>
      <c r="T27" s="14" t="n">
        <f aca="false">Tabella527911[[#This Row],[Colonna2]]*$Q3</f>
        <v>0.4</v>
      </c>
      <c r="U27" s="14" t="n">
        <f aca="false">Tabella527911[[#This Row],[Colonna3]]*$Q3</f>
        <v>0.8</v>
      </c>
      <c r="V27" s="14" t="n">
        <f aca="false">Tabella527911[[#This Row],[Colonna4]]*$Q3</f>
        <v>0.4</v>
      </c>
      <c r="W27" s="14" t="n">
        <f aca="false">Tabella527911[[#This Row],[Colonna5]]*$Q3</f>
        <v>0.8</v>
      </c>
      <c r="X27" s="14"/>
      <c r="Y27" s="14" t="n">
        <f aca="false">Tabella527911[[#This Row],[Colonna7]]*$Q3</f>
        <v>0.4</v>
      </c>
      <c r="Z27" s="13"/>
      <c r="AA27" s="13"/>
      <c r="AB27" s="13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3"/>
      <c r="U28" s="13"/>
      <c r="V28" s="13"/>
      <c r="W28" s="13"/>
      <c r="X28" s="13"/>
      <c r="Y28" s="13"/>
      <c r="Z28" s="13"/>
      <c r="AA28" s="13"/>
      <c r="AB28" s="13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3"/>
      <c r="U29" s="13"/>
      <c r="V29" s="13"/>
      <c r="W29" s="13"/>
      <c r="X29" s="13"/>
      <c r="Y29" s="13"/>
      <c r="Z29" s="13"/>
      <c r="AA29" s="13"/>
      <c r="AB29" s="13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3"/>
      <c r="U30" s="13"/>
      <c r="V30" s="13"/>
      <c r="W30" s="13"/>
      <c r="X30" s="13"/>
      <c r="Y30" s="13"/>
      <c r="Z30" s="13"/>
      <c r="AA30" s="13"/>
      <c r="AB30" s="13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3"/>
      <c r="U31" s="13"/>
      <c r="V31" s="13"/>
      <c r="W31" s="13"/>
      <c r="X31" s="13"/>
      <c r="Y31" s="13"/>
      <c r="Z31" s="13"/>
      <c r="AA31" s="13"/>
      <c r="AB31" s="13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3"/>
      <c r="U32" s="13"/>
      <c r="V32" s="13"/>
      <c r="W32" s="13"/>
      <c r="X32" s="13"/>
      <c r="Y32" s="13"/>
      <c r="Z32" s="13"/>
      <c r="AA32" s="13"/>
      <c r="AB32" s="13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3"/>
      <c r="U33" s="13"/>
      <c r="V33" s="13"/>
      <c r="W33" s="13"/>
      <c r="X33" s="13"/>
      <c r="Y33" s="13"/>
      <c r="Z33" s="13"/>
      <c r="AA33" s="13"/>
      <c r="AB33" s="13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3"/>
      <c r="U34" s="13"/>
      <c r="V34" s="13"/>
      <c r="W34" s="13"/>
      <c r="X34" s="13"/>
      <c r="Y34" s="13"/>
      <c r="Z34" s="13"/>
      <c r="AA34" s="13"/>
      <c r="AB34" s="13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3"/>
      <c r="U35" s="13"/>
      <c r="V35" s="13"/>
      <c r="W35" s="13"/>
      <c r="X35" s="13"/>
      <c r="Y35" s="13"/>
      <c r="Z35" s="13"/>
      <c r="AA35" s="13"/>
      <c r="AB35" s="13"/>
    </row>
    <row r="36" customFormat="false" ht="15" hidden="false" customHeight="false" outlineLevel="0" collapsed="false">
      <c r="D36" s="16" t="s">
        <v>43</v>
      </c>
      <c r="E36" s="16"/>
      <c r="F36" s="16"/>
      <c r="G36" s="13" t="n">
        <v>2</v>
      </c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 t="n">
        <f aca="false">Tabella527911[[#This Row],[Colonna1]]*Q3</f>
        <v>0.8</v>
      </c>
      <c r="T36" s="13"/>
      <c r="U36" s="13"/>
      <c r="V36" s="13"/>
      <c r="W36" s="13"/>
      <c r="X36" s="13"/>
      <c r="Y36" s="13"/>
      <c r="Z36" s="13"/>
      <c r="AA36" s="13"/>
      <c r="AB36" s="13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3"/>
      <c r="U37" s="13"/>
      <c r="V37" s="13"/>
      <c r="W37" s="13"/>
      <c r="X37" s="13"/>
      <c r="Y37" s="13"/>
      <c r="Z37" s="13"/>
      <c r="AA37" s="13"/>
      <c r="AB37" s="13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3"/>
      <c r="U38" s="13"/>
      <c r="V38" s="13"/>
      <c r="W38" s="13"/>
      <c r="X38" s="13"/>
      <c r="Y38" s="13"/>
      <c r="Z38" s="13"/>
      <c r="AA38" s="13"/>
      <c r="AB38" s="13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 t="n">
        <v>1</v>
      </c>
      <c r="K39" s="13"/>
      <c r="L39" s="13"/>
      <c r="M39" s="13"/>
      <c r="P39" s="12" t="s">
        <v>46</v>
      </c>
      <c r="Q39" s="12"/>
      <c r="R39" s="12"/>
      <c r="S39" s="14"/>
      <c r="T39" s="13"/>
      <c r="U39" s="13"/>
      <c r="V39" s="14" t="n">
        <f aca="false">Tabella527911[[#This Row],[Colonna4]]*$Q3</f>
        <v>0.4</v>
      </c>
      <c r="W39" s="13"/>
      <c r="X39" s="13"/>
      <c r="Y39" s="13"/>
      <c r="Z39" s="13"/>
      <c r="AA39" s="13"/>
      <c r="AB39" s="13"/>
    </row>
    <row r="40" customFormat="false" ht="15" hidden="false" customHeight="false" outlineLevel="0" collapsed="false">
      <c r="D40" s="12" t="s">
        <v>47</v>
      </c>
      <c r="E40" s="12"/>
      <c r="F40" s="12"/>
      <c r="G40" s="13" t="n">
        <v>1</v>
      </c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 t="n">
        <f aca="false">Tabella527911[[#This Row],[Colonna1]]*Q3</f>
        <v>0.4</v>
      </c>
      <c r="T40" s="13"/>
      <c r="U40" s="13"/>
      <c r="V40" s="13"/>
      <c r="W40" s="13"/>
      <c r="X40" s="13"/>
      <c r="Y40" s="13"/>
      <c r="Z40" s="13"/>
      <c r="AA40" s="13"/>
      <c r="AB40" s="13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Tabella527911[[#This Row],[Colonna1]]*Q3</f>
        <v>0.4</v>
      </c>
      <c r="T41" s="13"/>
      <c r="U41" s="13"/>
      <c r="V41" s="13"/>
      <c r="W41" s="13"/>
      <c r="X41" s="13"/>
      <c r="Y41" s="13"/>
      <c r="Z41" s="13"/>
      <c r="AA41" s="13"/>
      <c r="AB41" s="13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3"/>
      <c r="U42" s="13"/>
      <c r="V42" s="13"/>
      <c r="W42" s="13"/>
      <c r="X42" s="13"/>
      <c r="Y42" s="13"/>
      <c r="Z42" s="13"/>
      <c r="AA42" s="13"/>
      <c r="AB42" s="13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 t="n">
        <v>4</v>
      </c>
      <c r="I43" s="13" t="n">
        <v>15</v>
      </c>
      <c r="J43" s="13"/>
      <c r="K43" s="13"/>
      <c r="L43" s="13"/>
      <c r="M43" s="13"/>
      <c r="P43" s="18" t="s">
        <v>50</v>
      </c>
      <c r="Q43" s="18"/>
      <c r="R43" s="18"/>
      <c r="S43" s="14"/>
      <c r="T43" s="14" t="n">
        <f aca="false">Tabella527911[[#This Row],[Colonna2]]*$Q3</f>
        <v>1.6</v>
      </c>
      <c r="U43" s="14" t="n">
        <f aca="false">Tabella527911[[#This Row],[Colonna3]]*$Q3</f>
        <v>6</v>
      </c>
      <c r="V43" s="13"/>
      <c r="W43" s="13"/>
      <c r="X43" s="13"/>
      <c r="Y43" s="13"/>
      <c r="Z43" s="13"/>
      <c r="AA43" s="13"/>
      <c r="AB43" s="13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3</v>
      </c>
      <c r="H44" s="13" t="n">
        <v>4</v>
      </c>
      <c r="I44" s="13" t="n">
        <v>1</v>
      </c>
      <c r="J44" s="13" t="n">
        <v>1</v>
      </c>
      <c r="K44" s="13" t="n">
        <v>8</v>
      </c>
      <c r="L44" s="13" t="n">
        <v>2</v>
      </c>
      <c r="M44" s="13" t="n">
        <v>2</v>
      </c>
      <c r="P44" s="12" t="s">
        <v>51</v>
      </c>
      <c r="Q44" s="12"/>
      <c r="R44" s="12"/>
      <c r="S44" s="14" t="n">
        <f aca="false">Tabella527911[[#This Row],[Colonna1]]*$Q3</f>
        <v>1.2</v>
      </c>
      <c r="T44" s="14" t="n">
        <f aca="false">Tabella527911[[#This Row],[Colonna2]]*$Q3</f>
        <v>1.6</v>
      </c>
      <c r="U44" s="14" t="n">
        <f aca="false">Tabella527911[[#This Row],[Colonna3]]*$Q3</f>
        <v>0.4</v>
      </c>
      <c r="V44" s="14" t="n">
        <f aca="false">Tabella527911[[#This Row],[Colonna4]]*$Q3</f>
        <v>0.4</v>
      </c>
      <c r="W44" s="14" t="n">
        <f aca="false">Tabella527911[[#This Row],[Colonna5]]*$Q3</f>
        <v>3.2</v>
      </c>
      <c r="X44" s="14" t="n">
        <f aca="false">Tabella527911[[#This Row],[Colonna6]]*$Q3</f>
        <v>0.8</v>
      </c>
      <c r="Y44" s="14" t="n">
        <f aca="false">Tabella527911[[#This Row],[Colonna7]]*$Q3</f>
        <v>0.8</v>
      </c>
      <c r="Z44" s="13"/>
      <c r="AA44" s="13"/>
      <c r="AB44" s="13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3"/>
      <c r="U45" s="13"/>
      <c r="V45" s="13"/>
      <c r="W45" s="13"/>
      <c r="X45" s="13"/>
      <c r="Y45" s="13"/>
      <c r="Z45" s="13"/>
      <c r="AA45" s="13"/>
      <c r="AB45" s="13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3"/>
      <c r="U46" s="13"/>
      <c r="V46" s="13"/>
      <c r="W46" s="13"/>
      <c r="X46" s="13"/>
      <c r="Y46" s="13"/>
      <c r="Z46" s="13"/>
      <c r="AA46" s="13"/>
      <c r="AB46" s="13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 t="n">
        <v>1</v>
      </c>
      <c r="J47" s="13" t="n">
        <v>5</v>
      </c>
      <c r="K47" s="13"/>
      <c r="L47" s="13" t="n">
        <v>2</v>
      </c>
      <c r="M47" s="13" t="n">
        <v>1</v>
      </c>
      <c r="P47" s="16" t="s">
        <v>54</v>
      </c>
      <c r="Q47" s="16"/>
      <c r="R47" s="16"/>
      <c r="S47" s="14"/>
      <c r="T47" s="13"/>
      <c r="U47" s="14" t="n">
        <f aca="false">Tabella527911[[#This Row],[Colonna3]]*$Q3</f>
        <v>0.4</v>
      </c>
      <c r="V47" s="14" t="n">
        <f aca="false">Tabella527911[[#This Row],[Colonna4]]*$Q3</f>
        <v>2</v>
      </c>
      <c r="W47" s="14"/>
      <c r="X47" s="14" t="n">
        <f aca="false">Tabella527911[[#This Row],[Colonna6]]*$Q3</f>
        <v>0.8</v>
      </c>
      <c r="Y47" s="14" t="n">
        <f aca="false">Tabella527911[[#This Row],[Colonna7]]*$Q3</f>
        <v>0.4</v>
      </c>
      <c r="Z47" s="13"/>
      <c r="AA47" s="13"/>
      <c r="AB47" s="13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3"/>
      <c r="U48" s="13"/>
      <c r="V48" s="13"/>
      <c r="W48" s="13"/>
      <c r="X48" s="13"/>
      <c r="Y48" s="13"/>
      <c r="Z48" s="13"/>
      <c r="AA48" s="13"/>
      <c r="AB48" s="13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3"/>
      <c r="U49" s="13"/>
      <c r="V49" s="13"/>
      <c r="W49" s="13"/>
      <c r="X49" s="13"/>
      <c r="Y49" s="13"/>
      <c r="Z49" s="13"/>
      <c r="AA49" s="13"/>
      <c r="AB49" s="13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 t="n">
        <v>1</v>
      </c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 t="n">
        <f aca="false">Tabella527911[[#This Row],[Colonna2]]*$Q3</f>
        <v>0.4</v>
      </c>
      <c r="U50" s="13"/>
      <c r="V50" s="13"/>
      <c r="W50" s="13"/>
      <c r="X50" s="13"/>
      <c r="Y50" s="13"/>
      <c r="Z50" s="13"/>
      <c r="AA50" s="13"/>
      <c r="AB50" s="13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3"/>
      <c r="U51" s="13"/>
      <c r="V51" s="13"/>
      <c r="W51" s="13"/>
      <c r="X51" s="13"/>
      <c r="Y51" s="13"/>
      <c r="Z51" s="13"/>
      <c r="AA51" s="13"/>
      <c r="AB51" s="13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3"/>
      <c r="U52" s="13"/>
      <c r="V52" s="13"/>
      <c r="W52" s="13"/>
      <c r="X52" s="13"/>
      <c r="Y52" s="13"/>
      <c r="Z52" s="13"/>
      <c r="AA52" s="13"/>
      <c r="AB52" s="13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v>13</v>
      </c>
      <c r="H53" s="55" t="n">
        <f aca="false">SUM(H15,H22,H27,H43,H44,H50)</f>
        <v>14</v>
      </c>
      <c r="I53" s="55" t="n">
        <f aca="false">SUM(I15,I22,I26,I27,I43,I44,I47)</f>
        <v>25</v>
      </c>
      <c r="J53" s="55" t="n">
        <f aca="false">SUM(J47,J44,J39,J27,J26,J22)</f>
        <v>19</v>
      </c>
      <c r="K53" s="55" t="n">
        <f aca="false">SUM(K22,K27,K44)</f>
        <v>16</v>
      </c>
      <c r="L53" s="55" t="n">
        <f aca="false">SUM(L47,L44,L22)</f>
        <v>10</v>
      </c>
      <c r="M53" s="55" t="n">
        <f aca="false">SUM(M47,M44,M27,M22)</f>
        <v>6</v>
      </c>
      <c r="P53" s="17" t="s">
        <v>60</v>
      </c>
      <c r="Q53" s="17"/>
      <c r="R53" s="17"/>
      <c r="S53" s="56" t="n">
        <f aca="false">Tabella527911[[#This Row],[Colonna1]]*Q3</f>
        <v>5.2</v>
      </c>
      <c r="T53" s="56" t="n">
        <f aca="false">Tabella527911[[#This Row],[Colonna2]]*$Q3</f>
        <v>5.6</v>
      </c>
      <c r="U53" s="56" t="n">
        <f aca="false">Tabella527911[[#This Row],[Colonna3]]*$Q3</f>
        <v>10</v>
      </c>
      <c r="V53" s="56" t="n">
        <f aca="false">Tabella527911[[#This Row],[Colonna4]]*$Q3</f>
        <v>7.6</v>
      </c>
      <c r="W53" s="56" t="n">
        <f aca="false">Tabella527911[[#This Row],[Colonna5]]*$Q3</f>
        <v>6.4</v>
      </c>
      <c r="X53" s="56" t="n">
        <f aca="false">Tabella527911[[#This Row],[Colonna6]]*$Q3</f>
        <v>4</v>
      </c>
      <c r="Y53" s="56" t="n">
        <f aca="false">Tabella527911[[#This Row],[Colonna7]]*$Q3</f>
        <v>2.4</v>
      </c>
      <c r="Z53" s="55"/>
      <c r="AA53" s="55"/>
      <c r="AB53" s="55"/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  <c r="Z57" s="13"/>
      <c r="AA57" s="13"/>
      <c r="AB57" s="13"/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71</v>
      </c>
      <c r="H58" s="26" t="n">
        <v>52</v>
      </c>
      <c r="I58" s="26" t="n">
        <v>48</v>
      </c>
      <c r="J58" s="26" t="n">
        <v>91</v>
      </c>
      <c r="K58" s="26" t="n">
        <v>107</v>
      </c>
      <c r="L58" s="26" t="n">
        <v>109</v>
      </c>
      <c r="M58" s="26" t="n">
        <v>19</v>
      </c>
      <c r="P58" s="23" t="s">
        <v>62</v>
      </c>
      <c r="Q58" s="23"/>
      <c r="R58" s="23"/>
      <c r="S58" s="57" t="n">
        <f aca="false">G58*Q3</f>
        <v>28.4</v>
      </c>
      <c r="T58" s="27" t="n">
        <f aca="false">H58*$Q3</f>
        <v>20.8</v>
      </c>
      <c r="U58" s="27" t="n">
        <f aca="false">I58*$Q3</f>
        <v>19.2</v>
      </c>
      <c r="V58" s="27" t="n">
        <f aca="false">J58*$Q3</f>
        <v>36.4</v>
      </c>
      <c r="W58" s="27" t="n">
        <f aca="false">K58*$Q3</f>
        <v>42.8</v>
      </c>
      <c r="X58" s="27" t="n">
        <f aca="false">L58*$Q3</f>
        <v>43.6</v>
      </c>
      <c r="Y58" s="27" t="n">
        <f aca="false">M58*$Q3</f>
        <v>7.6</v>
      </c>
      <c r="Z58" s="13"/>
      <c r="AA58" s="13"/>
      <c r="AB58" s="13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  <c r="Z59" s="13"/>
      <c r="AA59" s="13"/>
      <c r="AB59" s="13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  <c r="Z60" s="13"/>
      <c r="AA60" s="13"/>
      <c r="AB60" s="13"/>
    </row>
    <row r="61" customFormat="false" ht="15" hidden="false" customHeight="false" outlineLevel="0" collapsed="false">
      <c r="D61" s="9" t="s">
        <v>65</v>
      </c>
      <c r="E61" s="9"/>
      <c r="F61" s="9"/>
      <c r="G61" s="37" t="n">
        <v>2</v>
      </c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 t="n">
        <f aca="false">G61*Q3</f>
        <v>0.8</v>
      </c>
      <c r="T61" s="27"/>
      <c r="U61" s="27"/>
      <c r="V61" s="27"/>
      <c r="W61" s="27"/>
      <c r="X61" s="27"/>
      <c r="Y61" s="27"/>
      <c r="Z61" s="13"/>
      <c r="AA61" s="13"/>
      <c r="AB61" s="13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7</v>
      </c>
      <c r="H62" s="26" t="n">
        <v>3</v>
      </c>
      <c r="I62" s="26" t="n">
        <v>8</v>
      </c>
      <c r="J62" s="26" t="n">
        <v>10</v>
      </c>
      <c r="K62" s="26" t="n">
        <v>22</v>
      </c>
      <c r="L62" s="26" t="n">
        <v>6</v>
      </c>
      <c r="M62" s="26" t="n">
        <v>8</v>
      </c>
      <c r="P62" s="9" t="s">
        <v>66</v>
      </c>
      <c r="Q62" s="9"/>
      <c r="R62" s="9"/>
      <c r="S62" s="57" t="n">
        <f aca="false">G62*Q3</f>
        <v>2.8</v>
      </c>
      <c r="T62" s="27" t="n">
        <f aca="false">H62*$Q3</f>
        <v>1.2</v>
      </c>
      <c r="U62" s="27" t="n">
        <f aca="false">I62*$Q3</f>
        <v>3.2</v>
      </c>
      <c r="V62" s="27" t="n">
        <f aca="false">J62*$Q3</f>
        <v>4</v>
      </c>
      <c r="W62" s="27" t="n">
        <f aca="false">K62*$Q3</f>
        <v>8.8</v>
      </c>
      <c r="X62" s="27" t="n">
        <f aca="false">L62*$Q3</f>
        <v>2.4</v>
      </c>
      <c r="Y62" s="27" t="n">
        <f aca="false">M62*$Q3</f>
        <v>3.2</v>
      </c>
      <c r="Z62" s="13"/>
      <c r="AA62" s="13"/>
      <c r="AB62" s="13"/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3</v>
      </c>
      <c r="H63" s="26"/>
      <c r="I63" s="26" t="n">
        <v>1</v>
      </c>
      <c r="J63" s="26" t="n">
        <v>2</v>
      </c>
      <c r="K63" s="26" t="n">
        <v>1</v>
      </c>
      <c r="L63" s="26"/>
      <c r="M63" s="26"/>
      <c r="P63" s="9" t="s">
        <v>67</v>
      </c>
      <c r="Q63" s="9"/>
      <c r="R63" s="9"/>
      <c r="S63" s="57" t="n">
        <f aca="false">G63*Q3</f>
        <v>1.2</v>
      </c>
      <c r="T63" s="27"/>
      <c r="U63" s="27" t="n">
        <f aca="false">I63*$Q3</f>
        <v>0.4</v>
      </c>
      <c r="V63" s="27" t="n">
        <f aca="false">J63*$Q3</f>
        <v>0.8</v>
      </c>
      <c r="W63" s="27" t="n">
        <f aca="false">K63*$Q3</f>
        <v>0.4</v>
      </c>
      <c r="X63" s="27"/>
      <c r="Y63" s="27"/>
      <c r="Z63" s="13"/>
      <c r="AA63" s="13"/>
      <c r="AB63" s="13"/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4</v>
      </c>
      <c r="H64" s="26" t="n">
        <v>5</v>
      </c>
      <c r="I64" s="26" t="n">
        <v>2</v>
      </c>
      <c r="J64" s="26" t="n">
        <v>5</v>
      </c>
      <c r="K64" s="26" t="n">
        <v>4</v>
      </c>
      <c r="L64" s="26" t="n">
        <v>2</v>
      </c>
      <c r="M64" s="26" t="n">
        <v>1</v>
      </c>
      <c r="P64" s="9" t="s">
        <v>68</v>
      </c>
      <c r="Q64" s="9"/>
      <c r="R64" s="9"/>
      <c r="S64" s="57" t="n">
        <f aca="false">G64*Q3</f>
        <v>1.6</v>
      </c>
      <c r="T64" s="27" t="n">
        <f aca="false">H64*$Q3</f>
        <v>2</v>
      </c>
      <c r="U64" s="27" t="n">
        <f aca="false">I64*$Q3</f>
        <v>0.8</v>
      </c>
      <c r="V64" s="27" t="n">
        <f aca="false">J64*$Q3</f>
        <v>2</v>
      </c>
      <c r="W64" s="27" t="n">
        <f aca="false">K64*$Q3</f>
        <v>1.6</v>
      </c>
      <c r="X64" s="27" t="n">
        <f aca="false">L64*$Q3</f>
        <v>0.8</v>
      </c>
      <c r="Y64" s="27" t="n">
        <f aca="false">M64*$Q3</f>
        <v>0.4</v>
      </c>
      <c r="Z64" s="13"/>
      <c r="AA64" s="13"/>
      <c r="AB64" s="13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2</v>
      </c>
      <c r="H65" s="26" t="n">
        <v>4</v>
      </c>
      <c r="I65" s="26" t="n">
        <v>7</v>
      </c>
      <c r="J65" s="26" t="n">
        <v>5</v>
      </c>
      <c r="K65" s="26" t="n">
        <v>1</v>
      </c>
      <c r="L65" s="26"/>
      <c r="M65" s="26" t="n">
        <v>3</v>
      </c>
      <c r="P65" s="9" t="s">
        <v>69</v>
      </c>
      <c r="Q65" s="9"/>
      <c r="R65" s="9"/>
      <c r="S65" s="57" t="n">
        <f aca="false">G65*$Q3</f>
        <v>0.8</v>
      </c>
      <c r="T65" s="57" t="n">
        <f aca="false">H65*$Q3</f>
        <v>1.6</v>
      </c>
      <c r="U65" s="57" t="n">
        <f aca="false">I65*$Q3</f>
        <v>2.8</v>
      </c>
      <c r="V65" s="57" t="n">
        <f aca="false">J65*$Q3</f>
        <v>2</v>
      </c>
      <c r="W65" s="57" t="n">
        <f aca="false">K65*$Q3</f>
        <v>0.4</v>
      </c>
      <c r="X65" s="57"/>
      <c r="Y65" s="57" t="n">
        <f aca="false">M65*$Q3</f>
        <v>1.2</v>
      </c>
      <c r="Z65" s="13"/>
      <c r="AA65" s="13"/>
      <c r="AB65" s="13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6"/>
      <c r="U66" s="26"/>
      <c r="V66" s="26"/>
      <c r="W66" s="26"/>
      <c r="X66" s="26"/>
      <c r="Y66" s="26"/>
      <c r="Z66" s="13"/>
      <c r="AA66" s="13"/>
      <c r="AB66" s="13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29</v>
      </c>
      <c r="H67" s="26" t="n">
        <v>7</v>
      </c>
      <c r="I67" s="26" t="n">
        <v>27</v>
      </c>
      <c r="J67" s="26" t="n">
        <v>51</v>
      </c>
      <c r="K67" s="26" t="n">
        <v>93</v>
      </c>
      <c r="L67" s="26" t="n">
        <v>11</v>
      </c>
      <c r="M67" s="26" t="n">
        <v>23</v>
      </c>
      <c r="P67" s="9" t="s">
        <v>71</v>
      </c>
      <c r="Q67" s="9"/>
      <c r="R67" s="9"/>
      <c r="S67" s="57" t="n">
        <f aca="false">G67*Q3</f>
        <v>11.6</v>
      </c>
      <c r="T67" s="27" t="n">
        <f aca="false">H67*$Q3</f>
        <v>2.8</v>
      </c>
      <c r="U67" s="27" t="n">
        <f aca="false">I67*$Q3</f>
        <v>10.8</v>
      </c>
      <c r="V67" s="27" t="n">
        <f aca="false">J67*$Q3</f>
        <v>20.4</v>
      </c>
      <c r="W67" s="27" t="n">
        <f aca="false">K67*$Q3</f>
        <v>37.2</v>
      </c>
      <c r="X67" s="27" t="n">
        <f aca="false">L67*$Q3</f>
        <v>4.4</v>
      </c>
      <c r="Y67" s="27" t="n">
        <f aca="false">M67*$Q3</f>
        <v>9.2</v>
      </c>
      <c r="Z67" s="13"/>
      <c r="AA67" s="13"/>
      <c r="AB67" s="13"/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</v>
      </c>
      <c r="H68" s="30" t="n">
        <v>1</v>
      </c>
      <c r="I68" s="30" t="n">
        <v>2</v>
      </c>
      <c r="J68" s="30" t="n">
        <v>3</v>
      </c>
      <c r="K68" s="30" t="n">
        <v>5</v>
      </c>
      <c r="L68" s="30" t="n">
        <v>3</v>
      </c>
      <c r="M68" s="30"/>
      <c r="P68" s="9" t="s">
        <v>72</v>
      </c>
      <c r="Q68" s="9"/>
      <c r="R68" s="9"/>
      <c r="S68" s="59" t="n">
        <f aca="false">G68*Q3</f>
        <v>0.4</v>
      </c>
      <c r="T68" s="27" t="n">
        <f aca="false">H68*$Q3</f>
        <v>0.4</v>
      </c>
      <c r="U68" s="27" t="n">
        <f aca="false">I68*$Q3</f>
        <v>0.8</v>
      </c>
      <c r="V68" s="27" t="n">
        <f aca="false">J68*$Q3</f>
        <v>1.2</v>
      </c>
      <c r="W68" s="27" t="n">
        <f aca="false">K68*$Q3</f>
        <v>2</v>
      </c>
      <c r="X68" s="27" t="n">
        <f aca="false">L68*$Q3</f>
        <v>1.2</v>
      </c>
      <c r="Y68" s="31"/>
      <c r="Z68" s="13"/>
      <c r="AA68" s="13"/>
      <c r="AB68" s="13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9</v>
      </c>
      <c r="H69" s="30" t="n">
        <v>3</v>
      </c>
      <c r="I69" s="30"/>
      <c r="J69" s="30" t="n">
        <v>4</v>
      </c>
      <c r="K69" s="30" t="n">
        <v>2</v>
      </c>
      <c r="L69" s="30" t="n">
        <v>1</v>
      </c>
      <c r="M69" s="30"/>
      <c r="P69" s="9" t="s">
        <v>73</v>
      </c>
      <c r="Q69" s="9"/>
      <c r="R69" s="9"/>
      <c r="S69" s="59" t="n">
        <f aca="false">G69*Q3</f>
        <v>3.6</v>
      </c>
      <c r="T69" s="27" t="n">
        <f aca="false">H69*$Q3</f>
        <v>1.2</v>
      </c>
      <c r="U69" s="27"/>
      <c r="V69" s="27" t="n">
        <f aca="false">J69*$Q3</f>
        <v>1.6</v>
      </c>
      <c r="W69" s="27" t="n">
        <f aca="false">K69*$Q3</f>
        <v>0.8</v>
      </c>
      <c r="X69" s="27" t="n">
        <f aca="false">L69*$Q3</f>
        <v>0.4</v>
      </c>
      <c r="Y69" s="27"/>
      <c r="Z69" s="13"/>
      <c r="AA69" s="13"/>
      <c r="AB69" s="13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SUM(G58,G61,G62,G63,G64,G65,G67,G68,G69)</f>
        <v>128</v>
      </c>
      <c r="H70" s="12" t="n">
        <f aca="false">SUM(H58,H62,H64,H65,H67,H68,H69)</f>
        <v>75</v>
      </c>
      <c r="I70" s="12" t="n">
        <f aca="false">SUM(I58,I62,I63,I64,I65,I67,I68)</f>
        <v>95</v>
      </c>
      <c r="J70" s="12" t="n">
        <f aca="false">SUM(J58,J62,J63,J64,J65,J67,J68,J69)</f>
        <v>171</v>
      </c>
      <c r="K70" s="12" t="n">
        <f aca="false">SUM(K58,K62,K63,K64,K65,K67,K68,K69)</f>
        <v>235</v>
      </c>
      <c r="L70" s="12" t="n">
        <f aca="false">SUM(L58,L62,L64,L67,L68,L69)</f>
        <v>132</v>
      </c>
      <c r="M70" s="12" t="n">
        <f aca="false">SUM(M58,M62,M64,M65,M67)</f>
        <v>54</v>
      </c>
      <c r="P70" s="9" t="s">
        <v>60</v>
      </c>
      <c r="Q70" s="9"/>
      <c r="R70" s="9"/>
      <c r="S70" s="61" t="n">
        <f aca="false">G70*Q3</f>
        <v>51.2</v>
      </c>
      <c r="T70" s="32" t="n">
        <f aca="false">H70*$Q3</f>
        <v>30</v>
      </c>
      <c r="U70" s="32" t="n">
        <f aca="false">I70*$Q3</f>
        <v>38</v>
      </c>
      <c r="V70" s="32" t="n">
        <f aca="false">J70*$Q3</f>
        <v>68.4</v>
      </c>
      <c r="W70" s="32" t="n">
        <f aca="false">K70*$Q3</f>
        <v>94</v>
      </c>
      <c r="X70" s="32" t="n">
        <f aca="false">L70*$Q3</f>
        <v>52.8</v>
      </c>
      <c r="Y70" s="32" t="n">
        <f aca="false">M70*$Q3</f>
        <v>21.6</v>
      </c>
      <c r="Z70" s="19"/>
      <c r="AA70" s="19"/>
      <c r="AB70" s="19"/>
    </row>
    <row r="76" customFormat="false" ht="15" hidden="false" customHeight="false" outlineLevel="0" collapsed="false">
      <c r="F76" s="34" t="s">
        <v>74</v>
      </c>
      <c r="G76" s="34"/>
      <c r="H76" s="35" t="s">
        <v>75</v>
      </c>
      <c r="I76" s="35" t="s">
        <v>76</v>
      </c>
      <c r="J76" s="35" t="s">
        <v>77</v>
      </c>
      <c r="K76" s="35" t="s">
        <v>78</v>
      </c>
      <c r="L76" s="35" t="s">
        <v>79</v>
      </c>
      <c r="M76" s="35" t="s">
        <v>80</v>
      </c>
      <c r="N76" s="35"/>
      <c r="O76" s="35" t="s">
        <v>81</v>
      </c>
      <c r="P76" s="35" t="s">
        <v>82</v>
      </c>
      <c r="Q76" s="35" t="s">
        <v>83</v>
      </c>
      <c r="R76" s="35" t="s">
        <v>84</v>
      </c>
      <c r="S76" s="35" t="s">
        <v>85</v>
      </c>
      <c r="T76" s="35" t="s">
        <v>86</v>
      </c>
      <c r="U76" s="35"/>
      <c r="V76" s="37" t="s">
        <v>87</v>
      </c>
    </row>
    <row r="77" customFormat="false" ht="15" hidden="false" customHeight="false" outlineLevel="0" collapsed="false">
      <c r="F77" s="38" t="n">
        <v>44879</v>
      </c>
      <c r="G77" s="38"/>
      <c r="H77" s="62" t="n">
        <v>10.1</v>
      </c>
      <c r="I77" s="62" t="n">
        <v>14</v>
      </c>
      <c r="J77" s="62" t="n">
        <v>11</v>
      </c>
      <c r="K77" s="62" t="n">
        <v>14</v>
      </c>
      <c r="L77" s="62" t="n">
        <v>9</v>
      </c>
      <c r="M77" s="63" t="n">
        <v>11.5</v>
      </c>
      <c r="N77" s="13"/>
      <c r="O77" s="13" t="n">
        <v>92</v>
      </c>
      <c r="P77" s="13" t="n">
        <v>69</v>
      </c>
      <c r="Q77" s="13" t="n">
        <v>85</v>
      </c>
      <c r="R77" s="62" t="n">
        <v>82</v>
      </c>
      <c r="S77" s="64" t="n">
        <v>92</v>
      </c>
      <c r="T77" s="64" t="n">
        <v>60</v>
      </c>
      <c r="U77" s="13"/>
      <c r="V77" s="65" t="n">
        <v>0.2</v>
      </c>
    </row>
    <row r="78" customFormat="false" ht="15" hidden="false" customHeight="false" outlineLevel="0" collapsed="false">
      <c r="F78" s="38" t="n">
        <v>44880</v>
      </c>
      <c r="G78" s="38"/>
      <c r="H78" s="62" t="n">
        <v>9.5</v>
      </c>
      <c r="I78" s="62" t="n">
        <v>10.2</v>
      </c>
      <c r="J78" s="62" t="n">
        <v>10</v>
      </c>
      <c r="K78" s="62" t="n">
        <v>10.2</v>
      </c>
      <c r="L78" s="62" t="n">
        <v>8.3</v>
      </c>
      <c r="M78" s="63" t="n">
        <v>9.25</v>
      </c>
      <c r="N78" s="13"/>
      <c r="O78" s="13" t="n">
        <v>85</v>
      </c>
      <c r="P78" s="13" t="n">
        <v>91</v>
      </c>
      <c r="Q78" s="13" t="n">
        <v>92</v>
      </c>
      <c r="R78" s="62" t="n">
        <v>89.3</v>
      </c>
      <c r="S78" s="64" t="n">
        <v>93</v>
      </c>
      <c r="T78" s="64" t="n">
        <v>80</v>
      </c>
      <c r="U78" s="13"/>
      <c r="V78" s="65" t="n">
        <v>3.8</v>
      </c>
    </row>
    <row r="79" customFormat="false" ht="15" hidden="false" customHeight="false" outlineLevel="0" collapsed="false">
      <c r="F79" s="38" t="n">
        <v>44881</v>
      </c>
      <c r="G79" s="38"/>
      <c r="H79" s="62" t="n">
        <v>9.4</v>
      </c>
      <c r="I79" s="62" t="n">
        <v>11.7</v>
      </c>
      <c r="J79" s="62" t="n">
        <v>11.4</v>
      </c>
      <c r="K79" s="62" t="n">
        <v>11.8</v>
      </c>
      <c r="L79" s="62" t="n">
        <v>9.4</v>
      </c>
      <c r="M79" s="63" t="n">
        <v>10.6</v>
      </c>
      <c r="N79" s="13"/>
      <c r="O79" s="13" t="n">
        <v>92</v>
      </c>
      <c r="P79" s="13" t="n">
        <v>77</v>
      </c>
      <c r="Q79" s="13" t="n">
        <v>78</v>
      </c>
      <c r="R79" s="62" t="n">
        <v>82.3</v>
      </c>
      <c r="S79" s="64" t="n">
        <v>93</v>
      </c>
      <c r="T79" s="64" t="n">
        <v>75</v>
      </c>
      <c r="U79" s="13"/>
      <c r="V79" s="72" t="n">
        <v>2.6</v>
      </c>
    </row>
    <row r="80" customFormat="false" ht="15" hidden="false" customHeight="false" outlineLevel="0" collapsed="false">
      <c r="F80" s="38" t="n">
        <v>44882</v>
      </c>
      <c r="G80" s="38"/>
      <c r="H80" s="62" t="n">
        <v>8.2</v>
      </c>
      <c r="I80" s="62" t="n">
        <v>14.2</v>
      </c>
      <c r="J80" s="62" t="n">
        <v>11.3</v>
      </c>
      <c r="K80" s="62" t="n">
        <v>14.2</v>
      </c>
      <c r="L80" s="62" t="n">
        <v>7.8</v>
      </c>
      <c r="M80" s="63" t="n">
        <v>11</v>
      </c>
      <c r="N80" s="13"/>
      <c r="O80" s="13" t="n">
        <v>91</v>
      </c>
      <c r="P80" s="13" t="n">
        <v>68</v>
      </c>
      <c r="Q80" s="13" t="n">
        <v>90</v>
      </c>
      <c r="R80" s="62" t="n">
        <v>83</v>
      </c>
      <c r="S80" s="64" t="n">
        <v>92</v>
      </c>
      <c r="T80" s="64" t="n">
        <v>68</v>
      </c>
      <c r="U80" s="13"/>
      <c r="V80" s="65" t="n">
        <v>0</v>
      </c>
    </row>
    <row r="81" customFormat="false" ht="15" hidden="false" customHeight="false" outlineLevel="0" collapsed="false">
      <c r="F81" s="38" t="n">
        <v>44883</v>
      </c>
      <c r="G81" s="38"/>
      <c r="H81" s="62" t="n">
        <v>11.4</v>
      </c>
      <c r="I81" s="62" t="n">
        <v>15.6</v>
      </c>
      <c r="J81" s="62" t="n">
        <v>11.5</v>
      </c>
      <c r="K81" s="62" t="n">
        <v>17.1</v>
      </c>
      <c r="L81" s="62" t="n">
        <v>10.1</v>
      </c>
      <c r="M81" s="63" t="n">
        <v>13.6</v>
      </c>
      <c r="N81" s="13"/>
      <c r="O81" s="13" t="n">
        <v>90</v>
      </c>
      <c r="P81" s="13" t="n">
        <v>64</v>
      </c>
      <c r="Q81" s="13" t="n">
        <v>89</v>
      </c>
      <c r="R81" s="62" t="n">
        <v>81</v>
      </c>
      <c r="S81" s="64" t="n">
        <v>92</v>
      </c>
      <c r="T81" s="64" t="n">
        <v>57</v>
      </c>
      <c r="U81" s="13"/>
      <c r="V81" s="65" t="n">
        <v>0</v>
      </c>
    </row>
    <row r="82" customFormat="false" ht="15" hidden="false" customHeight="false" outlineLevel="0" collapsed="false">
      <c r="F82" s="38" t="n">
        <v>44884</v>
      </c>
      <c r="G82" s="38"/>
      <c r="H82" s="62" t="n">
        <v>7.5</v>
      </c>
      <c r="I82" s="62" t="n">
        <v>9.8</v>
      </c>
      <c r="J82" s="62" t="n">
        <v>9.9</v>
      </c>
      <c r="K82" s="62" t="n">
        <v>10.2</v>
      </c>
      <c r="L82" s="62" t="n">
        <v>7</v>
      </c>
      <c r="M82" s="63" t="n">
        <v>8.6</v>
      </c>
      <c r="N82" s="13"/>
      <c r="O82" s="13" t="n">
        <v>80</v>
      </c>
      <c r="P82" s="13" t="n">
        <v>88</v>
      </c>
      <c r="Q82" s="13" t="n">
        <v>90</v>
      </c>
      <c r="R82" s="62" t="n">
        <v>86</v>
      </c>
      <c r="S82" s="64" t="n">
        <v>94</v>
      </c>
      <c r="T82" s="64" t="n">
        <v>61</v>
      </c>
      <c r="U82" s="13"/>
      <c r="V82" s="65" t="n">
        <v>0.4</v>
      </c>
    </row>
    <row r="83" customFormat="false" ht="15" hidden="false" customHeight="false" outlineLevel="0" collapsed="false">
      <c r="F83" s="45" t="n">
        <v>44885</v>
      </c>
      <c r="G83" s="45"/>
      <c r="H83" s="66" t="n">
        <v>6.3</v>
      </c>
      <c r="I83" s="66" t="n">
        <v>10.7</v>
      </c>
      <c r="J83" s="66" t="n">
        <v>8.9</v>
      </c>
      <c r="K83" s="66" t="n">
        <v>11.7</v>
      </c>
      <c r="L83" s="66" t="n">
        <v>6.3</v>
      </c>
      <c r="M83" s="67" t="n">
        <v>9</v>
      </c>
      <c r="N83" s="49"/>
      <c r="O83" s="49" t="n">
        <v>95</v>
      </c>
      <c r="P83" s="49" t="n">
        <v>84</v>
      </c>
      <c r="Q83" s="49" t="n">
        <v>93</v>
      </c>
      <c r="R83" s="66" t="n">
        <v>90.7</v>
      </c>
      <c r="S83" s="68" t="n">
        <v>96</v>
      </c>
      <c r="T83" s="68" t="n">
        <v>74</v>
      </c>
      <c r="U83" s="49"/>
      <c r="V83" s="69" t="n">
        <v>0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52" colorId="64" zoomScale="100" zoomScaleNormal="100" zoomScalePageLayoutView="100" workbookViewId="0">
      <selection pane="topLeft" activeCell="AA18" activeCellId="0" sqref="AA1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2" t="s">
        <v>0</v>
      </c>
      <c r="H3" s="3" t="s">
        <v>1</v>
      </c>
      <c r="I3" s="2" t="s">
        <v>2</v>
      </c>
      <c r="J3" s="4" t="n">
        <v>44886</v>
      </c>
      <c r="K3" s="5" t="n">
        <v>44892</v>
      </c>
      <c r="L3" s="6" t="s">
        <v>3</v>
      </c>
      <c r="M3" s="3" t="n">
        <v>2022</v>
      </c>
      <c r="P3" s="7" t="s">
        <v>4</v>
      </c>
      <c r="Q3" s="7" t="n">
        <v>0.4</v>
      </c>
      <c r="S3" s="2" t="s">
        <v>0</v>
      </c>
      <c r="T3" s="3" t="s">
        <v>1</v>
      </c>
      <c r="U3" s="2" t="s">
        <v>2</v>
      </c>
      <c r="V3" s="4" t="n">
        <v>44886</v>
      </c>
      <c r="W3" s="5" t="n">
        <v>44892</v>
      </c>
      <c r="X3" s="6" t="s">
        <v>3</v>
      </c>
      <c r="Y3" s="3" t="n">
        <v>2022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 t="n">
        <v>1</v>
      </c>
      <c r="J17" s="13" t="n">
        <v>1</v>
      </c>
      <c r="K17" s="13"/>
      <c r="L17" s="13"/>
      <c r="M17" s="13"/>
      <c r="P17" s="15" t="s">
        <v>24</v>
      </c>
      <c r="Q17" s="15"/>
      <c r="R17" s="15"/>
      <c r="S17" s="14"/>
      <c r="T17" s="14"/>
      <c r="U17" s="14" t="n">
        <f aca="false">Tabella5279112[[#This Row],[Colonna3]]*$Q3</f>
        <v>0.4</v>
      </c>
      <c r="V17" s="14" t="n">
        <f aca="false">Tabella5279112[[#This Row],[Colonna4]]*$Q3</f>
        <v>0.4</v>
      </c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 t="n">
        <v>1</v>
      </c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 t="n">
        <f aca="false">Tabella5279112[[#This Row],[Colonna5]]*$Q3</f>
        <v>0.4</v>
      </c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6</v>
      </c>
      <c r="H22" s="13" t="n">
        <v>2</v>
      </c>
      <c r="I22" s="13" t="n">
        <v>11</v>
      </c>
      <c r="J22" s="13" t="n">
        <v>11</v>
      </c>
      <c r="K22" s="13"/>
      <c r="L22" s="13"/>
      <c r="M22" s="13"/>
      <c r="P22" s="12" t="s">
        <v>29</v>
      </c>
      <c r="Q22" s="12"/>
      <c r="R22" s="12"/>
      <c r="S22" s="14" t="n">
        <f aca="false">Tabella5279112[[#This Row],[Colonna1]]*$Q3</f>
        <v>2.4</v>
      </c>
      <c r="T22" s="14" t="n">
        <f aca="false">Tabella5279112[[#This Row],[Colonna2]]*$Q3</f>
        <v>0.8</v>
      </c>
      <c r="U22" s="14" t="n">
        <f aca="false">Tabella5279112[[#This Row],[Colonna3]]*$Q3</f>
        <v>4.4</v>
      </c>
      <c r="V22" s="14" t="n">
        <f aca="false">Tabella5279112[[#This Row],[Colonna4]]*$Q3</f>
        <v>4.4</v>
      </c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 t="n">
        <v>1</v>
      </c>
      <c r="K27" s="13" t="n">
        <v>1</v>
      </c>
      <c r="L27" s="13"/>
      <c r="M27" s="13"/>
      <c r="P27" s="12" t="s">
        <v>34</v>
      </c>
      <c r="Q27" s="12"/>
      <c r="R27" s="12"/>
      <c r="S27" s="14"/>
      <c r="T27" s="14"/>
      <c r="U27" s="14"/>
      <c r="V27" s="14" t="n">
        <f aca="false">Tabella5279112[[#This Row],[Colonna4]]*$Q3</f>
        <v>0.4</v>
      </c>
      <c r="W27" s="14" t="n">
        <f aca="false">Tabella5279112[[#This Row],[Colonna5]]*$Q3</f>
        <v>0.4</v>
      </c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 t="n">
        <v>1</v>
      </c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 t="n">
        <f aca="false">Tabella5279112[[#This Row],[Colonna3]]*$Q3</f>
        <v>0.4</v>
      </c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4</v>
      </c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Tabella5279112[[#This Row],[Colonna1]]*$Q3</f>
        <v>1.6</v>
      </c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 t="n">
        <v>2</v>
      </c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 t="n">
        <f aca="false">Tabella5279112[[#This Row],[Colonna5]]*$Q3</f>
        <v>0.8</v>
      </c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4</v>
      </c>
      <c r="H44" s="13" t="n">
        <v>2</v>
      </c>
      <c r="I44" s="13" t="n">
        <v>2</v>
      </c>
      <c r="J44" s="13" t="n">
        <v>2</v>
      </c>
      <c r="K44" s="13"/>
      <c r="L44" s="13"/>
      <c r="M44" s="13" t="n">
        <v>3</v>
      </c>
      <c r="P44" s="12" t="s">
        <v>51</v>
      </c>
      <c r="Q44" s="12"/>
      <c r="R44" s="12"/>
      <c r="S44" s="14" t="n">
        <f aca="false">Tabella5279112[[#This Row],[Colonna1]]*$Q3</f>
        <v>1.6</v>
      </c>
      <c r="T44" s="14" t="n">
        <f aca="false">Tabella5279112[[#This Row],[Colonna2]]*$Q3</f>
        <v>0.8</v>
      </c>
      <c r="U44" s="14" t="n">
        <f aca="false">Tabella5279112[[#This Row],[Colonna3]]*$Q3</f>
        <v>0.8</v>
      </c>
      <c r="V44" s="14" t="n">
        <f aca="false">Tabella5279112[[#This Row],[Colonna4]]*$Q3</f>
        <v>0.8</v>
      </c>
      <c r="W44" s="14"/>
      <c r="X44" s="14"/>
      <c r="Y44" s="14" t="n">
        <f aca="false">Tabella5279112[[#This Row],[Colonna7]]*$Q3</f>
        <v>1.2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 t="n">
        <v>4</v>
      </c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 t="n">
        <f aca="false">Tabella5279112[[#This Row],[Colonna7]]*$Q3</f>
        <v>1.6</v>
      </c>
    </row>
    <row r="48" customFormat="false" ht="15" hidden="false" customHeight="false" outlineLevel="0" collapsed="false">
      <c r="D48" s="12" t="s">
        <v>55</v>
      </c>
      <c r="E48" s="12"/>
      <c r="F48" s="12"/>
      <c r="G48" s="13" t="n">
        <v>1</v>
      </c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 t="n">
        <f aca="false">Tabella5279112[[#This Row],[Colonna1]]*$Q3</f>
        <v>0.4</v>
      </c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 t="n">
        <v>1</v>
      </c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 t="n">
        <f aca="false">Tabella5279112[[#This Row],[Colonna1]]*$Q3</f>
        <v>0.4</v>
      </c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5</v>
      </c>
      <c r="H52" s="13" t="n">
        <v>10</v>
      </c>
      <c r="I52" s="13"/>
      <c r="J52" s="13" t="n">
        <v>3</v>
      </c>
      <c r="K52" s="13" t="n">
        <v>5</v>
      </c>
      <c r="L52" s="13" t="n">
        <v>2</v>
      </c>
      <c r="M52" s="13" t="n">
        <v>2</v>
      </c>
      <c r="P52" s="12" t="s">
        <v>59</v>
      </c>
      <c r="Q52" s="12"/>
      <c r="R52" s="12"/>
      <c r="S52" s="14" t="n">
        <f aca="false">Tabella5279112[[#This Row],[Colonna1]]*$Q3</f>
        <v>2</v>
      </c>
      <c r="T52" s="14" t="n">
        <f aca="false">Tabella5279112[[#This Row],[Colonna2]]*$Q3</f>
        <v>4</v>
      </c>
      <c r="U52" s="14"/>
      <c r="V52" s="14" t="n">
        <f aca="false">Tabella5279112[[#This Row],[Colonna4]]*$Q3</f>
        <v>1.2</v>
      </c>
      <c r="W52" s="14" t="n">
        <f aca="false">Tabella5279112[[#This Row],[Colonna5]]*$Q3</f>
        <v>2</v>
      </c>
      <c r="X52" s="14" t="n">
        <f aca="false">Tabella5279112[[#This Row],[Colonna6]]*$Q3</f>
        <v>0.8</v>
      </c>
      <c r="Y52" s="14" t="n">
        <f aca="false">Tabella5279112[[#This Row],[Colonna7]]*$Q3</f>
        <v>0.8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SUM(G22,G41,G44,G48,G50,G52)</f>
        <v>21</v>
      </c>
      <c r="H53" s="55" t="n">
        <f aca="false">SUM(H52,H44,H22)</f>
        <v>14</v>
      </c>
      <c r="I53" s="55" t="n">
        <f aca="false">SUM(I44,I38,I22,I17)</f>
        <v>15</v>
      </c>
      <c r="J53" s="55" t="n">
        <f aca="false">SUM(J52,J44,J27,J22,J10)</f>
        <v>17</v>
      </c>
      <c r="K53" s="55" t="n">
        <f aca="false">SUM(K52,K43,K27,K19)</f>
        <v>9</v>
      </c>
      <c r="L53" s="55" t="n">
        <f aca="false">SUM(L52)</f>
        <v>2</v>
      </c>
      <c r="M53" s="55" t="n">
        <f aca="false">SUM(M52,M47,M44)</f>
        <v>9</v>
      </c>
      <c r="P53" s="17" t="s">
        <v>60</v>
      </c>
      <c r="Q53" s="17"/>
      <c r="R53" s="17"/>
      <c r="S53" s="56" t="n">
        <f aca="false">Tabella5279112[[#This Row],[Colonna1]]*$Q3</f>
        <v>8.4</v>
      </c>
      <c r="T53" s="56" t="n">
        <f aca="false">Tabella5279112[[#This Row],[Colonna2]]*$Q3</f>
        <v>5.6</v>
      </c>
      <c r="U53" s="56" t="n">
        <f aca="false">Tabella5279112[[#This Row],[Colonna3]]*$Q3</f>
        <v>6</v>
      </c>
      <c r="V53" s="56" t="n">
        <f aca="false">Tabella5279112[[#This Row],[Colonna4]]*$Q3</f>
        <v>6.8</v>
      </c>
      <c r="W53" s="56" t="n">
        <f aca="false">Tabella5279112[[#This Row],[Colonna5]]*$Q3</f>
        <v>3.6</v>
      </c>
      <c r="X53" s="56" t="n">
        <f aca="false">Tabella5279112[[#This Row],[Colonna6]]*$Q3</f>
        <v>0.8</v>
      </c>
      <c r="Y53" s="56" t="n">
        <f aca="false">Tabella5279112[[#This Row],[Colonna7]]*$Q3</f>
        <v>3.6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102</v>
      </c>
      <c r="H58" s="26" t="n">
        <v>18</v>
      </c>
      <c r="I58" s="26" t="n">
        <v>32</v>
      </c>
      <c r="J58" s="26" t="n">
        <v>31</v>
      </c>
      <c r="K58" s="26" t="n">
        <v>19</v>
      </c>
      <c r="L58" s="26" t="n">
        <v>15</v>
      </c>
      <c r="M58" s="26" t="n">
        <v>19</v>
      </c>
      <c r="P58" s="23" t="s">
        <v>62</v>
      </c>
      <c r="Q58" s="23"/>
      <c r="R58" s="23"/>
      <c r="S58" s="57" t="n">
        <f aca="false">G58*$Q3</f>
        <v>40.8</v>
      </c>
      <c r="T58" s="57" t="n">
        <f aca="false">H58*$Q3</f>
        <v>7.2</v>
      </c>
      <c r="U58" s="57" t="n">
        <f aca="false">I58*$Q3</f>
        <v>12.8</v>
      </c>
      <c r="V58" s="57" t="n">
        <f aca="false">J58*$Q3</f>
        <v>12.4</v>
      </c>
      <c r="W58" s="57" t="n">
        <f aca="false">K58*$Q3</f>
        <v>7.6</v>
      </c>
      <c r="X58" s="57" t="n">
        <f aca="false">L58*$Q3</f>
        <v>6</v>
      </c>
      <c r="Y58" s="57" t="n">
        <f aca="false">M58*$Q3</f>
        <v>7.6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6"/>
      <c r="U59" s="26"/>
      <c r="V59" s="26"/>
      <c r="W59" s="26"/>
      <c r="X59" s="26"/>
      <c r="Y59" s="26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6"/>
      <c r="U60" s="26"/>
      <c r="V60" s="26"/>
      <c r="W60" s="26"/>
      <c r="X60" s="26"/>
      <c r="Y60" s="26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6"/>
      <c r="U61" s="26"/>
      <c r="V61" s="26"/>
      <c r="W61" s="26"/>
      <c r="X61" s="26"/>
      <c r="Y61" s="26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14</v>
      </c>
      <c r="H62" s="26"/>
      <c r="I62" s="26" t="n">
        <v>3</v>
      </c>
      <c r="J62" s="26"/>
      <c r="K62" s="26" t="n">
        <v>2</v>
      </c>
      <c r="L62" s="26" t="n">
        <v>2</v>
      </c>
      <c r="M62" s="26" t="n">
        <v>2</v>
      </c>
      <c r="P62" s="9" t="s">
        <v>66</v>
      </c>
      <c r="Q62" s="9"/>
      <c r="R62" s="9"/>
      <c r="S62" s="57" t="n">
        <f aca="false">G62*$Q3</f>
        <v>5.6</v>
      </c>
      <c r="T62" s="57"/>
      <c r="U62" s="27" t="n">
        <f aca="false">I62*$Q3</f>
        <v>1.2</v>
      </c>
      <c r="V62" s="27"/>
      <c r="W62" s="27" t="n">
        <f aca="false">K62*$Q3</f>
        <v>0.8</v>
      </c>
      <c r="X62" s="27" t="n">
        <f aca="false">L62*$Q3</f>
        <v>0.8</v>
      </c>
      <c r="Y62" s="27" t="n">
        <f aca="false">M62*$Q3</f>
        <v>0.8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2</v>
      </c>
      <c r="H63" s="26" t="n">
        <v>1</v>
      </c>
      <c r="I63" s="26" t="n">
        <v>2</v>
      </c>
      <c r="J63" s="26"/>
      <c r="K63" s="26" t="n">
        <v>1</v>
      </c>
      <c r="L63" s="26"/>
      <c r="M63" s="26"/>
      <c r="P63" s="9" t="s">
        <v>67</v>
      </c>
      <c r="Q63" s="9"/>
      <c r="R63" s="9"/>
      <c r="S63" s="57" t="n">
        <f aca="false">G63*$Q3</f>
        <v>0.8</v>
      </c>
      <c r="T63" s="57" t="n">
        <f aca="false">H63*$Q3</f>
        <v>0.4</v>
      </c>
      <c r="U63" s="57" t="n">
        <f aca="false">I63*$Q3</f>
        <v>0.8</v>
      </c>
      <c r="V63" s="57"/>
      <c r="W63" s="57" t="n">
        <f aca="false">K63*$Q3</f>
        <v>0.4</v>
      </c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12</v>
      </c>
      <c r="H64" s="26" t="n">
        <v>2</v>
      </c>
      <c r="I64" s="26"/>
      <c r="J64" s="26" t="n">
        <v>1</v>
      </c>
      <c r="K64" s="26" t="n">
        <v>2</v>
      </c>
      <c r="L64" s="26"/>
      <c r="M64" s="26" t="n">
        <v>2</v>
      </c>
      <c r="P64" s="9" t="s">
        <v>68</v>
      </c>
      <c r="Q64" s="9"/>
      <c r="R64" s="9"/>
      <c r="S64" s="57" t="n">
        <f aca="false">G64*$Q3</f>
        <v>4.8</v>
      </c>
      <c r="T64" s="57" t="n">
        <f aca="false">H64*$Q3</f>
        <v>0.8</v>
      </c>
      <c r="U64" s="57"/>
      <c r="V64" s="57" t="n">
        <f aca="false">J64*$Q3</f>
        <v>0.4</v>
      </c>
      <c r="W64" s="57" t="n">
        <f aca="false">K64*$Q3</f>
        <v>0.8</v>
      </c>
      <c r="X64" s="57"/>
      <c r="Y64" s="57" t="n">
        <f aca="false">M64*$Q3</f>
        <v>0.8</v>
      </c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4</v>
      </c>
      <c r="H65" s="26" t="n">
        <v>4</v>
      </c>
      <c r="I65" s="26" t="n">
        <v>4</v>
      </c>
      <c r="J65" s="26" t="n">
        <v>2</v>
      </c>
      <c r="K65" s="26"/>
      <c r="L65" s="26" t="n">
        <v>1</v>
      </c>
      <c r="M65" s="26" t="n">
        <v>1</v>
      </c>
      <c r="P65" s="9" t="s">
        <v>69</v>
      </c>
      <c r="Q65" s="9"/>
      <c r="R65" s="9"/>
      <c r="S65" s="57" t="n">
        <f aca="false">G65*$Q3</f>
        <v>1.6</v>
      </c>
      <c r="T65" s="57" t="n">
        <f aca="false">H65*$Q3</f>
        <v>1.6</v>
      </c>
      <c r="U65" s="57" t="n">
        <f aca="false">I65*$Q3</f>
        <v>1.6</v>
      </c>
      <c r="V65" s="57" t="n">
        <f aca="false">J65*$Q3</f>
        <v>0.8</v>
      </c>
      <c r="W65" s="57"/>
      <c r="X65" s="57" t="n">
        <f aca="false">L65*$Q3</f>
        <v>0.4</v>
      </c>
      <c r="Y65" s="57" t="n">
        <f aca="false">M65*$Q3</f>
        <v>0.4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6"/>
      <c r="U66" s="26"/>
      <c r="V66" s="26"/>
      <c r="W66" s="26"/>
      <c r="X66" s="26"/>
      <c r="Y66" s="26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30</v>
      </c>
      <c r="H67" s="26" t="n">
        <v>2</v>
      </c>
      <c r="I67" s="26" t="n">
        <v>12</v>
      </c>
      <c r="J67" s="26" t="n">
        <v>2</v>
      </c>
      <c r="K67" s="26" t="n">
        <v>4</v>
      </c>
      <c r="L67" s="26" t="n">
        <v>8</v>
      </c>
      <c r="M67" s="26" t="n">
        <v>2</v>
      </c>
      <c r="P67" s="9" t="s">
        <v>71</v>
      </c>
      <c r="Q67" s="9"/>
      <c r="R67" s="9"/>
      <c r="S67" s="57" t="n">
        <f aca="false">G67*$Q3</f>
        <v>12</v>
      </c>
      <c r="T67" s="57" t="n">
        <f aca="false">H67*$Q3</f>
        <v>0.8</v>
      </c>
      <c r="U67" s="57" t="n">
        <f aca="false">I67*$Q3</f>
        <v>4.8</v>
      </c>
      <c r="V67" s="57" t="n">
        <f aca="false">J67*$Q3</f>
        <v>0.8</v>
      </c>
      <c r="W67" s="57" t="n">
        <f aca="false">K67*$Q3</f>
        <v>1.6</v>
      </c>
      <c r="X67" s="57" t="n">
        <f aca="false">L67*$Q3</f>
        <v>3.2</v>
      </c>
      <c r="Y67" s="57" t="n">
        <f aca="false">M67*$Q3</f>
        <v>0.8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5</v>
      </c>
      <c r="H68" s="30" t="n">
        <v>1</v>
      </c>
      <c r="I68" s="30" t="n">
        <v>2</v>
      </c>
      <c r="J68" s="30" t="n">
        <v>1</v>
      </c>
      <c r="K68" s="30" t="n">
        <v>1</v>
      </c>
      <c r="L68" s="30" t="n">
        <v>2</v>
      </c>
      <c r="M68" s="30" t="n">
        <v>2</v>
      </c>
      <c r="P68" s="9" t="s">
        <v>72</v>
      </c>
      <c r="Q68" s="9"/>
      <c r="R68" s="9"/>
      <c r="S68" s="59" t="n">
        <f aca="false">G68*$Q3</f>
        <v>2</v>
      </c>
      <c r="T68" s="59" t="n">
        <f aca="false">H68*$Q3</f>
        <v>0.4</v>
      </c>
      <c r="U68" s="59" t="n">
        <f aca="false">I68*$Q3</f>
        <v>0.8</v>
      </c>
      <c r="V68" s="59" t="n">
        <f aca="false">J68*$Q3</f>
        <v>0.4</v>
      </c>
      <c r="W68" s="59" t="n">
        <f aca="false">K68*$Q3</f>
        <v>0.4</v>
      </c>
      <c r="X68" s="59" t="n">
        <f aca="false">L68*$Q3</f>
        <v>0.8</v>
      </c>
      <c r="Y68" s="59" t="n">
        <f aca="false">M68*$Q3</f>
        <v>0.8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3</v>
      </c>
      <c r="H69" s="30" t="n">
        <v>1</v>
      </c>
      <c r="I69" s="30" t="n">
        <v>6</v>
      </c>
      <c r="J69" s="30" t="n">
        <v>3</v>
      </c>
      <c r="K69" s="30" t="n">
        <v>5</v>
      </c>
      <c r="L69" s="30" t="n">
        <v>4</v>
      </c>
      <c r="M69" s="30" t="n">
        <v>2</v>
      </c>
      <c r="P69" s="9" t="s">
        <v>73</v>
      </c>
      <c r="Q69" s="9"/>
      <c r="R69" s="9"/>
      <c r="S69" s="59" t="n">
        <f aca="false">G69*$Q3</f>
        <v>1.2</v>
      </c>
      <c r="T69" s="59" t="n">
        <f aca="false">H69*$Q3</f>
        <v>0.4</v>
      </c>
      <c r="U69" s="59" t="n">
        <f aca="false">I69*$Q3</f>
        <v>2.4</v>
      </c>
      <c r="V69" s="59" t="n">
        <f aca="false">J69*$Q3</f>
        <v>1.2</v>
      </c>
      <c r="W69" s="59" t="n">
        <f aca="false">K69*$Q3</f>
        <v>2</v>
      </c>
      <c r="X69" s="59" t="n">
        <f aca="false">L69*$Q3</f>
        <v>1.6</v>
      </c>
      <c r="Y69" s="59" t="n">
        <f aca="false">M69*$Q3</f>
        <v>0.8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SUM(G58,G62,G64,G67,G68,G69,G63)</f>
        <v>168</v>
      </c>
      <c r="H70" s="12" t="n">
        <f aca="false">SUM(H58,H63,H64,H65,H67,H68,H69)</f>
        <v>29</v>
      </c>
      <c r="I70" s="12" t="n">
        <f aca="false">SUM(I58,I63,I62,I65,I67,I68,I69)</f>
        <v>61</v>
      </c>
      <c r="J70" s="12" t="n">
        <f aca="false">SUM(J58,J64,J65,J67,J68,J69)</f>
        <v>40</v>
      </c>
      <c r="K70" s="12" t="n">
        <f aca="false">SUM(K58,K62,K63,K64,K67,K68,K69)</f>
        <v>34</v>
      </c>
      <c r="L70" s="12" t="n">
        <f aca="false">SUM(L58,L62,L65,L67,L68,L69)</f>
        <v>32</v>
      </c>
      <c r="M70" s="12" t="n">
        <f aca="false">SUM(M58,M62,M64,M65,M67,M68,M69)</f>
        <v>30</v>
      </c>
      <c r="P70" s="9" t="s">
        <v>60</v>
      </c>
      <c r="Q70" s="9"/>
      <c r="R70" s="9"/>
      <c r="S70" s="61" t="n">
        <f aca="false">G70*$Q3</f>
        <v>67.2</v>
      </c>
      <c r="T70" s="61" t="n">
        <f aca="false">H70*$Q3</f>
        <v>11.6</v>
      </c>
      <c r="U70" s="61" t="n">
        <f aca="false">I70*$Q3</f>
        <v>24.4</v>
      </c>
      <c r="V70" s="61" t="n">
        <f aca="false">J70*$Q3</f>
        <v>16</v>
      </c>
      <c r="W70" s="61" t="n">
        <f aca="false">K70*$Q3</f>
        <v>13.6</v>
      </c>
      <c r="X70" s="61" t="n">
        <f aca="false">L70*$Q3</f>
        <v>12.8</v>
      </c>
      <c r="Y70" s="61" t="n">
        <f aca="false">M70*$Q3</f>
        <v>12</v>
      </c>
    </row>
    <row r="76" customFormat="false" ht="15" hidden="false" customHeight="false" outlineLevel="0" collapsed="false">
      <c r="F76" s="34" t="s">
        <v>74</v>
      </c>
      <c r="G76" s="34"/>
      <c r="H76" s="35" t="s">
        <v>75</v>
      </c>
      <c r="I76" s="35" t="s">
        <v>76</v>
      </c>
      <c r="J76" s="35" t="s">
        <v>77</v>
      </c>
      <c r="K76" s="35" t="s">
        <v>78</v>
      </c>
      <c r="L76" s="35" t="s">
        <v>79</v>
      </c>
      <c r="M76" s="35" t="s">
        <v>80</v>
      </c>
      <c r="N76" s="35"/>
      <c r="O76" s="35" t="s">
        <v>81</v>
      </c>
      <c r="P76" s="35" t="s">
        <v>82</v>
      </c>
      <c r="Q76" s="35" t="s">
        <v>83</v>
      </c>
      <c r="R76" s="35" t="s">
        <v>84</v>
      </c>
      <c r="S76" s="35" t="s">
        <v>85</v>
      </c>
      <c r="T76" s="35" t="s">
        <v>86</v>
      </c>
      <c r="U76" s="35"/>
      <c r="V76" s="37" t="s">
        <v>87</v>
      </c>
    </row>
    <row r="77" customFormat="false" ht="15" hidden="false" customHeight="false" outlineLevel="0" collapsed="false">
      <c r="F77" s="38" t="n">
        <v>44886</v>
      </c>
      <c r="G77" s="38"/>
      <c r="H77" s="62" t="n">
        <v>4.6</v>
      </c>
      <c r="I77" s="62" t="n">
        <v>11.7</v>
      </c>
      <c r="J77" s="62" t="n">
        <v>9.6</v>
      </c>
      <c r="K77" s="62" t="n">
        <v>12</v>
      </c>
      <c r="L77" s="62" t="n">
        <v>4</v>
      </c>
      <c r="M77" s="63" t="n">
        <v>8</v>
      </c>
      <c r="N77" s="13"/>
      <c r="O77" s="13" t="n">
        <v>77</v>
      </c>
      <c r="P77" s="13" t="n">
        <v>46</v>
      </c>
      <c r="Q77" s="13" t="n">
        <v>81</v>
      </c>
      <c r="R77" s="62" t="n">
        <v>68</v>
      </c>
      <c r="S77" s="64" t="n">
        <v>94</v>
      </c>
      <c r="T77" s="64" t="n">
        <v>45</v>
      </c>
      <c r="U77" s="13"/>
      <c r="V77" s="72" t="n">
        <v>3</v>
      </c>
    </row>
    <row r="78" customFormat="false" ht="15" hidden="false" customHeight="false" outlineLevel="0" collapsed="false">
      <c r="F78" s="38" t="n">
        <v>44887</v>
      </c>
      <c r="G78" s="38"/>
      <c r="H78" s="62" t="n">
        <v>7.5</v>
      </c>
      <c r="I78" s="62" t="n">
        <v>8</v>
      </c>
      <c r="J78" s="62" t="n">
        <v>8.4</v>
      </c>
      <c r="K78" s="62" t="n">
        <v>9.1</v>
      </c>
      <c r="L78" s="62" t="n">
        <v>7.3</v>
      </c>
      <c r="M78" s="63" t="n">
        <v>8.2</v>
      </c>
      <c r="N78" s="13"/>
      <c r="O78" s="13" t="n">
        <v>95</v>
      </c>
      <c r="P78" s="13" t="n">
        <v>95</v>
      </c>
      <c r="Q78" s="13" t="n">
        <v>82</v>
      </c>
      <c r="R78" s="62" t="n">
        <v>90.7</v>
      </c>
      <c r="S78" s="64" t="n">
        <v>95</v>
      </c>
      <c r="T78" s="64" t="n">
        <v>79</v>
      </c>
      <c r="U78" s="13"/>
      <c r="V78" s="65" t="n">
        <v>50.6</v>
      </c>
    </row>
    <row r="79" customFormat="false" ht="15" hidden="false" customHeight="false" outlineLevel="0" collapsed="false">
      <c r="F79" s="38" t="n">
        <v>44888</v>
      </c>
      <c r="G79" s="38"/>
      <c r="H79" s="62" t="n">
        <v>4.9</v>
      </c>
      <c r="I79" s="62" t="n">
        <v>12</v>
      </c>
      <c r="J79" s="62" t="n">
        <v>8.1</v>
      </c>
      <c r="K79" s="62" t="n">
        <v>13.4</v>
      </c>
      <c r="L79" s="62" t="n">
        <v>4.4</v>
      </c>
      <c r="M79" s="63" t="n">
        <v>8.9</v>
      </c>
      <c r="N79" s="13"/>
      <c r="O79" s="13" t="n">
        <v>76</v>
      </c>
      <c r="P79" s="13" t="n">
        <v>53</v>
      </c>
      <c r="Q79" s="13" t="n">
        <v>80</v>
      </c>
      <c r="R79" s="62" t="n">
        <v>69.7</v>
      </c>
      <c r="S79" s="64" t="n">
        <v>94</v>
      </c>
      <c r="T79" s="64" t="n">
        <v>44</v>
      </c>
      <c r="U79" s="13"/>
      <c r="V79" s="65" t="n">
        <v>0</v>
      </c>
    </row>
    <row r="80" customFormat="false" ht="15" hidden="false" customHeight="false" outlineLevel="0" collapsed="false">
      <c r="F80" s="38" t="n">
        <v>44889</v>
      </c>
      <c r="G80" s="38"/>
      <c r="H80" s="62" t="n">
        <v>4</v>
      </c>
      <c r="I80" s="62" t="n">
        <v>12.5</v>
      </c>
      <c r="J80" s="62" t="n">
        <v>9</v>
      </c>
      <c r="K80" s="62" t="n">
        <v>13.9</v>
      </c>
      <c r="L80" s="62" t="n">
        <v>3.9</v>
      </c>
      <c r="M80" s="63" t="n">
        <v>8.9</v>
      </c>
      <c r="N80" s="13"/>
      <c r="O80" s="13" t="n">
        <v>89</v>
      </c>
      <c r="P80" s="13" t="n">
        <v>55</v>
      </c>
      <c r="Q80" s="13" t="n">
        <v>81</v>
      </c>
      <c r="R80" s="62" t="n">
        <v>75</v>
      </c>
      <c r="S80" s="64" t="n">
        <v>93</v>
      </c>
      <c r="T80" s="64" t="n">
        <v>52</v>
      </c>
      <c r="U80" s="13"/>
      <c r="V80" s="65" t="n">
        <v>0</v>
      </c>
    </row>
    <row r="81" customFormat="false" ht="15" hidden="false" customHeight="false" outlineLevel="0" collapsed="false">
      <c r="F81" s="38" t="n">
        <v>44890</v>
      </c>
      <c r="G81" s="38"/>
      <c r="H81" s="62" t="n">
        <v>4.8</v>
      </c>
      <c r="I81" s="62" t="n">
        <v>10</v>
      </c>
      <c r="J81" s="62" t="n">
        <v>8.2</v>
      </c>
      <c r="K81" s="62" t="n">
        <v>10</v>
      </c>
      <c r="L81" s="62" t="n">
        <v>4.7</v>
      </c>
      <c r="M81" s="63" t="n">
        <v>7.35</v>
      </c>
      <c r="N81" s="13"/>
      <c r="O81" s="13" t="n">
        <v>93</v>
      </c>
      <c r="P81" s="13" t="n">
        <v>77</v>
      </c>
      <c r="Q81" s="13" t="n">
        <v>95</v>
      </c>
      <c r="R81" s="62" t="n">
        <v>88.3</v>
      </c>
      <c r="S81" s="64" t="n">
        <v>93</v>
      </c>
      <c r="T81" s="64" t="n">
        <v>70</v>
      </c>
      <c r="U81" s="13"/>
      <c r="V81" s="65" t="n">
        <v>0</v>
      </c>
    </row>
    <row r="82" customFormat="false" ht="15" hidden="false" customHeight="false" outlineLevel="0" collapsed="false">
      <c r="F82" s="38" t="n">
        <v>44891</v>
      </c>
      <c r="G82" s="38"/>
      <c r="H82" s="62" t="n">
        <v>3.8</v>
      </c>
      <c r="I82" s="62" t="n">
        <v>11.7</v>
      </c>
      <c r="J82" s="62" t="n">
        <v>8.3</v>
      </c>
      <c r="K82" s="62" t="n">
        <v>11.9</v>
      </c>
      <c r="L82" s="62" t="n">
        <v>3.7</v>
      </c>
      <c r="M82" s="63" t="n">
        <v>7.8</v>
      </c>
      <c r="N82" s="13"/>
      <c r="O82" s="13" t="n">
        <v>95</v>
      </c>
      <c r="P82" s="13" t="n">
        <v>70</v>
      </c>
      <c r="Q82" s="13" t="n">
        <v>88</v>
      </c>
      <c r="R82" s="62" t="n">
        <v>84.3</v>
      </c>
      <c r="S82" s="64" t="n">
        <v>96</v>
      </c>
      <c r="T82" s="64" t="n">
        <v>70</v>
      </c>
      <c r="U82" s="13"/>
      <c r="V82" s="65" t="n">
        <v>0</v>
      </c>
    </row>
    <row r="83" customFormat="false" ht="15" hidden="false" customHeight="false" outlineLevel="0" collapsed="false">
      <c r="F83" s="45" t="n">
        <v>44892</v>
      </c>
      <c r="G83" s="45"/>
      <c r="H83" s="66" t="n">
        <v>3.2</v>
      </c>
      <c r="I83" s="66" t="n">
        <v>10.3</v>
      </c>
      <c r="J83" s="66" t="n">
        <v>7.2</v>
      </c>
      <c r="K83" s="66" t="n">
        <v>11.2</v>
      </c>
      <c r="L83" s="66" t="n">
        <v>3.2</v>
      </c>
      <c r="M83" s="67" t="n">
        <v>7.2</v>
      </c>
      <c r="N83" s="49"/>
      <c r="O83" s="49" t="n">
        <v>87</v>
      </c>
      <c r="P83" s="49" t="n">
        <v>59</v>
      </c>
      <c r="Q83" s="49" t="n">
        <v>81</v>
      </c>
      <c r="R83" s="66" t="n">
        <v>75.7</v>
      </c>
      <c r="S83" s="68" t="n">
        <v>89</v>
      </c>
      <c r="T83" s="68" t="n">
        <v>57</v>
      </c>
      <c r="U83" s="49"/>
      <c r="V83" s="69" t="n">
        <v>0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52" colorId="64" zoomScale="100" zoomScaleNormal="100" zoomScalePageLayoutView="100" workbookViewId="0">
      <selection pane="topLeft" activeCell="H76" activeCellId="0" sqref="H76"/>
    </sheetView>
  </sheetViews>
  <sheetFormatPr defaultColWidth="8.859375" defaultRowHeight="15" customHeight="true" zeroHeight="false" outlineLevelRow="0" outlineLevelCol="0"/>
  <cols>
    <col collapsed="false" customWidth="true" hidden="false" outlineLevel="0" max="6" min="6" style="1" width="10.14"/>
  </cols>
  <sheetData>
    <row r="3" customFormat="false" ht="15" hidden="false" customHeight="false" outlineLevel="0" collapsed="false">
      <c r="G3" s="2" t="s">
        <v>0</v>
      </c>
      <c r="H3" s="3" t="s">
        <v>1</v>
      </c>
      <c r="I3" s="2" t="s">
        <v>2</v>
      </c>
      <c r="J3" s="4" t="n">
        <v>44893</v>
      </c>
      <c r="K3" s="5" t="n">
        <v>44899</v>
      </c>
      <c r="L3" s="6" t="s">
        <v>3</v>
      </c>
      <c r="M3" s="3" t="n">
        <v>2022</v>
      </c>
      <c r="P3" s="7" t="s">
        <v>4</v>
      </c>
      <c r="Q3" s="7" t="n">
        <v>0.4</v>
      </c>
      <c r="S3" s="2" t="s">
        <v>0</v>
      </c>
      <c r="T3" s="3" t="s">
        <v>1</v>
      </c>
      <c r="U3" s="2" t="s">
        <v>2</v>
      </c>
      <c r="V3" s="4" t="n">
        <v>44893</v>
      </c>
      <c r="W3" s="5" t="n">
        <v>44899</v>
      </c>
      <c r="X3" s="6" t="s">
        <v>3</v>
      </c>
      <c r="Y3" s="3" t="n">
        <v>2022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 t="n">
        <v>1</v>
      </c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 t="n">
        <f aca="false">Tabella52791124[[#This Row],[Colonna6]]*$Q3</f>
        <v>0.4</v>
      </c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</v>
      </c>
      <c r="H22" s="13"/>
      <c r="I22" s="13"/>
      <c r="J22" s="13" t="n">
        <v>1</v>
      </c>
      <c r="K22" s="13"/>
      <c r="L22" s="13" t="n">
        <v>3</v>
      </c>
      <c r="M22" s="13"/>
      <c r="P22" s="12" t="s">
        <v>29</v>
      </c>
      <c r="Q22" s="12"/>
      <c r="R22" s="12"/>
      <c r="S22" s="14" t="n">
        <f aca="false">Tabella52791124[[#This Row],[Colonna1]]*$Q3</f>
        <v>0.8</v>
      </c>
      <c r="T22" s="14"/>
      <c r="U22" s="14"/>
      <c r="V22" s="14" t="n">
        <f aca="false">Tabella52791124[[#This Row],[Colonna4]]*$Q3</f>
        <v>0.4</v>
      </c>
      <c r="W22" s="14"/>
      <c r="X22" s="14" t="n">
        <f aca="false">Tabella52791124[[#This Row],[Colonna6]]*$Q3</f>
        <v>1.2</v>
      </c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 t="n">
        <v>1</v>
      </c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 t="n">
        <f aca="false">Tabella52791124[[#This Row],[Colonna5]]*$Q3</f>
        <v>0.4</v>
      </c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 t="n">
        <v>1</v>
      </c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 t="n">
        <f aca="false">Tabella52791124[[#This Row],[Colonna4]]*$Q3</f>
        <v>0.4</v>
      </c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13" t="n">
        <v>1</v>
      </c>
      <c r="I41" s="13"/>
      <c r="J41" s="13" t="n">
        <v>1</v>
      </c>
      <c r="K41" s="13"/>
      <c r="L41" s="13"/>
      <c r="M41" s="13"/>
      <c r="P41" s="18" t="s">
        <v>48</v>
      </c>
      <c r="Q41" s="18"/>
      <c r="R41" s="18"/>
      <c r="S41" s="14" t="n">
        <f aca="false">Tabella52791124[[#This Row],[Colonna1]]*$Q3</f>
        <v>0.4</v>
      </c>
      <c r="T41" s="14" t="n">
        <f aca="false">Tabella52791124[[#This Row],[Colonna2]]*$Q3</f>
        <v>0.4</v>
      </c>
      <c r="U41" s="14"/>
      <c r="V41" s="14" t="n">
        <f aca="false">Tabella52791124[[#This Row],[Colonna4]]*$Q3</f>
        <v>0.4</v>
      </c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</v>
      </c>
      <c r="H44" s="13" t="n">
        <v>1</v>
      </c>
      <c r="I44" s="13" t="n">
        <v>2</v>
      </c>
      <c r="J44" s="13" t="n">
        <v>2</v>
      </c>
      <c r="K44" s="13" t="n">
        <v>1</v>
      </c>
      <c r="L44" s="13" t="n">
        <v>2</v>
      </c>
      <c r="M44" s="13"/>
      <c r="P44" s="12" t="s">
        <v>51</v>
      </c>
      <c r="Q44" s="12"/>
      <c r="R44" s="12"/>
      <c r="S44" s="14" t="n">
        <f aca="false">Tabella52791124[[#This Row],[Colonna1]]*$Q3</f>
        <v>0.8</v>
      </c>
      <c r="T44" s="14" t="n">
        <f aca="false">Tabella52791124[[#This Row],[Colonna2]]*$Q3</f>
        <v>0.4</v>
      </c>
      <c r="U44" s="14" t="n">
        <f aca="false">Tabella52791124[[#This Row],[Colonna3]]*$Q3</f>
        <v>0.8</v>
      </c>
      <c r="V44" s="14" t="n">
        <f aca="false">Tabella52791124[[#This Row],[Colonna4]]*$Q3</f>
        <v>0.8</v>
      </c>
      <c r="W44" s="14" t="n">
        <f aca="false">Tabella52791124[[#This Row],[Colonna5]]*$Q3</f>
        <v>0.4</v>
      </c>
      <c r="X44" s="14" t="n">
        <f aca="false">Tabella52791124[[#This Row],[Colonna6]]*$Q3</f>
        <v>0.8</v>
      </c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</v>
      </c>
      <c r="H52" s="13" t="n">
        <v>1</v>
      </c>
      <c r="I52" s="13" t="n">
        <v>2</v>
      </c>
      <c r="J52" s="13"/>
      <c r="K52" s="13"/>
      <c r="L52" s="13" t="n">
        <v>1</v>
      </c>
      <c r="M52" s="13"/>
      <c r="P52" s="12" t="s">
        <v>59</v>
      </c>
      <c r="Q52" s="12"/>
      <c r="R52" s="12"/>
      <c r="S52" s="14" t="n">
        <f aca="false">Tabella52791124[[#This Row],[Colonna1]]*$Q3</f>
        <v>0.8</v>
      </c>
      <c r="T52" s="14" t="n">
        <f aca="false">Tabella52791124[[#This Row],[Colonna2]]*$Q3</f>
        <v>0.4</v>
      </c>
      <c r="U52" s="14" t="n">
        <f aca="false">Tabella52791124[[#This Row],[Colonna3]]*$Q3</f>
        <v>0.8</v>
      </c>
      <c r="V52" s="14"/>
      <c r="W52" s="14"/>
      <c r="X52" s="14" t="n">
        <f aca="false">Tabella52791124[[#This Row],[Colonna6]]*$Q3</f>
        <v>0.4</v>
      </c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SUM(G52,G44,G41,G22)</f>
        <v>7</v>
      </c>
      <c r="H53" s="55" t="n">
        <f aca="false">SUM(H41,H44,H52)</f>
        <v>3</v>
      </c>
      <c r="I53" s="55" t="n">
        <f aca="false">SUM(I52,I44)</f>
        <v>4</v>
      </c>
      <c r="J53" s="55" t="n">
        <f aca="false">SUM(J44,J41,J27,J22)</f>
        <v>5</v>
      </c>
      <c r="K53" s="55" t="n">
        <f aca="false">SUM(K44,K26)</f>
        <v>2</v>
      </c>
      <c r="L53" s="55" t="n">
        <f aca="false">SUM(L52,L44,L22,L17)</f>
        <v>7</v>
      </c>
      <c r="M53" s="55" t="n">
        <v>0</v>
      </c>
      <c r="P53" s="17" t="s">
        <v>60</v>
      </c>
      <c r="Q53" s="17"/>
      <c r="R53" s="17"/>
      <c r="S53" s="56" t="n">
        <f aca="false">Tabella52791124[[#This Row],[Colonna1]]*$Q3</f>
        <v>2.8</v>
      </c>
      <c r="T53" s="56" t="n">
        <f aca="false">Tabella52791124[[#This Row],[Colonna2]]*$Q3</f>
        <v>1.2</v>
      </c>
      <c r="U53" s="56" t="n">
        <f aca="false">Tabella52791124[[#This Row],[Colonna3]]*$Q3</f>
        <v>1.6</v>
      </c>
      <c r="V53" s="56" t="n">
        <f aca="false">Tabella52791124[[#This Row],[Colonna4]]*$Q3</f>
        <v>2</v>
      </c>
      <c r="W53" s="56" t="n">
        <f aca="false">Tabella52791124[[#This Row],[Colonna5]]*$Q3</f>
        <v>0.8</v>
      </c>
      <c r="X53" s="56" t="n">
        <f aca="false">Tabella52791124[[#This Row],[Colonna6]]*$Q3</f>
        <v>2.8</v>
      </c>
      <c r="Y53" s="56" t="n">
        <f aca="false">Tabella52791124[[#This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34</v>
      </c>
      <c r="H58" s="26" t="n">
        <v>11</v>
      </c>
      <c r="I58" s="26" t="n">
        <v>30</v>
      </c>
      <c r="J58" s="26" t="n">
        <v>28</v>
      </c>
      <c r="K58" s="26" t="n">
        <v>27</v>
      </c>
      <c r="L58" s="26" t="n">
        <v>11</v>
      </c>
      <c r="M58" s="26" t="n">
        <v>15</v>
      </c>
      <c r="P58" s="23" t="s">
        <v>62</v>
      </c>
      <c r="Q58" s="23"/>
      <c r="R58" s="23"/>
      <c r="S58" s="57" t="n">
        <f aca="false">G58*$Q3</f>
        <v>13.6</v>
      </c>
      <c r="T58" s="57" t="n">
        <f aca="false">H58*$Q3</f>
        <v>4.4</v>
      </c>
      <c r="U58" s="57" t="n">
        <f aca="false">I58*$Q3</f>
        <v>12</v>
      </c>
      <c r="V58" s="57" t="n">
        <f aca="false">J58*$Q3</f>
        <v>11.2</v>
      </c>
      <c r="W58" s="57" t="n">
        <f aca="false">K58*$Q3</f>
        <v>10.8</v>
      </c>
      <c r="X58" s="57" t="n">
        <f aca="false">L58*$Q3</f>
        <v>4.4</v>
      </c>
      <c r="Y58" s="57" t="n">
        <f aca="false">M58*$Q3</f>
        <v>6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6"/>
      <c r="U59" s="57"/>
      <c r="V59" s="26"/>
      <c r="W59" s="26"/>
      <c r="X59" s="26"/>
      <c r="Y59" s="26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6"/>
      <c r="U60" s="57"/>
      <c r="V60" s="26"/>
      <c r="W60" s="26"/>
      <c r="X60" s="26"/>
      <c r="Y60" s="26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6"/>
      <c r="U61" s="57"/>
      <c r="V61" s="26"/>
      <c r="W61" s="26"/>
      <c r="X61" s="26"/>
      <c r="Y61" s="26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3</v>
      </c>
      <c r="H62" s="26" t="n">
        <v>2</v>
      </c>
      <c r="I62" s="26" t="n">
        <v>6</v>
      </c>
      <c r="J62" s="26" t="n">
        <v>1</v>
      </c>
      <c r="K62" s="26"/>
      <c r="L62" s="26" t="n">
        <v>1</v>
      </c>
      <c r="M62" s="26" t="n">
        <v>3</v>
      </c>
      <c r="P62" s="9" t="s">
        <v>66</v>
      </c>
      <c r="Q62" s="9"/>
      <c r="R62" s="9"/>
      <c r="S62" s="57" t="n">
        <f aca="false">G62*$Q3</f>
        <v>1.2</v>
      </c>
      <c r="T62" s="57" t="n">
        <f aca="false">H62*$Q3</f>
        <v>0.8</v>
      </c>
      <c r="U62" s="57" t="n">
        <f aca="false">I62*$Q3</f>
        <v>2.4</v>
      </c>
      <c r="V62" s="57" t="n">
        <f aca="false">J62*$Q3</f>
        <v>0.4</v>
      </c>
      <c r="W62" s="57"/>
      <c r="X62" s="57" t="n">
        <f aca="false">L62*$Q3</f>
        <v>0.4</v>
      </c>
      <c r="Y62" s="57" t="n">
        <f aca="false">M62*$Q3</f>
        <v>1.2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1</v>
      </c>
      <c r="H63" s="26"/>
      <c r="I63" s="26"/>
      <c r="J63" s="26"/>
      <c r="K63" s="26"/>
      <c r="L63" s="26"/>
      <c r="M63" s="26"/>
      <c r="P63" s="9" t="s">
        <v>67</v>
      </c>
      <c r="Q63" s="9"/>
      <c r="R63" s="9"/>
      <c r="S63" s="57" t="n">
        <f aca="false">G63*$Q3</f>
        <v>0.4</v>
      </c>
      <c r="T63" s="26"/>
      <c r="U63" s="57"/>
      <c r="V63" s="26"/>
      <c r="W63" s="26"/>
      <c r="X63" s="26"/>
      <c r="Y63" s="26"/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3</v>
      </c>
      <c r="H64" s="26"/>
      <c r="I64" s="26" t="n">
        <v>2</v>
      </c>
      <c r="J64" s="26" t="n">
        <v>2</v>
      </c>
      <c r="K64" s="26" t="n">
        <v>1</v>
      </c>
      <c r="L64" s="26" t="n">
        <v>1</v>
      </c>
      <c r="M64" s="26"/>
      <c r="P64" s="9" t="s">
        <v>68</v>
      </c>
      <c r="Q64" s="9"/>
      <c r="R64" s="9"/>
      <c r="S64" s="57" t="n">
        <f aca="false">G64*$Q3</f>
        <v>1.2</v>
      </c>
      <c r="T64" s="57"/>
      <c r="U64" s="57" t="n">
        <f aca="false">I64*$Q3</f>
        <v>0.8</v>
      </c>
      <c r="V64" s="57" t="n">
        <f aca="false">J64*$Q3</f>
        <v>0.8</v>
      </c>
      <c r="W64" s="57" t="n">
        <f aca="false">K64*$Q3</f>
        <v>0.4</v>
      </c>
      <c r="X64" s="57" t="n">
        <f aca="false">L64*$Q3</f>
        <v>0.4</v>
      </c>
      <c r="Y64" s="26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1</v>
      </c>
      <c r="H65" s="26" t="n">
        <v>2</v>
      </c>
      <c r="I65" s="26" t="n">
        <v>3</v>
      </c>
      <c r="J65" s="26"/>
      <c r="K65" s="26"/>
      <c r="L65" s="26" t="n">
        <v>1</v>
      </c>
      <c r="M65" s="26" t="n">
        <v>11</v>
      </c>
      <c r="P65" s="9" t="s">
        <v>69</v>
      </c>
      <c r="Q65" s="9"/>
      <c r="R65" s="9"/>
      <c r="S65" s="57" t="n">
        <f aca="false">G65*$Q3</f>
        <v>0.4</v>
      </c>
      <c r="T65" s="57" t="n">
        <f aca="false">H65*$Q3</f>
        <v>0.8</v>
      </c>
      <c r="U65" s="57" t="n">
        <f aca="false">I65*$Q3</f>
        <v>1.2</v>
      </c>
      <c r="V65" s="57"/>
      <c r="W65" s="57"/>
      <c r="X65" s="57" t="n">
        <f aca="false">L65*$Q3</f>
        <v>0.4</v>
      </c>
      <c r="Y65" s="57" t="n">
        <f aca="false">M65*$Q3</f>
        <v>4.4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6"/>
      <c r="U66" s="57"/>
      <c r="V66" s="26"/>
      <c r="W66" s="26"/>
      <c r="X66" s="26"/>
      <c r="Y66" s="26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7</v>
      </c>
      <c r="H67" s="26" t="n">
        <v>1</v>
      </c>
      <c r="I67" s="26" t="n">
        <v>10</v>
      </c>
      <c r="J67" s="26" t="n">
        <v>3</v>
      </c>
      <c r="K67" s="26"/>
      <c r="L67" s="26"/>
      <c r="M67" s="26" t="n">
        <v>2</v>
      </c>
      <c r="P67" s="9" t="s">
        <v>71</v>
      </c>
      <c r="Q67" s="9"/>
      <c r="R67" s="9"/>
      <c r="S67" s="57" t="n">
        <f aca="false">G67*$Q3</f>
        <v>2.8</v>
      </c>
      <c r="T67" s="57" t="n">
        <f aca="false">H67*$Q3</f>
        <v>0.4</v>
      </c>
      <c r="U67" s="57" t="n">
        <f aca="false">I67*$Q3</f>
        <v>4</v>
      </c>
      <c r="V67" s="57" t="n">
        <f aca="false">J67*$Q3</f>
        <v>1.2</v>
      </c>
      <c r="W67" s="57"/>
      <c r="X67" s="57"/>
      <c r="Y67" s="57" t="n">
        <f aca="false">M67*$Q3</f>
        <v>0.8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</v>
      </c>
      <c r="H68" s="30" t="n">
        <v>3</v>
      </c>
      <c r="I68" s="30" t="n">
        <v>4</v>
      </c>
      <c r="J68" s="30" t="n">
        <v>2</v>
      </c>
      <c r="K68" s="30" t="n">
        <v>3</v>
      </c>
      <c r="L68" s="30"/>
      <c r="M68" s="30"/>
      <c r="P68" s="9" t="s">
        <v>72</v>
      </c>
      <c r="Q68" s="9"/>
      <c r="R68" s="9"/>
      <c r="S68" s="59" t="n">
        <f aca="false">G68*$Q3</f>
        <v>0.4</v>
      </c>
      <c r="T68" s="59" t="n">
        <f aca="false">H68*$Q3</f>
        <v>1.2</v>
      </c>
      <c r="U68" s="59" t="n">
        <f aca="false">I68*$Q3</f>
        <v>1.6</v>
      </c>
      <c r="V68" s="59" t="n">
        <f aca="false">J68*$Q3</f>
        <v>0.8</v>
      </c>
      <c r="W68" s="59" t="n">
        <f aca="false">K68*$Q3</f>
        <v>1.2</v>
      </c>
      <c r="X68" s="59"/>
      <c r="Y68" s="59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10</v>
      </c>
      <c r="H69" s="30" t="n">
        <v>2</v>
      </c>
      <c r="I69" s="30" t="n">
        <v>3</v>
      </c>
      <c r="J69" s="30" t="n">
        <v>8</v>
      </c>
      <c r="K69" s="30" t="n">
        <v>2</v>
      </c>
      <c r="L69" s="30" t="n">
        <v>1</v>
      </c>
      <c r="M69" s="30" t="n">
        <v>3</v>
      </c>
      <c r="P69" s="9" t="s">
        <v>73</v>
      </c>
      <c r="Q69" s="9"/>
      <c r="R69" s="9"/>
      <c r="S69" s="59" t="n">
        <f aca="false">G69*$Q3</f>
        <v>4</v>
      </c>
      <c r="T69" s="59" t="n">
        <f aca="false">H69*$Q3</f>
        <v>0.8</v>
      </c>
      <c r="U69" s="59" t="n">
        <f aca="false">I69*$Q3</f>
        <v>1.2</v>
      </c>
      <c r="V69" s="59" t="n">
        <f aca="false">J69*$Q3</f>
        <v>3.2</v>
      </c>
      <c r="W69" s="59" t="n">
        <f aca="false">K69*$Q3</f>
        <v>0.8</v>
      </c>
      <c r="X69" s="59" t="n">
        <f aca="false">L69*$Q3</f>
        <v>0.4</v>
      </c>
      <c r="Y69" s="59" t="n">
        <f aca="false">M69*$Q3</f>
        <v>1.2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SUM(G58,G67,G69,G62,G63,G64,G65,G68)</f>
        <v>60</v>
      </c>
      <c r="H70" s="12" t="n">
        <f aca="false">SUM(H58,H62,H65,H67,H68,H69)</f>
        <v>21</v>
      </c>
      <c r="I70" s="12" t="n">
        <f aca="false">SUM(I58,I62,I65,I67,I68,I69,I64)</f>
        <v>58</v>
      </c>
      <c r="J70" s="12" t="n">
        <f aca="false">SUM(J58,J62,J67,J68,J69,J64)</f>
        <v>44</v>
      </c>
      <c r="K70" s="12" t="n">
        <f aca="false">SUM(K58,K68,K69,K64)</f>
        <v>33</v>
      </c>
      <c r="L70" s="12" t="n">
        <f aca="false">SUM(L58,L62,L64,L65,L69)</f>
        <v>15</v>
      </c>
      <c r="M70" s="12" t="n">
        <f aca="false">SUM(M58,M62,M65,M69,M67)</f>
        <v>34</v>
      </c>
      <c r="P70" s="9" t="s">
        <v>60</v>
      </c>
      <c r="Q70" s="9"/>
      <c r="R70" s="9"/>
      <c r="S70" s="61" t="n">
        <f aca="false">G70*$Q3</f>
        <v>24</v>
      </c>
      <c r="T70" s="61" t="n">
        <f aca="false">H70*$Q3</f>
        <v>8.4</v>
      </c>
      <c r="U70" s="61" t="n">
        <f aca="false">I70*$Q3</f>
        <v>23.2</v>
      </c>
      <c r="V70" s="61" t="n">
        <f aca="false">J70*$Q3</f>
        <v>17.6</v>
      </c>
      <c r="W70" s="61" t="n">
        <f aca="false">K70*$Q3</f>
        <v>13.2</v>
      </c>
      <c r="X70" s="61" t="n">
        <f aca="false">L70*$Q3</f>
        <v>6</v>
      </c>
      <c r="Y70" s="61" t="n">
        <f aca="false">M70*$Q3</f>
        <v>13.6</v>
      </c>
    </row>
    <row r="76" customFormat="false" ht="15" hidden="false" customHeight="false" outlineLevel="0" collapsed="false">
      <c r="F76" s="34" t="s">
        <v>74</v>
      </c>
      <c r="G76" s="34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 t="n">
        <v>44893</v>
      </c>
      <c r="G77" s="75"/>
      <c r="H77" s="76" t="n">
        <v>4.7</v>
      </c>
      <c r="I77" s="76" t="n">
        <v>6.5</v>
      </c>
      <c r="J77" s="76" t="n">
        <v>6</v>
      </c>
      <c r="K77" s="76" t="n">
        <v>7</v>
      </c>
      <c r="L77" s="76" t="n">
        <v>4.6</v>
      </c>
      <c r="M77" s="76" t="n">
        <v>5.8</v>
      </c>
      <c r="N77" s="76"/>
      <c r="O77" s="76" t="n">
        <v>86</v>
      </c>
      <c r="P77" s="76" t="n">
        <v>81</v>
      </c>
      <c r="Q77" s="76" t="n">
        <v>89</v>
      </c>
      <c r="R77" s="76" t="n">
        <v>85.3</v>
      </c>
      <c r="S77" s="76" t="n">
        <v>90</v>
      </c>
      <c r="T77" s="76" t="n">
        <v>80</v>
      </c>
      <c r="U77" s="76"/>
      <c r="V77" s="77" t="n">
        <v>0</v>
      </c>
    </row>
    <row r="78" customFormat="false" ht="15" hidden="false" customHeight="false" outlineLevel="0" collapsed="false">
      <c r="F78" s="38" t="n">
        <v>44894</v>
      </c>
      <c r="G78" s="38"/>
      <c r="H78" s="78" t="n">
        <v>6</v>
      </c>
      <c r="I78" s="78" t="n">
        <v>6.4</v>
      </c>
      <c r="J78" s="78" t="n">
        <v>6.1</v>
      </c>
      <c r="K78" s="78" t="n">
        <v>6.6</v>
      </c>
      <c r="L78" s="78" t="n">
        <v>5.1</v>
      </c>
      <c r="M78" s="78" t="n">
        <v>5.85</v>
      </c>
      <c r="N78" s="78"/>
      <c r="O78" s="78" t="n">
        <v>90</v>
      </c>
      <c r="P78" s="78" t="n">
        <v>88</v>
      </c>
      <c r="Q78" s="78" t="n">
        <v>90</v>
      </c>
      <c r="R78" s="78" t="n">
        <v>89.3</v>
      </c>
      <c r="S78" s="78" t="n">
        <v>91</v>
      </c>
      <c r="T78" s="78" t="n">
        <v>87</v>
      </c>
      <c r="U78" s="78"/>
      <c r="V78" s="79" t="n">
        <v>3.8</v>
      </c>
    </row>
    <row r="79" customFormat="false" ht="15" hidden="false" customHeight="false" outlineLevel="0" collapsed="false">
      <c r="F79" s="38" t="n">
        <v>44895</v>
      </c>
      <c r="G79" s="38"/>
      <c r="H79" s="78" t="n">
        <v>5.6</v>
      </c>
      <c r="I79" s="78" t="n">
        <v>9</v>
      </c>
      <c r="J79" s="78" t="n">
        <v>8</v>
      </c>
      <c r="K79" s="78" t="n">
        <v>9.2</v>
      </c>
      <c r="L79" s="78" t="n">
        <v>5</v>
      </c>
      <c r="M79" s="78" t="n">
        <v>7.1</v>
      </c>
      <c r="N79" s="78"/>
      <c r="O79" s="78" t="n">
        <v>89</v>
      </c>
      <c r="P79" s="78" t="n">
        <v>55</v>
      </c>
      <c r="Q79" s="78" t="n">
        <v>65</v>
      </c>
      <c r="R79" s="78" t="n">
        <v>69.7</v>
      </c>
      <c r="S79" s="78" t="n">
        <v>90</v>
      </c>
      <c r="T79" s="78" t="n">
        <v>53</v>
      </c>
      <c r="U79" s="78"/>
      <c r="V79" s="79" t="n">
        <v>0</v>
      </c>
    </row>
    <row r="80" customFormat="false" ht="15" hidden="false" customHeight="false" outlineLevel="0" collapsed="false">
      <c r="F80" s="38" t="n">
        <v>44896</v>
      </c>
      <c r="G80" s="38"/>
      <c r="H80" s="78" t="n">
        <v>3.8</v>
      </c>
      <c r="I80" s="78" t="n">
        <v>7.5</v>
      </c>
      <c r="J80" s="78" t="n">
        <v>5.3</v>
      </c>
      <c r="K80" s="78" t="n">
        <v>7.7</v>
      </c>
      <c r="L80" s="78" t="n">
        <v>3.8</v>
      </c>
      <c r="M80" s="78" t="n">
        <v>5.75</v>
      </c>
      <c r="N80" s="78"/>
      <c r="O80" s="78" t="n">
        <v>88</v>
      </c>
      <c r="P80" s="78" t="n">
        <v>77</v>
      </c>
      <c r="Q80" s="78" t="n">
        <v>90</v>
      </c>
      <c r="R80" s="78" t="n">
        <v>85</v>
      </c>
      <c r="S80" s="78" t="n">
        <v>91</v>
      </c>
      <c r="T80" s="78" t="n">
        <v>72</v>
      </c>
      <c r="U80" s="78"/>
      <c r="V80" s="79" t="n">
        <v>0</v>
      </c>
    </row>
    <row r="81" customFormat="false" ht="15" hidden="false" customHeight="false" outlineLevel="0" collapsed="false">
      <c r="F81" s="38" t="n">
        <v>44897</v>
      </c>
      <c r="G81" s="38"/>
      <c r="H81" s="78" t="n">
        <v>6.5</v>
      </c>
      <c r="I81" s="78" t="n">
        <v>7.5</v>
      </c>
      <c r="J81" s="78" t="n">
        <v>7.7</v>
      </c>
      <c r="K81" s="78" t="n">
        <v>7.8</v>
      </c>
      <c r="L81" s="78" t="n">
        <v>5.1</v>
      </c>
      <c r="M81" s="78" t="n">
        <v>6.45</v>
      </c>
      <c r="N81" s="78"/>
      <c r="O81" s="78" t="n">
        <v>79</v>
      </c>
      <c r="P81" s="78" t="n">
        <v>80</v>
      </c>
      <c r="Q81" s="78" t="n">
        <v>77</v>
      </c>
      <c r="R81" s="78" t="n">
        <v>78.7</v>
      </c>
      <c r="S81" s="78" t="n">
        <v>89</v>
      </c>
      <c r="T81" s="78" t="n">
        <v>76</v>
      </c>
      <c r="U81" s="78"/>
      <c r="V81" s="79" t="n">
        <v>0.2</v>
      </c>
    </row>
    <row r="82" customFormat="false" ht="15" hidden="false" customHeight="false" outlineLevel="0" collapsed="false">
      <c r="F82" s="38" t="n">
        <v>44898</v>
      </c>
      <c r="G82" s="38"/>
      <c r="H82" s="78" t="n">
        <v>6</v>
      </c>
      <c r="I82" s="78" t="n">
        <v>7.1</v>
      </c>
      <c r="J82" s="78" t="n">
        <v>7.8</v>
      </c>
      <c r="K82" s="78" t="n">
        <v>7.8</v>
      </c>
      <c r="L82" s="78" t="n">
        <v>6</v>
      </c>
      <c r="M82" s="78" t="n">
        <v>6.9</v>
      </c>
      <c r="N82" s="78"/>
      <c r="O82" s="78" t="n">
        <v>91</v>
      </c>
      <c r="P82" s="78" t="n">
        <v>92</v>
      </c>
      <c r="Q82" s="78" t="n">
        <v>93</v>
      </c>
      <c r="R82" s="78" t="n">
        <v>92</v>
      </c>
      <c r="S82" s="78" t="n">
        <v>93</v>
      </c>
      <c r="T82" s="78" t="n">
        <v>85</v>
      </c>
      <c r="U82" s="78"/>
      <c r="V82" s="79" t="n">
        <v>15.6</v>
      </c>
    </row>
    <row r="83" customFormat="false" ht="15" hidden="false" customHeight="false" outlineLevel="0" collapsed="false">
      <c r="F83" s="45" t="n">
        <v>44899</v>
      </c>
      <c r="G83" s="45"/>
      <c r="H83" s="80" t="n">
        <v>7</v>
      </c>
      <c r="I83" s="80" t="n">
        <v>9.4</v>
      </c>
      <c r="J83" s="80" t="n">
        <v>8</v>
      </c>
      <c r="K83" s="80" t="n">
        <v>9.6</v>
      </c>
      <c r="L83" s="80" t="n">
        <v>7</v>
      </c>
      <c r="M83" s="80" t="n">
        <v>8.3</v>
      </c>
      <c r="N83" s="80"/>
      <c r="O83" s="80" t="n">
        <v>92</v>
      </c>
      <c r="P83" s="80" t="n">
        <v>84</v>
      </c>
      <c r="Q83" s="80" t="n">
        <v>90</v>
      </c>
      <c r="R83" s="80" t="n">
        <v>88.7</v>
      </c>
      <c r="S83" s="80" t="n">
        <v>93</v>
      </c>
      <c r="T83" s="80" t="n">
        <v>83</v>
      </c>
      <c r="U83" s="80"/>
      <c r="V83" s="81" t="n">
        <v>21.8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52" colorId="64" zoomScale="100" zoomScaleNormal="100" zoomScalePageLayoutView="100" workbookViewId="0">
      <selection pane="topLeft" activeCell="H76" activeCellId="0" sqref="H76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2" t="s">
        <v>0</v>
      </c>
      <c r="H3" s="3" t="s">
        <v>88</v>
      </c>
      <c r="I3" s="2" t="s">
        <v>2</v>
      </c>
      <c r="J3" s="4" t="n">
        <v>44900</v>
      </c>
      <c r="K3" s="5" t="n">
        <v>44906</v>
      </c>
      <c r="L3" s="6" t="s">
        <v>3</v>
      </c>
      <c r="M3" s="3" t="n">
        <v>2022</v>
      </c>
      <c r="P3" s="7" t="s">
        <v>4</v>
      </c>
      <c r="Q3" s="7" t="n">
        <v>0.4</v>
      </c>
      <c r="S3" s="2" t="s">
        <v>0</v>
      </c>
      <c r="T3" s="3" t="s">
        <v>88</v>
      </c>
      <c r="U3" s="2" t="s">
        <v>2</v>
      </c>
      <c r="V3" s="4" t="n">
        <v>44900</v>
      </c>
      <c r="W3" s="5" t="n">
        <v>44906</v>
      </c>
      <c r="X3" s="6" t="s">
        <v>3</v>
      </c>
      <c r="Y3" s="3" t="n">
        <v>2022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 t="n">
        <v>2</v>
      </c>
      <c r="J22" s="13"/>
      <c r="K22" s="13"/>
      <c r="L22" s="13"/>
      <c r="M22" s="13"/>
      <c r="P22" s="12" t="s">
        <v>29</v>
      </c>
      <c r="Q22" s="12"/>
      <c r="R22" s="12"/>
      <c r="S22" s="14"/>
      <c r="T22" s="14"/>
      <c r="U22" s="14" t="n">
        <f aca="false">Tabella527911247[[#This Row],[Colonna3]]*$Q3</f>
        <v>0.8</v>
      </c>
      <c r="V22" s="14"/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 t="n">
        <v>1</v>
      </c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 t="n">
        <f aca="false">Tabella527911247[[#This Row],[Colonna4]]*$Q3</f>
        <v>0.4</v>
      </c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 t="n">
        <v>1</v>
      </c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 t="n">
        <f aca="false">Tabella527911247[[#This Row],[Colonna3]]*$Q3</f>
        <v>0.4</v>
      </c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 t="n">
        <v>1</v>
      </c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 t="n">
        <f aca="false">Tabella527911247[[#This Row],[Colonna3]]*$Q3</f>
        <v>0.4</v>
      </c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 t="n">
        <v>1</v>
      </c>
      <c r="I42" s="13"/>
      <c r="J42" s="13" t="n">
        <v>1</v>
      </c>
      <c r="K42" s="13"/>
      <c r="L42" s="13"/>
      <c r="M42" s="13"/>
      <c r="P42" s="9" t="s">
        <v>49</v>
      </c>
      <c r="Q42" s="9"/>
      <c r="R42" s="9"/>
      <c r="S42" s="14"/>
      <c r="T42" s="14" t="n">
        <f aca="false">Tabella527911247[[#This Row],[Colonna2]]*$Q3</f>
        <v>0.4</v>
      </c>
      <c r="U42" s="14"/>
      <c r="V42" s="14" t="n">
        <f aca="false">Tabella527911247[[#This Row],[Colonna4]]*$Q3</f>
        <v>0.4</v>
      </c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</v>
      </c>
      <c r="H44" s="13" t="n">
        <v>2</v>
      </c>
      <c r="I44" s="13"/>
      <c r="J44" s="13" t="n">
        <v>4</v>
      </c>
      <c r="K44" s="13"/>
      <c r="L44" s="13" t="n">
        <v>2</v>
      </c>
      <c r="M44" s="13" t="n">
        <v>1</v>
      </c>
      <c r="P44" s="12" t="s">
        <v>51</v>
      </c>
      <c r="Q44" s="12"/>
      <c r="R44" s="12"/>
      <c r="S44" s="14" t="n">
        <f aca="false">Tabella527911247[[#This Row],[Colonna1]]*$Q3</f>
        <v>0.4</v>
      </c>
      <c r="T44" s="14" t="n">
        <f aca="false">Tabella527911247[[#This Row],[Colonna2]]*$Q3</f>
        <v>0.8</v>
      </c>
      <c r="U44" s="14"/>
      <c r="V44" s="14" t="n">
        <f aca="false">Tabella527911247[[#This Row],[Colonna4]]*$Q3</f>
        <v>1.6</v>
      </c>
      <c r="W44" s="14"/>
      <c r="X44" s="14" t="n">
        <f aca="false">Tabella527911247[[#This Row],[Colonna6]]*$Q3</f>
        <v>0.8</v>
      </c>
      <c r="Y44" s="14" t="n">
        <f aca="false">Tabella527911247[[#This Row],[Colonna7]]*$Q3</f>
        <v>0.4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 t="n">
        <v>1</v>
      </c>
      <c r="I47" s="13"/>
      <c r="J47" s="13"/>
      <c r="K47" s="13"/>
      <c r="L47" s="13"/>
      <c r="M47" s="13" t="n">
        <v>1</v>
      </c>
      <c r="P47" s="16" t="s">
        <v>54</v>
      </c>
      <c r="Q47" s="16"/>
      <c r="R47" s="16"/>
      <c r="S47" s="14"/>
      <c r="T47" s="14" t="n">
        <f aca="false">Tabella527911247[[#This Row],[Colonna2]]*$Q3</f>
        <v>0.4</v>
      </c>
      <c r="U47" s="14"/>
      <c r="V47" s="14"/>
      <c r="W47" s="14"/>
      <c r="X47" s="14"/>
      <c r="Y47" s="14" t="n">
        <f aca="false">Tabella527911247[[#This Row],[Colonna7]]*$Q3</f>
        <v>0.4</v>
      </c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</v>
      </c>
      <c r="H52" s="13" t="n">
        <v>1</v>
      </c>
      <c r="I52" s="13"/>
      <c r="J52" s="13" t="n">
        <v>1</v>
      </c>
      <c r="K52" s="13" t="n">
        <v>2</v>
      </c>
      <c r="L52" s="13"/>
      <c r="M52" s="13"/>
      <c r="P52" s="12" t="s">
        <v>59</v>
      </c>
      <c r="Q52" s="12"/>
      <c r="R52" s="12"/>
      <c r="S52" s="14" t="n">
        <f aca="false">Tabella527911247[[#This Row],[Colonna1]]*$Q3</f>
        <v>0.4</v>
      </c>
      <c r="T52" s="14" t="n">
        <f aca="false">Tabella527911247[[#This Row],[Colonna2]]*$Q3</f>
        <v>0.4</v>
      </c>
      <c r="U52" s="14"/>
      <c r="V52" s="14" t="n">
        <f aca="false">Tabella527911247[[#This Row],[Colonna4]]*$Q3</f>
        <v>0.4</v>
      </c>
      <c r="W52" s="14" t="n">
        <f aca="false">Tabella527911247[[#This Row],[Colonna5]]*$Q3</f>
        <v>0.8</v>
      </c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SUM(G44,G52)</f>
        <v>2</v>
      </c>
      <c r="H53" s="55" t="n">
        <f aca="false">SUM(H42,H44,H47,H52)</f>
        <v>5</v>
      </c>
      <c r="I53" s="55" t="n">
        <f aca="false">SUM(I22,I38,I41)</f>
        <v>4</v>
      </c>
      <c r="J53" s="55" t="n">
        <f aca="false">SUM(J27,J42,J44,J52)</f>
        <v>7</v>
      </c>
      <c r="K53" s="55" t="n">
        <v>2</v>
      </c>
      <c r="L53" s="55" t="n">
        <v>2</v>
      </c>
      <c r="M53" s="55" t="n">
        <f aca="false">SUM(M44,M47)</f>
        <v>2</v>
      </c>
      <c r="P53" s="17" t="s">
        <v>60</v>
      </c>
      <c r="Q53" s="17"/>
      <c r="R53" s="17"/>
      <c r="S53" s="56" t="n">
        <f aca="false">Tabella527911247[[#This Row],[Colonna1]]*$Q3</f>
        <v>0.8</v>
      </c>
      <c r="T53" s="56" t="n">
        <f aca="false">Tabella527911247[[#This Row],[Colonna2]]*$Q3</f>
        <v>2</v>
      </c>
      <c r="U53" s="56" t="n">
        <f aca="false">Tabella527911247[[#This Row],[Colonna3]]*$Q3</f>
        <v>1.6</v>
      </c>
      <c r="V53" s="56" t="n">
        <f aca="false">Tabella527911247[[#This Row],[Colonna4]]*$Q3</f>
        <v>2.8</v>
      </c>
      <c r="W53" s="56" t="n">
        <f aca="false">Tabella527911247[[#This Row],[Colonna5]]*$Q3</f>
        <v>0.8</v>
      </c>
      <c r="X53" s="56" t="n">
        <f aca="false">Tabella527911247[[#This Row],[Colonna6]]*$Q3</f>
        <v>0.8</v>
      </c>
      <c r="Y53" s="56" t="n">
        <f aca="false">Tabella527911247[[#This Row],[Colonna7]]*$Q3</f>
        <v>0.8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23</v>
      </c>
      <c r="H58" s="26" t="n">
        <v>11</v>
      </c>
      <c r="I58" s="26" t="n">
        <v>7</v>
      </c>
      <c r="J58" s="26" t="n">
        <v>8</v>
      </c>
      <c r="K58" s="26" t="n">
        <v>11</v>
      </c>
      <c r="L58" s="26" t="n">
        <v>10</v>
      </c>
      <c r="M58" s="26" t="n">
        <v>10</v>
      </c>
      <c r="P58" s="23" t="s">
        <v>62</v>
      </c>
      <c r="Q58" s="23"/>
      <c r="R58" s="23"/>
      <c r="S58" s="57" t="n">
        <f aca="false">G58*$Q3</f>
        <v>9.2</v>
      </c>
      <c r="T58" s="57" t="n">
        <f aca="false">H58*$Q3</f>
        <v>4.4</v>
      </c>
      <c r="U58" s="57" t="n">
        <f aca="false">I58*$Q3</f>
        <v>2.8</v>
      </c>
      <c r="V58" s="57" t="n">
        <f aca="false">J58*$Q3</f>
        <v>3.2</v>
      </c>
      <c r="W58" s="57" t="n">
        <f aca="false">K58*$Q3</f>
        <v>4.4</v>
      </c>
      <c r="X58" s="57" t="n">
        <f aca="false">L58*$Q3</f>
        <v>4</v>
      </c>
      <c r="Y58" s="57" t="n">
        <f aca="false">M58*$Q3</f>
        <v>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6"/>
      <c r="U59" s="26"/>
      <c r="V59" s="26"/>
      <c r="W59" s="26"/>
      <c r="X59" s="26"/>
      <c r="Y59" s="26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6"/>
      <c r="U60" s="26"/>
      <c r="V60" s="26"/>
      <c r="W60" s="26"/>
      <c r="X60" s="26"/>
      <c r="Y60" s="26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6"/>
      <c r="U61" s="26"/>
      <c r="V61" s="26"/>
      <c r="W61" s="26"/>
      <c r="X61" s="26"/>
      <c r="Y61" s="26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2</v>
      </c>
      <c r="H62" s="26" t="n">
        <v>1</v>
      </c>
      <c r="I62" s="26" t="n">
        <v>4</v>
      </c>
      <c r="J62" s="26" t="n">
        <v>4</v>
      </c>
      <c r="K62" s="26" t="n">
        <v>7</v>
      </c>
      <c r="L62" s="26" t="n">
        <v>4</v>
      </c>
      <c r="M62" s="26" t="n">
        <v>2</v>
      </c>
      <c r="P62" s="9" t="s">
        <v>66</v>
      </c>
      <c r="Q62" s="9"/>
      <c r="R62" s="9"/>
      <c r="S62" s="57" t="n">
        <f aca="false">G62*$Q3</f>
        <v>0.8</v>
      </c>
      <c r="T62" s="57" t="n">
        <f aca="false">H62*$Q3</f>
        <v>0.4</v>
      </c>
      <c r="U62" s="57" t="n">
        <f aca="false">I62*$Q3</f>
        <v>1.6</v>
      </c>
      <c r="V62" s="57" t="n">
        <f aca="false">J62*$Q3</f>
        <v>1.6</v>
      </c>
      <c r="W62" s="57" t="n">
        <f aca="false">K62*$Q3</f>
        <v>2.8</v>
      </c>
      <c r="X62" s="57" t="n">
        <f aca="false">L62*$Q3</f>
        <v>1.6</v>
      </c>
      <c r="Y62" s="57" t="n">
        <f aca="false">M62*$Q3</f>
        <v>0.8</v>
      </c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/>
      <c r="K63" s="26"/>
      <c r="L63" s="26"/>
      <c r="M63" s="26"/>
      <c r="P63" s="9" t="s">
        <v>67</v>
      </c>
      <c r="Q63" s="9"/>
      <c r="R63" s="9"/>
      <c r="S63" s="57"/>
      <c r="T63" s="26"/>
      <c r="U63" s="26"/>
      <c r="V63" s="26"/>
      <c r="W63" s="26"/>
      <c r="X63" s="26"/>
      <c r="Y63" s="26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 t="n">
        <v>1</v>
      </c>
      <c r="L64" s="26"/>
      <c r="M64" s="26"/>
      <c r="P64" s="9" t="s">
        <v>68</v>
      </c>
      <c r="Q64" s="9"/>
      <c r="R64" s="9"/>
      <c r="S64" s="57"/>
      <c r="T64" s="26"/>
      <c r="U64" s="26"/>
      <c r="V64" s="26"/>
      <c r="W64" s="27" t="n">
        <f aca="false">K64*$Q3</f>
        <v>0.4</v>
      </c>
      <c r="X64" s="26"/>
      <c r="Y64" s="26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1</v>
      </c>
      <c r="H65" s="26" t="n">
        <v>2</v>
      </c>
      <c r="I65" s="26" t="n">
        <v>1</v>
      </c>
      <c r="J65" s="26" t="n">
        <v>2</v>
      </c>
      <c r="K65" s="26" t="n">
        <v>4</v>
      </c>
      <c r="L65" s="26" t="n">
        <v>6</v>
      </c>
      <c r="M65" s="26" t="n">
        <v>2</v>
      </c>
      <c r="P65" s="9" t="s">
        <v>69</v>
      </c>
      <c r="Q65" s="9"/>
      <c r="R65" s="9"/>
      <c r="S65" s="57" t="n">
        <f aca="false">G65*$Q3</f>
        <v>0.4</v>
      </c>
      <c r="T65" s="57" t="n">
        <f aca="false">H65*$Q3</f>
        <v>0.8</v>
      </c>
      <c r="U65" s="57" t="n">
        <f aca="false">I65*$Q3</f>
        <v>0.4</v>
      </c>
      <c r="V65" s="57" t="n">
        <f aca="false">J65*$Q3</f>
        <v>0.8</v>
      </c>
      <c r="W65" s="57" t="n">
        <f aca="false">K65*$Q3</f>
        <v>1.6</v>
      </c>
      <c r="X65" s="57" t="n">
        <f aca="false">L65*$Q3</f>
        <v>2.4</v>
      </c>
      <c r="Y65" s="57" t="n">
        <f aca="false">M65*$Q3</f>
        <v>0.8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6"/>
      <c r="U66" s="26"/>
      <c r="V66" s="26"/>
      <c r="W66" s="26"/>
      <c r="X66" s="26"/>
      <c r="Y66" s="26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2</v>
      </c>
      <c r="H67" s="26" t="n">
        <v>12</v>
      </c>
      <c r="I67" s="26" t="n">
        <v>8</v>
      </c>
      <c r="J67" s="26" t="n">
        <v>13</v>
      </c>
      <c r="K67" s="26" t="n">
        <v>2</v>
      </c>
      <c r="L67" s="26"/>
      <c r="M67" s="26"/>
      <c r="P67" s="9" t="s">
        <v>71</v>
      </c>
      <c r="Q67" s="9"/>
      <c r="R67" s="9"/>
      <c r="S67" s="57" t="n">
        <f aca="false">G67*$Q3</f>
        <v>0.8</v>
      </c>
      <c r="T67" s="57" t="n">
        <f aca="false">H67*$Q3</f>
        <v>4.8</v>
      </c>
      <c r="U67" s="57" t="n">
        <f aca="false">I67*$Q3</f>
        <v>3.2</v>
      </c>
      <c r="V67" s="57" t="n">
        <f aca="false">J67*$Q3</f>
        <v>5.2</v>
      </c>
      <c r="W67" s="57" t="n">
        <f aca="false">K67*$Q3</f>
        <v>0.8</v>
      </c>
      <c r="X67" s="57"/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 t="n">
        <v>1</v>
      </c>
      <c r="I68" s="30" t="n">
        <v>2</v>
      </c>
      <c r="J68" s="30"/>
      <c r="K68" s="30"/>
      <c r="L68" s="30"/>
      <c r="M68" s="30"/>
      <c r="P68" s="9" t="s">
        <v>72</v>
      </c>
      <c r="Q68" s="9"/>
      <c r="R68" s="9"/>
      <c r="S68" s="59"/>
      <c r="T68" s="31" t="n">
        <f aca="false">H68*$Q3</f>
        <v>0.4</v>
      </c>
      <c r="U68" s="31" t="n">
        <f aca="false">I68*$Q3</f>
        <v>0.8</v>
      </c>
      <c r="V68" s="30"/>
      <c r="W68" s="30"/>
      <c r="X68" s="30"/>
      <c r="Y68" s="30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2</v>
      </c>
      <c r="H69" s="30" t="n">
        <v>2</v>
      </c>
      <c r="I69" s="30" t="n">
        <v>4</v>
      </c>
      <c r="J69" s="30"/>
      <c r="K69" s="30" t="n">
        <v>1</v>
      </c>
      <c r="L69" s="30"/>
      <c r="M69" s="30" t="n">
        <v>7</v>
      </c>
      <c r="P69" s="9" t="s">
        <v>73</v>
      </c>
      <c r="Q69" s="9"/>
      <c r="R69" s="9"/>
      <c r="S69" s="59" t="n">
        <f aca="false">G69*$Q3</f>
        <v>0.8</v>
      </c>
      <c r="T69" s="59" t="n">
        <f aca="false">H69*$Q3</f>
        <v>0.8</v>
      </c>
      <c r="U69" s="59" t="n">
        <f aca="false">I69*$Q3</f>
        <v>1.6</v>
      </c>
      <c r="V69" s="59"/>
      <c r="W69" s="59" t="n">
        <f aca="false">K69*$Q3</f>
        <v>0.4</v>
      </c>
      <c r="X69" s="59"/>
      <c r="Y69" s="59" t="n">
        <f aca="false">M69*$Q3</f>
        <v>2.8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SUM(G58,G62,G65,G67,G69)</f>
        <v>30</v>
      </c>
      <c r="H70" s="12" t="n">
        <f aca="false">SUM(H58,H62,H65,H67,H68,H69)</f>
        <v>29</v>
      </c>
      <c r="I70" s="12" t="n">
        <f aca="false">SUM(I58,I62,I65,I67,I68,I69)</f>
        <v>26</v>
      </c>
      <c r="J70" s="12" t="n">
        <f aca="false">SUM(J58,J62,J65,J67)</f>
        <v>27</v>
      </c>
      <c r="K70" s="12" t="n">
        <f aca="false">SUM(K58,K62,K64,K65,K67,K69)</f>
        <v>26</v>
      </c>
      <c r="L70" s="12" t="n">
        <f aca="false">SUM(L58,L62,L65)</f>
        <v>20</v>
      </c>
      <c r="M70" s="12" t="n">
        <f aca="false">SUM(M58,M62,M65,M69)</f>
        <v>21</v>
      </c>
      <c r="P70" s="9" t="s">
        <v>60</v>
      </c>
      <c r="Q70" s="9"/>
      <c r="R70" s="9"/>
      <c r="S70" s="61" t="n">
        <f aca="false">G70*$Q3</f>
        <v>12</v>
      </c>
      <c r="T70" s="61" t="n">
        <f aca="false">H70*$Q3</f>
        <v>11.6</v>
      </c>
      <c r="U70" s="61" t="n">
        <f aca="false">I70*$Q3</f>
        <v>10.4</v>
      </c>
      <c r="V70" s="61" t="n">
        <f aca="false">J70*$Q3</f>
        <v>10.8</v>
      </c>
      <c r="W70" s="61" t="n">
        <f aca="false">K70*$Q3</f>
        <v>10.4</v>
      </c>
      <c r="X70" s="61" t="n">
        <f aca="false">L70*$Q3</f>
        <v>8</v>
      </c>
      <c r="Y70" s="61" t="n">
        <f aca="false">M70*$Q3</f>
        <v>8.4</v>
      </c>
    </row>
    <row r="76" customFormat="false" ht="15" hidden="false" customHeight="false" outlineLevel="0" collapsed="false">
      <c r="F76" s="34" t="s">
        <v>74</v>
      </c>
      <c r="G76" s="34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 t="n">
        <v>44900</v>
      </c>
      <c r="G77" s="75"/>
      <c r="H77" s="76" t="n">
        <v>8.2</v>
      </c>
      <c r="I77" s="76" t="n">
        <v>9</v>
      </c>
      <c r="J77" s="76" t="n">
        <v>9.4</v>
      </c>
      <c r="K77" s="76" t="n">
        <v>9.5</v>
      </c>
      <c r="L77" s="76" t="n">
        <v>8</v>
      </c>
      <c r="M77" s="76" t="n">
        <v>8.75</v>
      </c>
      <c r="N77" s="76"/>
      <c r="O77" s="76" t="n">
        <v>94</v>
      </c>
      <c r="P77" s="76" t="n">
        <v>90</v>
      </c>
      <c r="Q77" s="76" t="n">
        <v>87</v>
      </c>
      <c r="R77" s="76" t="n">
        <v>90.3</v>
      </c>
      <c r="S77" s="76" t="n">
        <v>95</v>
      </c>
      <c r="T77" s="76" t="n">
        <v>86</v>
      </c>
      <c r="U77" s="76"/>
      <c r="V77" s="77" t="n">
        <v>7</v>
      </c>
    </row>
    <row r="78" customFormat="false" ht="15" hidden="false" customHeight="false" outlineLevel="0" collapsed="false">
      <c r="F78" s="38" t="n">
        <v>44901</v>
      </c>
      <c r="G78" s="38"/>
      <c r="H78" s="78" t="n">
        <v>4.1</v>
      </c>
      <c r="I78" s="78" t="n">
        <v>8.3</v>
      </c>
      <c r="J78" s="78" t="n">
        <v>6.2</v>
      </c>
      <c r="K78" s="78" t="n">
        <v>9.3</v>
      </c>
      <c r="L78" s="78" t="n">
        <v>4</v>
      </c>
      <c r="M78" s="78" t="n">
        <v>6.65</v>
      </c>
      <c r="N78" s="78"/>
      <c r="O78" s="78" t="n">
        <v>90</v>
      </c>
      <c r="P78" s="78" t="n">
        <v>79</v>
      </c>
      <c r="Q78" s="78" t="n">
        <v>88</v>
      </c>
      <c r="R78" s="78" t="n">
        <v>85.7</v>
      </c>
      <c r="S78" s="78" t="n">
        <v>91</v>
      </c>
      <c r="T78" s="78" t="n">
        <v>68</v>
      </c>
      <c r="U78" s="78"/>
      <c r="V78" s="79" t="n">
        <v>0</v>
      </c>
    </row>
    <row r="79" customFormat="false" ht="15" hidden="false" customHeight="false" outlineLevel="0" collapsed="false">
      <c r="F79" s="38" t="n">
        <v>44902</v>
      </c>
      <c r="G79" s="38"/>
      <c r="H79" s="78" t="n">
        <v>3.1</v>
      </c>
      <c r="I79" s="78" t="n">
        <v>4.3</v>
      </c>
      <c r="J79" s="78" t="n">
        <v>3.6</v>
      </c>
      <c r="K79" s="78" t="n">
        <v>5.9</v>
      </c>
      <c r="L79" s="78" t="n">
        <v>3.1</v>
      </c>
      <c r="M79" s="78" t="n">
        <v>4.5</v>
      </c>
      <c r="N79" s="78"/>
      <c r="O79" s="78" t="n">
        <v>91</v>
      </c>
      <c r="P79" s="78" t="n">
        <v>90</v>
      </c>
      <c r="Q79" s="78" t="n">
        <v>91</v>
      </c>
      <c r="R79" s="78" t="n">
        <v>90.7</v>
      </c>
      <c r="S79" s="78" t="n">
        <v>94</v>
      </c>
      <c r="T79" s="78" t="n">
        <v>81</v>
      </c>
      <c r="U79" s="78"/>
      <c r="V79" s="79" t="n">
        <v>0</v>
      </c>
    </row>
    <row r="80" customFormat="false" ht="15" hidden="false" customHeight="false" outlineLevel="0" collapsed="false">
      <c r="F80" s="38" t="n">
        <v>44903</v>
      </c>
      <c r="G80" s="38"/>
      <c r="H80" s="78" t="n">
        <v>4.4</v>
      </c>
      <c r="I80" s="78" t="n">
        <v>6.9</v>
      </c>
      <c r="J80" s="78" t="n">
        <v>6.1</v>
      </c>
      <c r="K80" s="78" t="n">
        <v>7.2</v>
      </c>
      <c r="L80" s="78" t="n">
        <v>3.6</v>
      </c>
      <c r="M80" s="78" t="n">
        <v>5.4</v>
      </c>
      <c r="N80" s="78"/>
      <c r="O80" s="78" t="n">
        <v>89</v>
      </c>
      <c r="P80" s="78" t="n">
        <v>78</v>
      </c>
      <c r="Q80" s="78" t="n">
        <v>82</v>
      </c>
      <c r="R80" s="78" t="n">
        <v>83</v>
      </c>
      <c r="S80" s="78" t="n">
        <v>93</v>
      </c>
      <c r="T80" s="78" t="n">
        <v>75</v>
      </c>
      <c r="U80" s="78"/>
      <c r="V80" s="79" t="n">
        <v>1.2</v>
      </c>
    </row>
    <row r="81" customFormat="false" ht="15" hidden="false" customHeight="false" outlineLevel="0" collapsed="false">
      <c r="F81" s="38" t="n">
        <v>44904</v>
      </c>
      <c r="G81" s="38"/>
      <c r="H81" s="78" t="n">
        <v>5.3</v>
      </c>
      <c r="I81" s="78" t="n">
        <v>5.6</v>
      </c>
      <c r="J81" s="78" t="n">
        <v>5.1</v>
      </c>
      <c r="K81" s="78" t="n">
        <v>6</v>
      </c>
      <c r="L81" s="78" t="n">
        <v>5</v>
      </c>
      <c r="M81" s="78" t="n">
        <v>5.5</v>
      </c>
      <c r="N81" s="78"/>
      <c r="O81" s="78" t="n">
        <v>92</v>
      </c>
      <c r="P81" s="78" t="n">
        <v>92</v>
      </c>
      <c r="Q81" s="78" t="n">
        <v>90</v>
      </c>
      <c r="R81" s="78" t="n">
        <v>91.3</v>
      </c>
      <c r="S81" s="78" t="n">
        <v>94</v>
      </c>
      <c r="T81" s="78" t="n">
        <v>88</v>
      </c>
      <c r="U81" s="78"/>
      <c r="V81" s="79" t="n">
        <v>19.2</v>
      </c>
    </row>
    <row r="82" customFormat="false" ht="15" hidden="false" customHeight="false" outlineLevel="0" collapsed="false">
      <c r="F82" s="38" t="n">
        <v>44905</v>
      </c>
      <c r="G82" s="38"/>
      <c r="H82" s="78" t="n">
        <v>4.8</v>
      </c>
      <c r="I82" s="78" t="n">
        <v>6.1</v>
      </c>
      <c r="J82" s="78" t="n">
        <v>6.5</v>
      </c>
      <c r="K82" s="78" t="n">
        <v>6.6</v>
      </c>
      <c r="L82" s="78" t="n">
        <v>4.7</v>
      </c>
      <c r="M82" s="78" t="n">
        <v>5.65</v>
      </c>
      <c r="N82" s="78"/>
      <c r="O82" s="78" t="n">
        <v>87</v>
      </c>
      <c r="P82" s="78" t="n">
        <v>82</v>
      </c>
      <c r="Q82" s="78" t="n">
        <v>86</v>
      </c>
      <c r="R82" s="78" t="n">
        <v>85</v>
      </c>
      <c r="S82" s="78" t="n">
        <v>89</v>
      </c>
      <c r="T82" s="78" t="n">
        <v>82</v>
      </c>
      <c r="U82" s="78"/>
      <c r="V82" s="79" t="n">
        <v>0</v>
      </c>
    </row>
    <row r="83" customFormat="false" ht="15" hidden="false" customHeight="false" outlineLevel="0" collapsed="false">
      <c r="F83" s="45" t="n">
        <v>44906</v>
      </c>
      <c r="G83" s="45"/>
      <c r="H83" s="80" t="n">
        <v>2</v>
      </c>
      <c r="I83" s="80" t="n">
        <v>4.6</v>
      </c>
      <c r="J83" s="80" t="n">
        <v>4.2</v>
      </c>
      <c r="K83" s="80" t="n">
        <v>5</v>
      </c>
      <c r="L83" s="80" t="n">
        <v>1.8</v>
      </c>
      <c r="M83" s="80" t="n">
        <v>3.4</v>
      </c>
      <c r="N83" s="80"/>
      <c r="O83" s="80" t="n">
        <v>93</v>
      </c>
      <c r="P83" s="80" t="n">
        <v>92</v>
      </c>
      <c r="Q83" s="80" t="n">
        <v>92</v>
      </c>
      <c r="R83" s="80" t="n">
        <v>92.3</v>
      </c>
      <c r="S83" s="80" t="n">
        <v>94</v>
      </c>
      <c r="T83" s="80" t="n">
        <v>89</v>
      </c>
      <c r="U83" s="80"/>
      <c r="V83" s="81" t="n">
        <v>3.6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58" colorId="64" zoomScale="100" zoomScaleNormal="100" zoomScalePageLayoutView="100" workbookViewId="0">
      <selection pane="topLeft" activeCell="H76" activeCellId="0" sqref="H76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2" t="s">
        <v>0</v>
      </c>
      <c r="H3" s="3" t="s">
        <v>88</v>
      </c>
      <c r="I3" s="2" t="s">
        <v>2</v>
      </c>
      <c r="J3" s="4" t="n">
        <v>44907</v>
      </c>
      <c r="K3" s="5" t="n">
        <v>44913</v>
      </c>
      <c r="L3" s="6" t="s">
        <v>3</v>
      </c>
      <c r="M3" s="3" t="n">
        <v>2022</v>
      </c>
      <c r="P3" s="7" t="s">
        <v>4</v>
      </c>
      <c r="Q3" s="7" t="n">
        <v>0.4</v>
      </c>
      <c r="S3" s="2" t="s">
        <v>0</v>
      </c>
      <c r="T3" s="3" t="s">
        <v>88</v>
      </c>
      <c r="U3" s="2" t="s">
        <v>2</v>
      </c>
      <c r="V3" s="4" t="n">
        <v>44907</v>
      </c>
      <c r="W3" s="5" t="n">
        <v>44913</v>
      </c>
      <c r="X3" s="6" t="s">
        <v>3</v>
      </c>
      <c r="Y3" s="3" t="n">
        <v>2022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 t="n">
        <v>2</v>
      </c>
      <c r="I22" s="13" t="n">
        <v>1</v>
      </c>
      <c r="J22" s="13"/>
      <c r="K22" s="13"/>
      <c r="L22" s="13"/>
      <c r="M22" s="13"/>
      <c r="P22" s="12" t="s">
        <v>29</v>
      </c>
      <c r="Q22" s="12"/>
      <c r="R22" s="12"/>
      <c r="S22" s="14"/>
      <c r="T22" s="14" t="n">
        <f aca="false">Tabella5279112479[[#This Row],[Colonna2]]*$Q3</f>
        <v>0.8</v>
      </c>
      <c r="U22" s="14" t="n">
        <f aca="false">Tabella5279112479[[#This Row],[Colonna3]]*$Q3</f>
        <v>0.4</v>
      </c>
      <c r="V22" s="14"/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</v>
      </c>
      <c r="H44" s="13" t="n">
        <v>1</v>
      </c>
      <c r="I44" s="13"/>
      <c r="J44" s="13" t="n">
        <v>1</v>
      </c>
      <c r="K44" s="13"/>
      <c r="L44" s="13"/>
      <c r="M44" s="13" t="n">
        <v>2</v>
      </c>
      <c r="P44" s="12" t="s">
        <v>51</v>
      </c>
      <c r="Q44" s="12"/>
      <c r="R44" s="12"/>
      <c r="S44" s="14" t="n">
        <f aca="false">Tabella5279112479[[#This Row],[Colonna1]]*$Q3</f>
        <v>0.4</v>
      </c>
      <c r="T44" s="14" t="n">
        <f aca="false">Tabella5279112479[[#This Row],[Colonna2]]*$Q3</f>
        <v>0.4</v>
      </c>
      <c r="U44" s="14"/>
      <c r="V44" s="14" t="n">
        <f aca="false">Tabella5279112479[[#This Row],[Colonna4]]*$Q3</f>
        <v>0.4</v>
      </c>
      <c r="W44" s="14"/>
      <c r="X44" s="14"/>
      <c r="Y44" s="14" t="n">
        <f aca="false">Tabella5279112479[[#This Row],[Colonna7]]*$Q3</f>
        <v>0.8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 t="n">
        <v>1</v>
      </c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 t="n">
        <f aca="false">Tabella5279112479[[#This Row],[Colonna5]]*Q3</f>
        <v>0.4</v>
      </c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v>1</v>
      </c>
      <c r="H53" s="55" t="n">
        <v>3</v>
      </c>
      <c r="I53" s="55" t="n">
        <v>1</v>
      </c>
      <c r="J53" s="55" t="n">
        <v>1</v>
      </c>
      <c r="K53" s="55" t="n">
        <v>1</v>
      </c>
      <c r="L53" s="55" t="n">
        <v>0</v>
      </c>
      <c r="M53" s="55" t="n">
        <v>2</v>
      </c>
      <c r="P53" s="17" t="s">
        <v>60</v>
      </c>
      <c r="Q53" s="17"/>
      <c r="R53" s="17"/>
      <c r="S53" s="56" t="n">
        <f aca="false">Tabella5279112479[[#This Row],[Colonna1]]*$Q3</f>
        <v>0.4</v>
      </c>
      <c r="T53" s="56" t="n">
        <f aca="false">Tabella5279112479[[#This Row],[Colonna2]]*$Q3</f>
        <v>1.2</v>
      </c>
      <c r="U53" s="56" t="n">
        <f aca="false">Tabella5279112479[[#This Row],[Colonna3]]*$Q3</f>
        <v>0.4</v>
      </c>
      <c r="V53" s="56" t="n">
        <f aca="false">Tabella5279112479[[#This Row],[Colonna4]]*$Q3</f>
        <v>0.4</v>
      </c>
      <c r="W53" s="56" t="n">
        <f aca="false">Tabella5279112479[[#This Row],[Colonna5]]*$Q3</f>
        <v>0.4</v>
      </c>
      <c r="X53" s="56"/>
      <c r="Y53" s="56" t="n">
        <f aca="false">Tabella5279112479[[#This Row],[Colonna7]]*$Q3</f>
        <v>0.8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14</v>
      </c>
      <c r="H58" s="26" t="n">
        <v>8</v>
      </c>
      <c r="I58" s="26" t="n">
        <v>16</v>
      </c>
      <c r="J58" s="26" t="n">
        <v>16</v>
      </c>
      <c r="K58" s="26" t="n">
        <v>15</v>
      </c>
      <c r="L58" s="26" t="n">
        <v>9</v>
      </c>
      <c r="M58" s="26" t="n">
        <v>4</v>
      </c>
      <c r="P58" s="23" t="s">
        <v>62</v>
      </c>
      <c r="Q58" s="23"/>
      <c r="R58" s="23"/>
      <c r="S58" s="57" t="n">
        <f aca="false">G58*$Q3</f>
        <v>5.6</v>
      </c>
      <c r="T58" s="57" t="n">
        <f aca="false">H58*$Q3</f>
        <v>3.2</v>
      </c>
      <c r="U58" s="57" t="n">
        <f aca="false">I58*$Q3</f>
        <v>6.4</v>
      </c>
      <c r="V58" s="57" t="n">
        <f aca="false">J58*$Q3</f>
        <v>6.4</v>
      </c>
      <c r="W58" s="57" t="n">
        <f aca="false">K58*$Q3</f>
        <v>6</v>
      </c>
      <c r="X58" s="57" t="n">
        <f aca="false">L58*$Q3</f>
        <v>3.6</v>
      </c>
      <c r="Y58" s="57" t="n">
        <f aca="false">M58*$Q3</f>
        <v>1.6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4</v>
      </c>
      <c r="H62" s="26" t="n">
        <v>2</v>
      </c>
      <c r="I62" s="26" t="n">
        <v>2</v>
      </c>
      <c r="J62" s="26" t="n">
        <v>10</v>
      </c>
      <c r="K62" s="26"/>
      <c r="L62" s="26" t="n">
        <v>2</v>
      </c>
      <c r="M62" s="26" t="n">
        <v>3</v>
      </c>
      <c r="P62" s="9" t="s">
        <v>66</v>
      </c>
      <c r="Q62" s="9"/>
      <c r="R62" s="9"/>
      <c r="S62" s="57" t="n">
        <f aca="false">G62*$Q3</f>
        <v>1.6</v>
      </c>
      <c r="T62" s="57" t="n">
        <f aca="false">H62*$Q3</f>
        <v>0.8</v>
      </c>
      <c r="U62" s="57" t="n">
        <f aca="false">I62*$Q3</f>
        <v>0.8</v>
      </c>
      <c r="V62" s="57" t="n">
        <f aca="false">J62*$Q3</f>
        <v>4</v>
      </c>
      <c r="W62" s="57"/>
      <c r="X62" s="57" t="n">
        <f aca="false">L62*$Q3</f>
        <v>0.8</v>
      </c>
      <c r="Y62" s="57" t="n">
        <f aca="false">M62*$Q3</f>
        <v>1.2</v>
      </c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/>
      <c r="K63" s="26" t="n">
        <v>1</v>
      </c>
      <c r="L63" s="26"/>
      <c r="M63" s="26"/>
      <c r="P63" s="9" t="s">
        <v>67</v>
      </c>
      <c r="Q63" s="9"/>
      <c r="R63" s="9"/>
      <c r="S63" s="57"/>
      <c r="T63" s="27"/>
      <c r="U63" s="27"/>
      <c r="V63" s="27"/>
      <c r="W63" s="27" t="n">
        <f aca="false">K63*$Q3</f>
        <v>0.4</v>
      </c>
      <c r="X63" s="2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 t="n">
        <v>1</v>
      </c>
      <c r="J64" s="26"/>
      <c r="K64" s="26" t="n">
        <v>1</v>
      </c>
      <c r="L64" s="26"/>
      <c r="M64" s="26"/>
      <c r="P64" s="9" t="s">
        <v>68</v>
      </c>
      <c r="Q64" s="9"/>
      <c r="R64" s="9"/>
      <c r="S64" s="57"/>
      <c r="T64" s="27"/>
      <c r="U64" s="27" t="n">
        <f aca="false">I64*$Q3</f>
        <v>0.4</v>
      </c>
      <c r="V64" s="27"/>
      <c r="W64" s="27" t="n">
        <f aca="false">K64*$Q3</f>
        <v>0.4</v>
      </c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2</v>
      </c>
      <c r="H65" s="26"/>
      <c r="I65" s="26"/>
      <c r="J65" s="26"/>
      <c r="K65" s="26" t="n">
        <v>4</v>
      </c>
      <c r="L65" s="26" t="n">
        <v>10</v>
      </c>
      <c r="M65" s="26" t="n">
        <v>1</v>
      </c>
      <c r="P65" s="9" t="s">
        <v>69</v>
      </c>
      <c r="Q65" s="9"/>
      <c r="R65" s="9"/>
      <c r="S65" s="57" t="n">
        <f aca="false">G65*$Q3</f>
        <v>0.8</v>
      </c>
      <c r="T65" s="57"/>
      <c r="U65" s="57"/>
      <c r="V65" s="57"/>
      <c r="W65" s="57" t="n">
        <f aca="false">K65*$Q3</f>
        <v>1.6</v>
      </c>
      <c r="X65" s="57" t="n">
        <f aca="false">L65*$Q3</f>
        <v>4</v>
      </c>
      <c r="Y65" s="57" t="n">
        <f aca="false">M65*$Q3</f>
        <v>0.4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1</v>
      </c>
      <c r="H67" s="26" t="n">
        <v>1</v>
      </c>
      <c r="I67" s="26" t="n">
        <v>4</v>
      </c>
      <c r="J67" s="26" t="n">
        <v>3</v>
      </c>
      <c r="K67" s="26" t="n">
        <v>1</v>
      </c>
      <c r="L67" s="26" t="n">
        <v>3</v>
      </c>
      <c r="M67" s="26" t="n">
        <v>2</v>
      </c>
      <c r="P67" s="9" t="s">
        <v>71</v>
      </c>
      <c r="Q67" s="9"/>
      <c r="R67" s="9"/>
      <c r="S67" s="57" t="n">
        <f aca="false">G67*$Q3</f>
        <v>0.4</v>
      </c>
      <c r="T67" s="57" t="n">
        <f aca="false">H67*$Q3</f>
        <v>0.4</v>
      </c>
      <c r="U67" s="57" t="n">
        <f aca="false">I67*$Q3</f>
        <v>1.6</v>
      </c>
      <c r="V67" s="57" t="n">
        <f aca="false">J67*$Q3</f>
        <v>1.2</v>
      </c>
      <c r="W67" s="57" t="n">
        <f aca="false">K67*$Q3</f>
        <v>0.4</v>
      </c>
      <c r="X67" s="57" t="n">
        <f aca="false">L67*$Q3</f>
        <v>1.2</v>
      </c>
      <c r="Y67" s="57" t="n">
        <f aca="false">M67*$Q3</f>
        <v>0.8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</v>
      </c>
      <c r="H68" s="30"/>
      <c r="I68" s="30" t="n">
        <v>1</v>
      </c>
      <c r="J68" s="30" t="n">
        <v>1</v>
      </c>
      <c r="K68" s="30"/>
      <c r="L68" s="30"/>
      <c r="M68" s="30"/>
      <c r="P68" s="9" t="s">
        <v>72</v>
      </c>
      <c r="Q68" s="9"/>
      <c r="R68" s="9"/>
      <c r="S68" s="59" t="n">
        <f aca="false">G68*$Q3</f>
        <v>0.4</v>
      </c>
      <c r="T68" s="59"/>
      <c r="U68" s="59" t="n">
        <f aca="false">I68*$Q3</f>
        <v>0.4</v>
      </c>
      <c r="V68" s="59" t="n">
        <f aca="false">J68*$Q3</f>
        <v>0.4</v>
      </c>
      <c r="W68" s="59"/>
      <c r="X68" s="59"/>
      <c r="Y68" s="59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 t="n">
        <v>2</v>
      </c>
      <c r="I69" s="30"/>
      <c r="J69" s="30" t="n">
        <v>1</v>
      </c>
      <c r="K69" s="30"/>
      <c r="L69" s="30" t="n">
        <v>2</v>
      </c>
      <c r="M69" s="30" t="n">
        <v>2</v>
      </c>
      <c r="P69" s="9" t="s">
        <v>73</v>
      </c>
      <c r="Q69" s="9"/>
      <c r="R69" s="9"/>
      <c r="S69" s="59"/>
      <c r="T69" s="31" t="n">
        <f aca="false">H69*$Q3</f>
        <v>0.8</v>
      </c>
      <c r="U69" s="31"/>
      <c r="V69" s="31" t="n">
        <f aca="false">J69*$Q3</f>
        <v>0.4</v>
      </c>
      <c r="W69" s="31"/>
      <c r="X69" s="31" t="n">
        <f aca="false">L69*$Q3</f>
        <v>0.8</v>
      </c>
      <c r="Y69" s="31" t="n">
        <f aca="false">M69*$Q3</f>
        <v>0.8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SUM(G58,G62,G65,G67,G68)</f>
        <v>22</v>
      </c>
      <c r="H70" s="60" t="n">
        <f aca="false">SUM(H58,H62,H69,H67)</f>
        <v>13</v>
      </c>
      <c r="I70" s="60" t="n">
        <f aca="false">SUM(I58,I62,I67,I64,I68)</f>
        <v>24</v>
      </c>
      <c r="J70" s="60" t="n">
        <f aca="false">SUM(J58,J62,J67,J68,J69)</f>
        <v>31</v>
      </c>
      <c r="K70" s="12" t="n">
        <f aca="false">SUM(K58,K63,K64,K65,K67)</f>
        <v>22</v>
      </c>
      <c r="L70" s="12" t="n">
        <f aca="false">SUM(L58,L62,L65,L67,L69)</f>
        <v>26</v>
      </c>
      <c r="M70" s="12" t="n">
        <f aca="false">SUM(M58,M62,M65,M67,M69)</f>
        <v>12</v>
      </c>
      <c r="P70" s="9" t="s">
        <v>60</v>
      </c>
      <c r="Q70" s="9"/>
      <c r="R70" s="9"/>
      <c r="S70" s="61" t="n">
        <f aca="false">G70*$Q3</f>
        <v>8.8</v>
      </c>
      <c r="T70" s="61" t="n">
        <f aca="false">H70*$Q3</f>
        <v>5.2</v>
      </c>
      <c r="U70" s="61" t="n">
        <f aca="false">I70*$Q3</f>
        <v>9.6</v>
      </c>
      <c r="V70" s="61" t="n">
        <f aca="false">J70*$Q3</f>
        <v>12.4</v>
      </c>
      <c r="W70" s="61" t="n">
        <f aca="false">K70*$Q3</f>
        <v>8.8</v>
      </c>
      <c r="X70" s="61" t="n">
        <f aca="false">L70*$Q3</f>
        <v>10.4</v>
      </c>
      <c r="Y70" s="61" t="n">
        <f aca="false">M70*$Q3</f>
        <v>4.8</v>
      </c>
    </row>
    <row r="76" customFormat="false" ht="15" hidden="false" customHeight="false" outlineLevel="0" collapsed="false">
      <c r="F76" s="34" t="s">
        <v>74</v>
      </c>
      <c r="G76" s="34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 t="n">
        <v>44907</v>
      </c>
      <c r="G77" s="75"/>
      <c r="H77" s="76" t="n">
        <v>0.3</v>
      </c>
      <c r="I77" s="76" t="n">
        <v>3.2</v>
      </c>
      <c r="J77" s="76" t="n">
        <v>1.1</v>
      </c>
      <c r="K77" s="76" t="n">
        <v>3.9</v>
      </c>
      <c r="L77" s="76" t="n">
        <v>-0.3</v>
      </c>
      <c r="M77" s="76" t="n">
        <v>1.8</v>
      </c>
      <c r="N77" s="76"/>
      <c r="O77" s="76" t="n">
        <v>94</v>
      </c>
      <c r="P77" s="76" t="n">
        <v>78</v>
      </c>
      <c r="Q77" s="76" t="n">
        <v>89</v>
      </c>
      <c r="R77" s="76" t="n">
        <v>87</v>
      </c>
      <c r="S77" s="76" t="n">
        <v>95</v>
      </c>
      <c r="T77" s="76" t="n">
        <v>76</v>
      </c>
      <c r="U77" s="82"/>
      <c r="V77" s="77" t="n">
        <v>0</v>
      </c>
    </row>
    <row r="78" customFormat="false" ht="15" hidden="false" customHeight="false" outlineLevel="0" collapsed="false">
      <c r="F78" s="38" t="n">
        <v>44908</v>
      </c>
      <c r="G78" s="38"/>
      <c r="H78" s="78" t="n">
        <v>1</v>
      </c>
      <c r="I78" s="78" t="n">
        <v>2</v>
      </c>
      <c r="J78" s="78" t="n">
        <v>2.2</v>
      </c>
      <c r="K78" s="78" t="n">
        <v>2.2</v>
      </c>
      <c r="L78" s="78" t="n">
        <v>0.8</v>
      </c>
      <c r="M78" s="78" t="n">
        <v>1.5</v>
      </c>
      <c r="N78" s="78"/>
      <c r="O78" s="78" t="n">
        <v>92</v>
      </c>
      <c r="P78" s="78" t="n">
        <v>76</v>
      </c>
      <c r="Q78" s="78" t="n">
        <v>75</v>
      </c>
      <c r="R78" s="78" t="n">
        <v>81</v>
      </c>
      <c r="S78" s="78" t="n">
        <v>92</v>
      </c>
      <c r="T78" s="78" t="n">
        <v>74</v>
      </c>
      <c r="U78" s="54"/>
      <c r="V78" s="79" t="n">
        <v>0.4</v>
      </c>
    </row>
    <row r="79" customFormat="false" ht="15" hidden="false" customHeight="false" outlineLevel="0" collapsed="false">
      <c r="F79" s="38" t="n">
        <v>44909</v>
      </c>
      <c r="G79" s="38"/>
      <c r="H79" s="78" t="n">
        <v>2.3</v>
      </c>
      <c r="I79" s="78" t="n">
        <v>4.4</v>
      </c>
      <c r="J79" s="78" t="n">
        <v>4.2</v>
      </c>
      <c r="K79" s="78" t="n">
        <v>4.6</v>
      </c>
      <c r="L79" s="78" t="n">
        <v>1.7</v>
      </c>
      <c r="M79" s="78" t="n">
        <v>3.15</v>
      </c>
      <c r="N79" s="78"/>
      <c r="O79" s="78" t="n">
        <v>75</v>
      </c>
      <c r="P79" s="78" t="n">
        <v>63</v>
      </c>
      <c r="Q79" s="78" t="n">
        <v>76</v>
      </c>
      <c r="R79" s="78" t="n">
        <v>71.3</v>
      </c>
      <c r="S79" s="78" t="n">
        <v>85</v>
      </c>
      <c r="T79" s="78" t="n">
        <v>63</v>
      </c>
      <c r="U79" s="54"/>
      <c r="V79" s="79" t="n">
        <v>0</v>
      </c>
    </row>
    <row r="80" customFormat="false" ht="15" hidden="false" customHeight="false" outlineLevel="0" collapsed="false">
      <c r="F80" s="38" t="n">
        <v>44910</v>
      </c>
      <c r="G80" s="38"/>
      <c r="H80" s="78" t="n">
        <v>4.7</v>
      </c>
      <c r="I80" s="78" t="n">
        <v>4.8</v>
      </c>
      <c r="J80" s="78" t="n">
        <v>4.1</v>
      </c>
      <c r="K80" s="78" t="n">
        <v>5.3</v>
      </c>
      <c r="L80" s="78" t="n">
        <v>3.2</v>
      </c>
      <c r="M80" s="78" t="n">
        <v>4.25</v>
      </c>
      <c r="N80" s="78"/>
      <c r="O80" s="78" t="n">
        <v>79</v>
      </c>
      <c r="P80" s="78" t="n">
        <v>85</v>
      </c>
      <c r="Q80" s="78" t="n">
        <v>92</v>
      </c>
      <c r="R80" s="78" t="n">
        <v>85.3</v>
      </c>
      <c r="S80" s="78" t="n">
        <v>93</v>
      </c>
      <c r="T80" s="78" t="n">
        <v>72</v>
      </c>
      <c r="U80" s="54"/>
      <c r="V80" s="79" t="n">
        <v>24.8</v>
      </c>
    </row>
    <row r="81" customFormat="false" ht="15" hidden="false" customHeight="false" outlineLevel="0" collapsed="false">
      <c r="F81" s="38" t="n">
        <v>44911</v>
      </c>
      <c r="G81" s="38"/>
      <c r="H81" s="78" t="n">
        <v>3.1</v>
      </c>
      <c r="I81" s="78" t="n">
        <v>5.2</v>
      </c>
      <c r="J81" s="78" t="n">
        <v>5.9</v>
      </c>
      <c r="K81" s="78" t="n">
        <v>6</v>
      </c>
      <c r="L81" s="78" t="n">
        <v>2.8</v>
      </c>
      <c r="M81" s="78" t="n">
        <v>4.4</v>
      </c>
      <c r="N81" s="78"/>
      <c r="O81" s="78" t="n">
        <v>89</v>
      </c>
      <c r="P81" s="78" t="n">
        <v>83</v>
      </c>
      <c r="Q81" s="78" t="n">
        <v>84</v>
      </c>
      <c r="R81" s="78" t="n">
        <v>85.3</v>
      </c>
      <c r="S81" s="78" t="n">
        <v>93</v>
      </c>
      <c r="T81" s="78" t="n">
        <v>83</v>
      </c>
      <c r="U81" s="54"/>
      <c r="V81" s="79" t="n">
        <v>0.2</v>
      </c>
    </row>
    <row r="82" customFormat="false" ht="15" hidden="false" customHeight="false" outlineLevel="0" collapsed="false">
      <c r="F82" s="38" t="n">
        <v>44912</v>
      </c>
      <c r="G82" s="38"/>
      <c r="H82" s="78" t="n">
        <v>4.1</v>
      </c>
      <c r="I82" s="78" t="n">
        <v>8.4</v>
      </c>
      <c r="J82" s="78" t="n">
        <v>6.4</v>
      </c>
      <c r="K82" s="78" t="n">
        <v>9.7</v>
      </c>
      <c r="L82" s="78" t="n">
        <v>3.7</v>
      </c>
      <c r="M82" s="78" t="n">
        <v>6.7</v>
      </c>
      <c r="N82" s="78"/>
      <c r="O82" s="78" t="n">
        <v>91</v>
      </c>
      <c r="P82" s="78" t="n">
        <v>73</v>
      </c>
      <c r="Q82" s="78" t="n">
        <v>85</v>
      </c>
      <c r="R82" s="78" t="n">
        <v>83</v>
      </c>
      <c r="S82" s="78" t="n">
        <v>92</v>
      </c>
      <c r="T82" s="78" t="n">
        <v>69</v>
      </c>
      <c r="U82" s="54"/>
      <c r="V82" s="79" t="n">
        <v>0</v>
      </c>
    </row>
    <row r="83" customFormat="false" ht="15" hidden="false" customHeight="false" outlineLevel="0" collapsed="false">
      <c r="F83" s="45" t="n">
        <v>44913</v>
      </c>
      <c r="G83" s="45"/>
      <c r="H83" s="80" t="n">
        <v>4</v>
      </c>
      <c r="I83" s="80" t="n">
        <v>6.4</v>
      </c>
      <c r="J83" s="80" t="n">
        <v>4.8</v>
      </c>
      <c r="K83" s="80" t="n">
        <v>7.4</v>
      </c>
      <c r="L83" s="80" t="n">
        <v>3.6</v>
      </c>
      <c r="M83" s="80" t="n">
        <v>5.5</v>
      </c>
      <c r="N83" s="80"/>
      <c r="O83" s="80" t="n">
        <v>93</v>
      </c>
      <c r="P83" s="80" t="n">
        <v>76</v>
      </c>
      <c r="Q83" s="80" t="n">
        <v>88</v>
      </c>
      <c r="R83" s="80" t="n">
        <v>85.7</v>
      </c>
      <c r="S83" s="80" t="n">
        <v>92</v>
      </c>
      <c r="T83" s="80" t="n">
        <v>73</v>
      </c>
      <c r="U83" s="83"/>
      <c r="V83" s="81" t="n">
        <v>0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Z83"/>
  <sheetViews>
    <sheetView showFormulas="false" showGridLines="true" showRowColHeaders="true" showZeros="true" rightToLeft="false" tabSelected="false" showOutlineSymbols="true" defaultGridColor="true" view="normal" topLeftCell="A55" colorId="64" zoomScale="100" zoomScaleNormal="100" zoomScalePageLayoutView="100" workbookViewId="0">
      <selection pane="topLeft" activeCell="H76" activeCellId="0" sqref="H76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2" t="s">
        <v>0</v>
      </c>
      <c r="H3" s="3" t="s">
        <v>88</v>
      </c>
      <c r="I3" s="2" t="s">
        <v>2</v>
      </c>
      <c r="J3" s="4" t="n">
        <v>44914</v>
      </c>
      <c r="K3" s="5" t="n">
        <v>44920</v>
      </c>
      <c r="L3" s="6" t="s">
        <v>3</v>
      </c>
      <c r="M3" s="3" t="n">
        <v>2022</v>
      </c>
      <c r="P3" s="7" t="s">
        <v>4</v>
      </c>
      <c r="Q3" s="7" t="n">
        <v>0.4</v>
      </c>
      <c r="S3" s="2" t="s">
        <v>0</v>
      </c>
      <c r="T3" s="3" t="s">
        <v>88</v>
      </c>
      <c r="U3" s="2" t="s">
        <v>2</v>
      </c>
      <c r="V3" s="4" t="n">
        <v>44914</v>
      </c>
      <c r="W3" s="5" t="n">
        <v>44920</v>
      </c>
      <c r="X3" s="6" t="s">
        <v>3</v>
      </c>
      <c r="Y3" s="3" t="n">
        <v>2022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N5" s="84" t="s">
        <v>89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  <c r="Z5" s="84" t="s">
        <v>89</v>
      </c>
    </row>
    <row r="6" customFormat="false" ht="15" hidden="false" customHeight="false" outlineLevel="0" collapsed="false">
      <c r="D6" s="9" t="s">
        <v>13</v>
      </c>
      <c r="E6" s="9"/>
      <c r="F6" s="9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N21" s="13" t="n">
        <v>1</v>
      </c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  <c r="Z21" s="14" t="n">
        <f aca="false">Tabella527911247916[[#This Row],[Colonna8]]*Q3</f>
        <v>0.4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</v>
      </c>
      <c r="H22" s="13"/>
      <c r="I22" s="13"/>
      <c r="J22" s="13" t="n">
        <v>1</v>
      </c>
      <c r="K22" s="13"/>
      <c r="L22" s="13"/>
      <c r="M22" s="13" t="n">
        <v>1</v>
      </c>
      <c r="P22" s="12" t="s">
        <v>29</v>
      </c>
      <c r="Q22" s="12"/>
      <c r="R22" s="12"/>
      <c r="S22" s="14" t="n">
        <f aca="false">Tabella527911247916[[#This Row],[Colonna1]]*Q3</f>
        <v>0.8</v>
      </c>
      <c r="T22" s="14"/>
      <c r="U22" s="14"/>
      <c r="V22" s="14" t="n">
        <f aca="false">Tabella527911247916[[#This Row],[Colonna4]]*$Q3</f>
        <v>0.4</v>
      </c>
      <c r="W22" s="14"/>
      <c r="X22" s="14"/>
      <c r="Y22" s="14" t="n">
        <f aca="false">Tabella527911247916[[#This Row],[Colonna7]]*Q3</f>
        <v>0.4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 t="n">
        <v>1</v>
      </c>
      <c r="I41" s="13"/>
      <c r="J41" s="13"/>
      <c r="K41" s="13"/>
      <c r="L41" s="13"/>
      <c r="M41" s="13" t="n">
        <v>1</v>
      </c>
      <c r="P41" s="18" t="s">
        <v>48</v>
      </c>
      <c r="Q41" s="18"/>
      <c r="R41" s="18"/>
      <c r="S41" s="14"/>
      <c r="T41" s="14" t="n">
        <f aca="false">Tabella527911247916[[#This Row],[Colonna2]]*$Q3</f>
        <v>0.4</v>
      </c>
      <c r="U41" s="14"/>
      <c r="V41" s="14"/>
      <c r="W41" s="14"/>
      <c r="X41" s="14"/>
      <c r="Y41" s="14" t="n">
        <f aca="false">Tabella527911247916[[#This Row],[Colonna7]]*Q3</f>
        <v>0.4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</v>
      </c>
      <c r="H44" s="13"/>
      <c r="I44" s="13" t="n">
        <v>2</v>
      </c>
      <c r="J44" s="13" t="n">
        <v>1</v>
      </c>
      <c r="K44" s="13"/>
      <c r="L44" s="13" t="n">
        <v>1</v>
      </c>
      <c r="M44" s="13"/>
      <c r="P44" s="12" t="s">
        <v>51</v>
      </c>
      <c r="Q44" s="12"/>
      <c r="R44" s="12"/>
      <c r="S44" s="14" t="n">
        <f aca="false">Tabella527911247916[[#This Row],[Colonna1]]*$Q3</f>
        <v>0.4</v>
      </c>
      <c r="T44" s="14"/>
      <c r="U44" s="14" t="n">
        <f aca="false">Tabella527911247916[[#This Row],[Colonna3]]*$Q3</f>
        <v>0.8</v>
      </c>
      <c r="V44" s="14" t="n">
        <f aca="false">Tabella527911247916[[#This Row],[Colonna4]]*$Q3</f>
        <v>0.4</v>
      </c>
      <c r="W44" s="14"/>
      <c r="X44" s="14" t="n">
        <f aca="false">Tabella527911247916[[#This Row],[Colonna6]]*Q3</f>
        <v>0.4</v>
      </c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3</v>
      </c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 t="n">
        <f aca="false">Tabella527911247916[[#This Row],[Colonna1]]*$Q3</f>
        <v>1.2</v>
      </c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SUM(G22,G44,G52)</f>
        <v>6</v>
      </c>
      <c r="H53" s="55" t="n">
        <f aca="false">SUM(H41)</f>
        <v>1</v>
      </c>
      <c r="I53" s="55" t="n">
        <v>2</v>
      </c>
      <c r="J53" s="55" t="n">
        <v>2</v>
      </c>
      <c r="K53" s="55" t="n">
        <v>0</v>
      </c>
      <c r="L53" s="55" t="n">
        <v>1</v>
      </c>
      <c r="M53" s="55" t="n">
        <v>2</v>
      </c>
      <c r="N53" s="19" t="n">
        <v>1</v>
      </c>
      <c r="P53" s="17" t="s">
        <v>60</v>
      </c>
      <c r="Q53" s="17"/>
      <c r="R53" s="17"/>
      <c r="S53" s="56" t="n">
        <f aca="false">Tabella527911247916[[#This Row],[Colonna1]]*$Q3</f>
        <v>2.4</v>
      </c>
      <c r="T53" s="56" t="n">
        <f aca="false">Tabella527911247916[[#This Row],[Colonna2]]*$Q3</f>
        <v>0.4</v>
      </c>
      <c r="U53" s="56" t="n">
        <f aca="false">Tabella527911247916[[#This Row],[Colonna3]]*$Q3</f>
        <v>0.8</v>
      </c>
      <c r="V53" s="56" t="n">
        <f aca="false">Tabella527911247916[[#This Row],[Colonna4]]*$Q3</f>
        <v>0.8</v>
      </c>
      <c r="W53" s="56" t="n">
        <f aca="false">Tabella527911247916[[#This Row],[Colonna5]]*$Q3</f>
        <v>0</v>
      </c>
      <c r="X53" s="56" t="n">
        <f aca="false">Tabella527911247916[[#This Row],[Colonna6]]*$Q3</f>
        <v>0.4</v>
      </c>
      <c r="Y53" s="56" t="n">
        <f aca="false">Tabella527911247916[[#This Row],[Colonna7]]*$Q3</f>
        <v>0.8</v>
      </c>
      <c r="Z53" s="56" t="n">
        <f aca="false">Tabella527911247916[[#This Row],[Colonna8]]*$Q3</f>
        <v>0.4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N57" s="9" t="s">
        <v>89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  <c r="Z57" s="9" t="s">
        <v>89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23</v>
      </c>
      <c r="H58" s="26" t="n">
        <v>21</v>
      </c>
      <c r="I58" s="26" t="n">
        <v>18</v>
      </c>
      <c r="J58" s="26" t="n">
        <v>22</v>
      </c>
      <c r="K58" s="26" t="n">
        <v>14</v>
      </c>
      <c r="L58" s="26" t="n">
        <v>23</v>
      </c>
      <c r="M58" s="85" t="n">
        <v>12</v>
      </c>
      <c r="N58" s="26" t="n">
        <v>16</v>
      </c>
      <c r="P58" s="23" t="s">
        <v>62</v>
      </c>
      <c r="Q58" s="23"/>
      <c r="R58" s="23"/>
      <c r="S58" s="57" t="n">
        <f aca="false">G58*$Q3</f>
        <v>9.2</v>
      </c>
      <c r="T58" s="57" t="n">
        <f aca="false">H58*$Q3</f>
        <v>8.4</v>
      </c>
      <c r="U58" s="57" t="n">
        <f aca="false">I58*$Q3</f>
        <v>7.2</v>
      </c>
      <c r="V58" s="57" t="n">
        <f aca="false">J58*$Q3</f>
        <v>8.8</v>
      </c>
      <c r="W58" s="57" t="n">
        <f aca="false">K58*$Q3</f>
        <v>5.6</v>
      </c>
      <c r="X58" s="57" t="n">
        <f aca="false">L58*$Q3</f>
        <v>9.2</v>
      </c>
      <c r="Y58" s="57" t="n">
        <f aca="false">M58*$Q3</f>
        <v>4.8</v>
      </c>
      <c r="Z58" s="27" t="n">
        <f aca="false">N58*Q3</f>
        <v>6.4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85"/>
      <c r="N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86"/>
      <c r="Z59" s="8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85"/>
      <c r="N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86"/>
      <c r="Z60" s="8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85"/>
      <c r="N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86"/>
      <c r="Z61" s="8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1</v>
      </c>
      <c r="H62" s="26"/>
      <c r="I62" s="26"/>
      <c r="J62" s="26" t="n">
        <v>2</v>
      </c>
      <c r="K62" s="26" t="n">
        <v>3</v>
      </c>
      <c r="L62" s="26" t="n">
        <v>3</v>
      </c>
      <c r="M62" s="85" t="n">
        <v>3</v>
      </c>
      <c r="N62" s="26" t="n">
        <v>2</v>
      </c>
      <c r="P62" s="9" t="s">
        <v>66</v>
      </c>
      <c r="Q62" s="9"/>
      <c r="R62" s="9"/>
      <c r="S62" s="57" t="n">
        <f aca="false">G62*$Q3</f>
        <v>0.4</v>
      </c>
      <c r="T62" s="57"/>
      <c r="U62" s="57"/>
      <c r="V62" s="57" t="n">
        <f aca="false">J62*$Q3</f>
        <v>0.8</v>
      </c>
      <c r="W62" s="57" t="n">
        <f aca="false">K62*$Q3</f>
        <v>1.2</v>
      </c>
      <c r="X62" s="57" t="n">
        <f aca="false">L62*$Q3</f>
        <v>1.2</v>
      </c>
      <c r="Y62" s="57" t="n">
        <f aca="false">M62*$Q3</f>
        <v>1.2</v>
      </c>
      <c r="Z62" s="57" t="n">
        <f aca="false">N62*$Q3</f>
        <v>0.8</v>
      </c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 t="n">
        <v>1</v>
      </c>
      <c r="K63" s="26" t="n">
        <v>1</v>
      </c>
      <c r="L63" s="26" t="n">
        <v>1</v>
      </c>
      <c r="M63" s="85"/>
      <c r="N63" s="26"/>
      <c r="P63" s="9" t="s">
        <v>67</v>
      </c>
      <c r="Q63" s="9"/>
      <c r="R63" s="9"/>
      <c r="S63" s="57"/>
      <c r="T63" s="27"/>
      <c r="U63" s="27"/>
      <c r="V63" s="27" t="n">
        <f aca="false">J63*$Q3</f>
        <v>0.4</v>
      </c>
      <c r="W63" s="27" t="n">
        <f aca="false">K63*$Q3</f>
        <v>0.4</v>
      </c>
      <c r="X63" s="27" t="n">
        <f aca="false">L63*$Q3</f>
        <v>0.4</v>
      </c>
      <c r="Y63" s="86"/>
      <c r="Z63" s="87"/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2</v>
      </c>
      <c r="H64" s="26" t="n">
        <v>1</v>
      </c>
      <c r="I64" s="26" t="n">
        <v>1</v>
      </c>
      <c r="J64" s="26" t="n">
        <v>1</v>
      </c>
      <c r="K64" s="26"/>
      <c r="L64" s="26" t="n">
        <v>1</v>
      </c>
      <c r="M64" s="85"/>
      <c r="N64" s="26"/>
      <c r="P64" s="9" t="s">
        <v>68</v>
      </c>
      <c r="Q64" s="9"/>
      <c r="R64" s="9"/>
      <c r="S64" s="57" t="n">
        <f aca="false">G64*$Q3</f>
        <v>0.8</v>
      </c>
      <c r="T64" s="57" t="n">
        <f aca="false">H64*$Q3</f>
        <v>0.4</v>
      </c>
      <c r="U64" s="57" t="n">
        <f aca="false">I64*$Q3</f>
        <v>0.4</v>
      </c>
      <c r="V64" s="57" t="n">
        <f aca="false">J64*$Q3</f>
        <v>0.4</v>
      </c>
      <c r="W64" s="57"/>
      <c r="X64" s="57" t="n">
        <f aca="false">L64*$Q3</f>
        <v>0.4</v>
      </c>
      <c r="Y64" s="57"/>
      <c r="Z64" s="8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5</v>
      </c>
      <c r="H65" s="26" t="n">
        <v>1</v>
      </c>
      <c r="I65" s="26" t="n">
        <v>1</v>
      </c>
      <c r="J65" s="26" t="n">
        <v>2</v>
      </c>
      <c r="K65" s="26" t="n">
        <v>1</v>
      </c>
      <c r="L65" s="26" t="n">
        <v>1</v>
      </c>
      <c r="M65" s="85" t="n">
        <v>2</v>
      </c>
      <c r="N65" s="26" t="n">
        <v>4</v>
      </c>
      <c r="P65" s="9" t="s">
        <v>69</v>
      </c>
      <c r="Q65" s="9"/>
      <c r="R65" s="9"/>
      <c r="S65" s="57" t="n">
        <f aca="false">G65*$Q3</f>
        <v>2</v>
      </c>
      <c r="T65" s="57" t="n">
        <f aca="false">H65*$Q3</f>
        <v>0.4</v>
      </c>
      <c r="U65" s="57" t="n">
        <f aca="false">I65*$Q3</f>
        <v>0.4</v>
      </c>
      <c r="V65" s="57" t="n">
        <f aca="false">J65*$Q3</f>
        <v>0.8</v>
      </c>
      <c r="W65" s="57" t="n">
        <f aca="false">K65*$Q3</f>
        <v>0.4</v>
      </c>
      <c r="X65" s="57" t="n">
        <f aca="false">L65*$Q3</f>
        <v>0.4</v>
      </c>
      <c r="Y65" s="57" t="n">
        <f aca="false">M65*$Q3</f>
        <v>0.8</v>
      </c>
      <c r="Z65" s="57" t="n">
        <f aca="false">N65*$Q3</f>
        <v>1.6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85"/>
      <c r="N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86"/>
      <c r="Z66" s="8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3</v>
      </c>
      <c r="H67" s="26"/>
      <c r="I67" s="26"/>
      <c r="J67" s="26" t="n">
        <v>5</v>
      </c>
      <c r="K67" s="26" t="n">
        <v>3</v>
      </c>
      <c r="L67" s="26" t="n">
        <v>4</v>
      </c>
      <c r="M67" s="85" t="n">
        <v>6</v>
      </c>
      <c r="N67" s="26" t="n">
        <v>9</v>
      </c>
      <c r="P67" s="9" t="s">
        <v>71</v>
      </c>
      <c r="Q67" s="9"/>
      <c r="R67" s="9"/>
      <c r="S67" s="57" t="n">
        <f aca="false">G67*$Q3</f>
        <v>1.2</v>
      </c>
      <c r="T67" s="57"/>
      <c r="U67" s="57"/>
      <c r="V67" s="57" t="n">
        <f aca="false">J67*$Q3</f>
        <v>2</v>
      </c>
      <c r="W67" s="57" t="n">
        <f aca="false">K67*$Q3</f>
        <v>1.2</v>
      </c>
      <c r="X67" s="57" t="n">
        <f aca="false">L67*$Q3</f>
        <v>1.6</v>
      </c>
      <c r="Y67" s="57" t="n">
        <f aca="false">M67*$Q3</f>
        <v>2.4</v>
      </c>
      <c r="Z67" s="57" t="n">
        <f aca="false">N67*$Q3</f>
        <v>3.6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2</v>
      </c>
      <c r="H68" s="30" t="n">
        <v>1</v>
      </c>
      <c r="I68" s="30"/>
      <c r="J68" s="30"/>
      <c r="K68" s="30" t="n">
        <v>1</v>
      </c>
      <c r="L68" s="30"/>
      <c r="M68" s="88"/>
      <c r="N68" s="26" t="n">
        <v>1</v>
      </c>
      <c r="P68" s="9" t="s">
        <v>72</v>
      </c>
      <c r="Q68" s="9"/>
      <c r="R68" s="9"/>
      <c r="S68" s="59" t="n">
        <f aca="false">G68*$Q3</f>
        <v>0.8</v>
      </c>
      <c r="T68" s="59" t="n">
        <f aca="false">H68*$Q3</f>
        <v>0.4</v>
      </c>
      <c r="U68" s="59"/>
      <c r="V68" s="59"/>
      <c r="W68" s="59" t="n">
        <f aca="false">K68*$Q3</f>
        <v>0.4</v>
      </c>
      <c r="X68" s="59"/>
      <c r="Y68" s="59"/>
      <c r="Z68" s="59" t="n">
        <f aca="false">N68*$Q3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4</v>
      </c>
      <c r="H69" s="30" t="n">
        <v>2</v>
      </c>
      <c r="I69" s="30" t="n">
        <v>1</v>
      </c>
      <c r="J69" s="30"/>
      <c r="K69" s="30"/>
      <c r="L69" s="30" t="n">
        <v>4</v>
      </c>
      <c r="M69" s="88" t="n">
        <v>3</v>
      </c>
      <c r="N69" s="26" t="n">
        <v>1</v>
      </c>
      <c r="P69" s="9" t="s">
        <v>73</v>
      </c>
      <c r="Q69" s="9"/>
      <c r="R69" s="9"/>
      <c r="S69" s="59" t="n">
        <f aca="false">G69*$Q3</f>
        <v>1.6</v>
      </c>
      <c r="T69" s="59" t="n">
        <f aca="false">H69*$Q3</f>
        <v>0.8</v>
      </c>
      <c r="U69" s="59" t="n">
        <f aca="false">I69*$Q3</f>
        <v>0.4</v>
      </c>
      <c r="V69" s="59"/>
      <c r="W69" s="59"/>
      <c r="X69" s="59" t="n">
        <f aca="false">L69*$Q3</f>
        <v>1.6</v>
      </c>
      <c r="Y69" s="59" t="n">
        <f aca="false">M69*$Q3</f>
        <v>1.2</v>
      </c>
      <c r="Z69" s="59" t="n">
        <f aca="false">N69*$Q3</f>
        <v>0.4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SUM(G58,G62,G64,G65,G67,G68,G69)</f>
        <v>40</v>
      </c>
      <c r="H70" s="60" t="n">
        <f aca="false">SUM(H58,H64,H65,H68,H69)</f>
        <v>26</v>
      </c>
      <c r="I70" s="60" t="n">
        <f aca="false">SUM(I58,I64,I65,I69)</f>
        <v>21</v>
      </c>
      <c r="J70" s="60" t="n">
        <f aca="false">SUM(J58,J62,J63,J64,J65,J67)</f>
        <v>33</v>
      </c>
      <c r="K70" s="12" t="n">
        <f aca="false">SUM(K58,K62,K63,K65,K67,K68)</f>
        <v>23</v>
      </c>
      <c r="L70" s="12" t="n">
        <f aca="false">SUM(L58,L62,L63,L64,L65,L67,L69)</f>
        <v>37</v>
      </c>
      <c r="M70" s="89" t="n">
        <f aca="false">SUM(M58,M62,M65,M67,M69)</f>
        <v>26</v>
      </c>
      <c r="N70" s="12" t="n">
        <f aca="false">SUM(N58,N62,N65,N67,N68,N69)</f>
        <v>33</v>
      </c>
      <c r="P70" s="9" t="s">
        <v>60</v>
      </c>
      <c r="Q70" s="9"/>
      <c r="R70" s="9"/>
      <c r="S70" s="61" t="n">
        <f aca="false">G70*$Q3</f>
        <v>16</v>
      </c>
      <c r="T70" s="61" t="n">
        <f aca="false">H70*$Q3</f>
        <v>10.4</v>
      </c>
      <c r="U70" s="61" t="n">
        <f aca="false">I70*$Q3</f>
        <v>8.4</v>
      </c>
      <c r="V70" s="61" t="n">
        <f aca="false">J70*$Q3</f>
        <v>13.2</v>
      </c>
      <c r="W70" s="61" t="n">
        <f aca="false">K70*$Q3</f>
        <v>9.2</v>
      </c>
      <c r="X70" s="61" t="n">
        <f aca="false">L70*$Q3</f>
        <v>14.8</v>
      </c>
      <c r="Y70" s="61" t="n">
        <f aca="false">M70*$Q3</f>
        <v>10.4</v>
      </c>
      <c r="Z70" s="61" t="n">
        <f aca="false">N70*$Q3</f>
        <v>13.2</v>
      </c>
    </row>
    <row r="76" customFormat="false" ht="15" hidden="false" customHeight="false" outlineLevel="0" collapsed="false">
      <c r="F76" s="34" t="s">
        <v>74</v>
      </c>
      <c r="G76" s="34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38" t="n">
        <v>44914</v>
      </c>
      <c r="G77" s="38"/>
      <c r="H77" s="78" t="n">
        <v>4.4</v>
      </c>
      <c r="I77" s="78" t="n">
        <v>5.9</v>
      </c>
      <c r="J77" s="78" t="n">
        <v>6.2</v>
      </c>
      <c r="K77" s="78" t="n">
        <v>6.2</v>
      </c>
      <c r="L77" s="78" t="n">
        <v>4.2</v>
      </c>
      <c r="M77" s="78" t="n">
        <v>5.2</v>
      </c>
      <c r="N77" s="78"/>
      <c r="O77" s="78" t="n">
        <v>90</v>
      </c>
      <c r="P77" s="78" t="n">
        <v>83</v>
      </c>
      <c r="Q77" s="78" t="n">
        <v>85</v>
      </c>
      <c r="R77" s="78" t="n">
        <v>86</v>
      </c>
      <c r="S77" s="78" t="n">
        <v>91</v>
      </c>
      <c r="T77" s="78" t="n">
        <v>80</v>
      </c>
      <c r="U77" s="78"/>
      <c r="V77" s="79" t="n">
        <v>0</v>
      </c>
    </row>
    <row r="78" customFormat="false" ht="15" hidden="false" customHeight="false" outlineLevel="0" collapsed="false">
      <c r="F78" s="38" t="n">
        <v>44915</v>
      </c>
      <c r="G78" s="38"/>
      <c r="H78" s="78" t="n">
        <v>5.5</v>
      </c>
      <c r="I78" s="78" t="n">
        <v>6.5</v>
      </c>
      <c r="J78" s="78" t="n">
        <v>6.3</v>
      </c>
      <c r="K78" s="78" t="n">
        <v>6.7</v>
      </c>
      <c r="L78" s="78" t="n">
        <v>5.3</v>
      </c>
      <c r="M78" s="78" t="n">
        <v>6</v>
      </c>
      <c r="N78" s="78"/>
      <c r="O78" s="78" t="n">
        <v>85</v>
      </c>
      <c r="P78" s="78" t="n">
        <v>82</v>
      </c>
      <c r="Q78" s="78" t="n">
        <v>82</v>
      </c>
      <c r="R78" s="78" t="n">
        <v>83</v>
      </c>
      <c r="S78" s="78" t="n">
        <v>90</v>
      </c>
      <c r="T78" s="78" t="n">
        <v>78</v>
      </c>
      <c r="U78" s="78"/>
      <c r="V78" s="79" t="n">
        <v>0.1</v>
      </c>
    </row>
    <row r="79" customFormat="false" ht="15" hidden="false" customHeight="false" outlineLevel="0" collapsed="false">
      <c r="F79" s="38" t="n">
        <v>44916</v>
      </c>
      <c r="G79" s="38"/>
      <c r="H79" s="78" t="n">
        <v>5.4</v>
      </c>
      <c r="I79" s="78" t="n">
        <v>6.8</v>
      </c>
      <c r="J79" s="78" t="n">
        <v>6.7</v>
      </c>
      <c r="K79" s="78" t="n">
        <v>7</v>
      </c>
      <c r="L79" s="78" t="n">
        <v>5.4</v>
      </c>
      <c r="M79" s="78" t="n">
        <v>6.2</v>
      </c>
      <c r="N79" s="78"/>
      <c r="O79" s="78" t="n">
        <v>91</v>
      </c>
      <c r="P79" s="78" t="n">
        <v>84</v>
      </c>
      <c r="Q79" s="78" t="n">
        <v>87</v>
      </c>
      <c r="R79" s="78" t="n">
        <v>87.3</v>
      </c>
      <c r="S79" s="78" t="n">
        <v>92</v>
      </c>
      <c r="T79" s="78" t="n">
        <v>84</v>
      </c>
      <c r="U79" s="78"/>
      <c r="V79" s="79" t="n">
        <v>0.5</v>
      </c>
    </row>
    <row r="80" customFormat="false" ht="15" hidden="false" customHeight="false" outlineLevel="0" collapsed="false">
      <c r="F80" s="38" t="n">
        <v>44917</v>
      </c>
      <c r="G80" s="38"/>
      <c r="H80" s="78" t="n">
        <v>7.2</v>
      </c>
      <c r="I80" s="78" t="n">
        <v>8.8</v>
      </c>
      <c r="J80" s="78" t="n">
        <v>7.4</v>
      </c>
      <c r="K80" s="78" t="n">
        <v>9.4</v>
      </c>
      <c r="L80" s="78" t="n">
        <v>6.3</v>
      </c>
      <c r="M80" s="78" t="n">
        <v>7.85</v>
      </c>
      <c r="N80" s="78"/>
      <c r="O80" s="78" t="n">
        <v>85</v>
      </c>
      <c r="P80" s="78" t="n">
        <v>79</v>
      </c>
      <c r="Q80" s="78" t="n">
        <v>87</v>
      </c>
      <c r="R80" s="78" t="n">
        <v>83.7</v>
      </c>
      <c r="S80" s="78" t="n">
        <v>90</v>
      </c>
      <c r="T80" s="78" t="n">
        <v>77</v>
      </c>
      <c r="U80" s="78"/>
      <c r="V80" s="79" t="n">
        <v>0</v>
      </c>
    </row>
    <row r="81" customFormat="false" ht="15" hidden="false" customHeight="false" outlineLevel="0" collapsed="false">
      <c r="F81" s="38" t="n">
        <v>44918</v>
      </c>
      <c r="G81" s="38"/>
      <c r="H81" s="78" t="n">
        <v>7</v>
      </c>
      <c r="I81" s="78" t="n">
        <v>8.4</v>
      </c>
      <c r="J81" s="78" t="n">
        <v>8.5</v>
      </c>
      <c r="K81" s="78" t="n">
        <v>8.5</v>
      </c>
      <c r="L81" s="78" t="n">
        <v>5.2</v>
      </c>
      <c r="M81" s="78" t="n">
        <v>6.85</v>
      </c>
      <c r="N81" s="78"/>
      <c r="O81" s="78" t="n">
        <v>91</v>
      </c>
      <c r="P81" s="78" t="n">
        <v>86</v>
      </c>
      <c r="Q81" s="78" t="n">
        <v>87</v>
      </c>
      <c r="R81" s="78" t="n">
        <v>85</v>
      </c>
      <c r="S81" s="78" t="n">
        <v>93</v>
      </c>
      <c r="T81" s="78" t="n">
        <v>86</v>
      </c>
      <c r="U81" s="78"/>
      <c r="V81" s="79" t="n">
        <v>0</v>
      </c>
    </row>
    <row r="82" customFormat="false" ht="15" hidden="false" customHeight="false" outlineLevel="0" collapsed="false">
      <c r="F82" s="38" t="n">
        <v>44919</v>
      </c>
      <c r="G82" s="38"/>
      <c r="H82" s="78" t="n">
        <v>8</v>
      </c>
      <c r="I82" s="78" t="n">
        <v>9</v>
      </c>
      <c r="J82" s="78" t="n">
        <v>9.2</v>
      </c>
      <c r="K82" s="78" t="n">
        <v>9.2</v>
      </c>
      <c r="L82" s="78" t="n">
        <v>7.9</v>
      </c>
      <c r="M82" s="78" t="n">
        <v>8.55</v>
      </c>
      <c r="N82" s="78"/>
      <c r="O82" s="78" t="n">
        <v>91</v>
      </c>
      <c r="P82" s="78" t="n">
        <v>89</v>
      </c>
      <c r="Q82" s="78" t="n">
        <v>91</v>
      </c>
      <c r="R82" s="78" t="n">
        <v>90.3</v>
      </c>
      <c r="S82" s="78" t="n">
        <v>92</v>
      </c>
      <c r="T82" s="78" t="n">
        <v>87</v>
      </c>
      <c r="U82" s="78"/>
      <c r="V82" s="79" t="n">
        <v>0</v>
      </c>
    </row>
    <row r="83" customFormat="false" ht="15" hidden="false" customHeight="false" outlineLevel="0" collapsed="false">
      <c r="F83" s="45" t="n">
        <v>44920</v>
      </c>
      <c r="G83" s="45"/>
      <c r="H83" s="80" t="n">
        <v>9</v>
      </c>
      <c r="I83" s="80" t="n">
        <v>10.2</v>
      </c>
      <c r="J83" s="80" t="n">
        <v>10</v>
      </c>
      <c r="K83" s="80" t="n">
        <v>10.3</v>
      </c>
      <c r="L83" s="80" t="n">
        <v>8.4</v>
      </c>
      <c r="M83" s="80" t="n">
        <v>9.35</v>
      </c>
      <c r="N83" s="80"/>
      <c r="O83" s="80" t="n">
        <v>92</v>
      </c>
      <c r="P83" s="80" t="n">
        <v>76</v>
      </c>
      <c r="Q83" s="80" t="n">
        <v>84</v>
      </c>
      <c r="R83" s="80" t="n">
        <v>84</v>
      </c>
      <c r="S83" s="80" t="n">
        <v>92</v>
      </c>
      <c r="T83" s="80" t="n">
        <v>75</v>
      </c>
      <c r="U83" s="80"/>
      <c r="V83" s="81" t="n">
        <v>0.2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AA83"/>
  <sheetViews>
    <sheetView showFormulas="false" showGridLines="true" showRowColHeaders="true" showZeros="true" rightToLeft="false" tabSelected="false" showOutlineSymbols="true" defaultGridColor="true" view="normal" topLeftCell="L34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2" t="s">
        <v>0</v>
      </c>
      <c r="H3" s="3" t="s">
        <v>90</v>
      </c>
      <c r="I3" s="2" t="s">
        <v>2</v>
      </c>
      <c r="J3" s="4" t="n">
        <v>44935</v>
      </c>
      <c r="K3" s="5" t="n">
        <v>44941</v>
      </c>
      <c r="L3" s="6" t="s">
        <v>3</v>
      </c>
      <c r="M3" s="3" t="n">
        <v>2023</v>
      </c>
      <c r="P3" s="7" t="s">
        <v>4</v>
      </c>
      <c r="Q3" s="7" t="n">
        <v>0.4</v>
      </c>
      <c r="S3" s="2" t="s">
        <v>0</v>
      </c>
      <c r="T3" s="3" t="s">
        <v>90</v>
      </c>
      <c r="U3" s="2" t="s">
        <v>2</v>
      </c>
      <c r="V3" s="4" t="n">
        <v>44935</v>
      </c>
      <c r="W3" s="5" t="n">
        <v>44941</v>
      </c>
      <c r="X3" s="6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1</v>
      </c>
      <c r="H9" s="13" t="n">
        <v>4</v>
      </c>
      <c r="I9" s="13" t="n">
        <v>1</v>
      </c>
      <c r="J9" s="13"/>
      <c r="K9" s="13"/>
      <c r="L9" s="13" t="n">
        <v>2</v>
      </c>
      <c r="M9" s="13"/>
      <c r="P9" s="12" t="s">
        <v>16</v>
      </c>
      <c r="Q9" s="12"/>
      <c r="R9" s="12"/>
      <c r="S9" s="14" t="n">
        <f aca="false">Tabella52791124791618[[#This Row],[Colonna1]]*$Q3</f>
        <v>0.4</v>
      </c>
      <c r="T9" s="14" t="n">
        <f aca="false">Tabella52791124791618[[#This Row],[Colonna2]]*$Q3</f>
        <v>1.6</v>
      </c>
      <c r="U9" s="14" t="n">
        <f aca="false">Tabella52791124791618[[#This Row],[Colonna3]]*$Q3</f>
        <v>0.4</v>
      </c>
      <c r="V9" s="14"/>
      <c r="W9" s="14"/>
      <c r="X9" s="14" t="n">
        <f aca="false">Tabella52791124791618[[#This Row],[Colonna6]]*$Q3</f>
        <v>0.8</v>
      </c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 t="n">
        <v>1</v>
      </c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 t="n">
        <f aca="false">Tabella52791124791618[[#This Row],[Colonna2]]*$Q3</f>
        <v>0.4</v>
      </c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1</v>
      </c>
      <c r="H21" s="13" t="n">
        <v>53</v>
      </c>
      <c r="I21" s="13" t="n">
        <v>6</v>
      </c>
      <c r="J21" s="13" t="n">
        <v>24</v>
      </c>
      <c r="K21" s="13" t="n">
        <v>8</v>
      </c>
      <c r="L21" s="13" t="n">
        <v>37</v>
      </c>
      <c r="M21" s="13" t="n">
        <v>14</v>
      </c>
      <c r="P21" s="16" t="s">
        <v>28</v>
      </c>
      <c r="Q21" s="16"/>
      <c r="R21" s="16"/>
      <c r="S21" s="14" t="n">
        <f aca="false">Tabella52791124791618[[#This Row],[Colonna1]]*$Q3</f>
        <v>0.4</v>
      </c>
      <c r="T21" s="14" t="n">
        <f aca="false">Tabella52791124791618[[#This Row],[Colonna2]]*$Q3</f>
        <v>21.2</v>
      </c>
      <c r="U21" s="14" t="n">
        <f aca="false">Tabella52791124791618[[#This Row],[Colonna3]]*$Q3</f>
        <v>2.4</v>
      </c>
      <c r="V21" s="14" t="n">
        <f aca="false">Tabella52791124791618[[#This Row],[Colonna4]]*$Q3</f>
        <v>9.6</v>
      </c>
      <c r="W21" s="14" t="n">
        <f aca="false">Tabella52791124791618[[#This Row],[Colonna5]]*$Q3</f>
        <v>3.2</v>
      </c>
      <c r="X21" s="14" t="n">
        <f aca="false">Tabella52791124791618[[#This Row],[Colonna6]]*$Q3</f>
        <v>14.8</v>
      </c>
      <c r="Y21" s="14" t="n">
        <f aca="false">Tabella52791124791618[[#This Row],[Colonna7]]*$Q3</f>
        <v>5.6</v>
      </c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 t="n">
        <v>7</v>
      </c>
      <c r="I22" s="13" t="n">
        <v>10</v>
      </c>
      <c r="J22" s="13"/>
      <c r="K22" s="13" t="n">
        <v>1</v>
      </c>
      <c r="L22" s="13" t="n">
        <v>1</v>
      </c>
      <c r="M22" s="13"/>
      <c r="P22" s="12" t="s">
        <v>29</v>
      </c>
      <c r="Q22" s="12"/>
      <c r="R22" s="12"/>
      <c r="S22" s="14"/>
      <c r="T22" s="14" t="n">
        <f aca="false">Tabella52791124791618[[#This Row],[Colonna2]]*$Q3</f>
        <v>2.8</v>
      </c>
      <c r="U22" s="14" t="n">
        <f aca="false">Tabella52791124791618[[#This Row],[Colonna3]]*$Q3</f>
        <v>4</v>
      </c>
      <c r="V22" s="14"/>
      <c r="W22" s="14" t="n">
        <f aca="false">Tabella52791124791618[[#This Row],[Colonna5]]*$Q3</f>
        <v>0.4</v>
      </c>
      <c r="X22" s="14" t="n">
        <f aca="false">Tabella52791124791618[[#This Row],[Colonna6]]*$Q3</f>
        <v>0.4</v>
      </c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 t="n">
        <v>1</v>
      </c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 t="n">
        <f aca="false">Tabella52791124791618[[#This Row],[Colonna2]]*$Q3</f>
        <v>0.4</v>
      </c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 t="n">
        <v>7</v>
      </c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 t="n">
        <f aca="false">Tabella52791124791618[[#This Row],[Colonna2]]*$Q3</f>
        <v>2.8</v>
      </c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 t="n">
        <v>1</v>
      </c>
      <c r="J35" s="13"/>
      <c r="K35" s="13"/>
      <c r="L35" s="13" t="n">
        <v>2</v>
      </c>
      <c r="M35" s="13"/>
      <c r="P35" s="9" t="s">
        <v>42</v>
      </c>
      <c r="Q35" s="9"/>
      <c r="R35" s="9"/>
      <c r="S35" s="14"/>
      <c r="T35" s="14"/>
      <c r="U35" s="14" t="n">
        <f aca="false">Tabella52791124791618[[#This Row],[Colonna3]]*$Q3</f>
        <v>0.4</v>
      </c>
      <c r="V35" s="14"/>
      <c r="W35" s="14"/>
      <c r="X35" s="14" t="n">
        <f aca="false">Tabella52791124791618[[#This Row],[Colonna6]]*$Q3</f>
        <v>0.8</v>
      </c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 t="n">
        <v>1</v>
      </c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 t="n">
        <f aca="false">Tabella52791124791618[[#This Row],[Colonna2]]*$Q3</f>
        <v>0.4</v>
      </c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</v>
      </c>
      <c r="H44" s="13" t="n">
        <v>8</v>
      </c>
      <c r="I44" s="13" t="n">
        <v>5</v>
      </c>
      <c r="J44" s="13"/>
      <c r="K44" s="13" t="n">
        <v>1</v>
      </c>
      <c r="L44" s="13" t="n">
        <v>2</v>
      </c>
      <c r="M44" s="13" t="n">
        <v>3</v>
      </c>
      <c r="P44" s="12" t="s">
        <v>51</v>
      </c>
      <c r="Q44" s="12"/>
      <c r="R44" s="12"/>
      <c r="S44" s="14" t="n">
        <f aca="false">Tabella52791124791618[[#This Row],[Colonna1]]*$Q3</f>
        <v>0.4</v>
      </c>
      <c r="T44" s="14" t="n">
        <f aca="false">Tabella52791124791618[[#This Row],[Colonna2]]*$Q3</f>
        <v>3.2</v>
      </c>
      <c r="U44" s="14" t="n">
        <f aca="false">Tabella52791124791618[[#This Row],[Colonna3]]*$Q3</f>
        <v>2</v>
      </c>
      <c r="V44" s="14"/>
      <c r="W44" s="14" t="n">
        <f aca="false">Tabella52791124791618[[#This Row],[Colonna5]]*$Q3</f>
        <v>0.4</v>
      </c>
      <c r="X44" s="14" t="n">
        <f aca="false">Tabella52791124791618[[#This Row],[Colonna6]]*$Q3</f>
        <v>0.8</v>
      </c>
      <c r="Y44" s="14" t="n">
        <f aca="false">Tabella52791124791618[[#This Row],[Colonna7]]*$Q3</f>
        <v>1.2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 t="n">
        <v>3</v>
      </c>
      <c r="J47" s="13" t="n">
        <v>1</v>
      </c>
      <c r="K47" s="13"/>
      <c r="L47" s="13" t="n">
        <v>2</v>
      </c>
      <c r="M47" s="13" t="n">
        <v>1</v>
      </c>
      <c r="P47" s="16" t="s">
        <v>54</v>
      </c>
      <c r="Q47" s="16"/>
      <c r="R47" s="16"/>
      <c r="S47" s="14"/>
      <c r="T47" s="14"/>
      <c r="U47" s="14" t="n">
        <f aca="false">Tabella52791124791618[[#This Row],[Colonna3]]*$Q3</f>
        <v>1.2</v>
      </c>
      <c r="V47" s="14" t="n">
        <f aca="false">Tabella52791124791618[[#This Row],[Colonna4]]*$Q3</f>
        <v>0.4</v>
      </c>
      <c r="W47" s="14"/>
      <c r="X47" s="14" t="n">
        <f aca="false">Tabella52791124791618[[#This Row],[Colonna6]]*$Q3</f>
        <v>0.8</v>
      </c>
      <c r="Y47" s="14" t="n">
        <f aca="false">Tabella52791124791618[[#This Row],[Colonna7]]*$Q3</f>
        <v>0.4</v>
      </c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 t="n">
        <v>1</v>
      </c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 t="n">
        <f aca="false">Tabella52791124791618[[#This Row],[Colonna6]]*$Q3</f>
        <v>0.4</v>
      </c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v>2</v>
      </c>
      <c r="H53" s="55" t="n">
        <f aca="false">SUM(H44,H41,H32,H28,H22,H21,H10,H9)</f>
        <v>82</v>
      </c>
      <c r="I53" s="55" t="n">
        <f aca="false">SUM(I47,I44,I35,I22,I21,I9)</f>
        <v>26</v>
      </c>
      <c r="J53" s="55" t="n">
        <f aca="false">SUM(J47,J21)</f>
        <v>25</v>
      </c>
      <c r="K53" s="55" t="n">
        <f aca="false">SUM(K44,K22,K21)</f>
        <v>10</v>
      </c>
      <c r="L53" s="55" t="n">
        <f aca="false">SUM(L48,L47,L44,L35,L22,L21,L9)</f>
        <v>47</v>
      </c>
      <c r="M53" s="55" t="n">
        <f aca="false">SUM(M47,M44,M21)</f>
        <v>18</v>
      </c>
      <c r="P53" s="17" t="s">
        <v>60</v>
      </c>
      <c r="Q53" s="17"/>
      <c r="R53" s="17"/>
      <c r="S53" s="56" t="n">
        <f aca="false">Tabella52791124791618[[#This Row],[Colonna1]]*$Q3</f>
        <v>0.8</v>
      </c>
      <c r="T53" s="56" t="n">
        <f aca="false">Tabella52791124791618[[#This Row],[Colonna2]]*$Q3</f>
        <v>32.8</v>
      </c>
      <c r="U53" s="56" t="n">
        <f aca="false">Tabella52791124791618[[#This Row],[Colonna3]]*$Q3</f>
        <v>10.4</v>
      </c>
      <c r="V53" s="56" t="n">
        <f aca="false">Tabella52791124791618[[#This Row],[Colonna4]]*$Q3</f>
        <v>10</v>
      </c>
      <c r="W53" s="56" t="n">
        <f aca="false">Tabella52791124791618[[#This Row],[Colonna5]]*$Q3</f>
        <v>4</v>
      </c>
      <c r="X53" s="56" t="n">
        <f aca="false">Tabella52791124791618[[#This Row],[Colonna6]]*$Q3</f>
        <v>18.8</v>
      </c>
      <c r="Y53" s="56" t="n">
        <f aca="false">Tabella52791124791618[[#This Row],[Colonna7]]*$Q3</f>
        <v>7.2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24</v>
      </c>
      <c r="H58" s="26" t="n">
        <v>135</v>
      </c>
      <c r="I58" s="26" t="n">
        <v>62</v>
      </c>
      <c r="J58" s="26" t="n">
        <v>24</v>
      </c>
      <c r="K58" s="26" t="n">
        <v>27</v>
      </c>
      <c r="L58" s="26" t="n">
        <v>27</v>
      </c>
      <c r="M58" s="26" t="n">
        <v>16</v>
      </c>
      <c r="P58" s="23" t="s">
        <v>62</v>
      </c>
      <c r="Q58" s="23"/>
      <c r="R58" s="23"/>
      <c r="S58" s="57" t="n">
        <f aca="false">G58*$Q3</f>
        <v>9.6</v>
      </c>
      <c r="T58" s="57" t="n">
        <f aca="false">H58*$Q3</f>
        <v>54</v>
      </c>
      <c r="U58" s="57" t="n">
        <f aca="false">I58*$Q3</f>
        <v>24.8</v>
      </c>
      <c r="V58" s="57" t="n">
        <f aca="false">J58*$Q3</f>
        <v>9.6</v>
      </c>
      <c r="W58" s="57" t="n">
        <f aca="false">K58*$Q3</f>
        <v>10.8</v>
      </c>
      <c r="X58" s="57" t="n">
        <f aca="false">L58*$Q3</f>
        <v>10.8</v>
      </c>
      <c r="Y58" s="57" t="n">
        <f aca="false">M58*$Q3</f>
        <v>6.4</v>
      </c>
      <c r="AA58" s="14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10</v>
      </c>
      <c r="H62" s="26" t="n">
        <v>43</v>
      </c>
      <c r="I62" s="26" t="n">
        <v>4</v>
      </c>
      <c r="J62" s="26" t="n">
        <v>4</v>
      </c>
      <c r="K62" s="26"/>
      <c r="L62" s="26" t="n">
        <v>5</v>
      </c>
      <c r="M62" s="26" t="n">
        <v>2</v>
      </c>
      <c r="P62" s="9" t="s">
        <v>66</v>
      </c>
      <c r="Q62" s="9"/>
      <c r="R62" s="9"/>
      <c r="S62" s="57" t="n">
        <f aca="false">G62*$Q3</f>
        <v>4</v>
      </c>
      <c r="T62" s="57" t="n">
        <f aca="false">H62*$Q3</f>
        <v>17.2</v>
      </c>
      <c r="U62" s="57" t="n">
        <f aca="false">I62*$Q3</f>
        <v>1.6</v>
      </c>
      <c r="V62" s="57" t="n">
        <f aca="false">J62*$Q3</f>
        <v>1.6</v>
      </c>
      <c r="W62" s="57"/>
      <c r="X62" s="57" t="n">
        <f aca="false">L62*$Q3</f>
        <v>2</v>
      </c>
      <c r="Y62" s="57" t="n">
        <f aca="false">M62*$Q3</f>
        <v>0.8</v>
      </c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 t="n">
        <v>1</v>
      </c>
      <c r="I63" s="26"/>
      <c r="J63" s="26"/>
      <c r="K63" s="26"/>
      <c r="L63" s="26"/>
      <c r="M63" s="26"/>
      <c r="P63" s="9" t="s">
        <v>67</v>
      </c>
      <c r="Q63" s="9"/>
      <c r="R63" s="9"/>
      <c r="S63" s="57"/>
      <c r="T63" s="27" t="n">
        <f aca="false">H63*$Q3</f>
        <v>0.4</v>
      </c>
      <c r="U63" s="27"/>
      <c r="V63" s="27"/>
      <c r="W63" s="27"/>
      <c r="X63" s="2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 t="n">
        <v>5</v>
      </c>
      <c r="I64" s="26" t="n">
        <v>1</v>
      </c>
      <c r="J64" s="26" t="n">
        <v>2</v>
      </c>
      <c r="K64" s="26"/>
      <c r="L64" s="26"/>
      <c r="M64" s="26" t="n">
        <v>1</v>
      </c>
      <c r="P64" s="9" t="s">
        <v>68</v>
      </c>
      <c r="Q64" s="9"/>
      <c r="R64" s="9"/>
      <c r="S64" s="57"/>
      <c r="T64" s="27" t="n">
        <f aca="false">H64*$Q3</f>
        <v>2</v>
      </c>
      <c r="U64" s="27" t="n">
        <f aca="false">I64*$Q3</f>
        <v>0.4</v>
      </c>
      <c r="V64" s="27" t="n">
        <f aca="false">J64*$Q3</f>
        <v>0.8</v>
      </c>
      <c r="W64" s="27"/>
      <c r="X64" s="27"/>
      <c r="Y64" s="27" t="n">
        <f aca="false">M64*$Q3</f>
        <v>0.4</v>
      </c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53</v>
      </c>
      <c r="H65" s="26" t="n">
        <v>13</v>
      </c>
      <c r="I65" s="26" t="n">
        <v>4</v>
      </c>
      <c r="J65" s="26"/>
      <c r="K65" s="26"/>
      <c r="L65" s="26" t="n">
        <v>5</v>
      </c>
      <c r="M65" s="26" t="n">
        <v>6</v>
      </c>
      <c r="P65" s="9" t="s">
        <v>69</v>
      </c>
      <c r="Q65" s="9"/>
      <c r="R65" s="9"/>
      <c r="S65" s="57" t="n">
        <f aca="false">G65*$Q3</f>
        <v>21.2</v>
      </c>
      <c r="T65" s="57" t="n">
        <f aca="false">H65*$Q3</f>
        <v>5.2</v>
      </c>
      <c r="U65" s="57" t="n">
        <f aca="false">I65*$Q3</f>
        <v>1.6</v>
      </c>
      <c r="V65" s="57"/>
      <c r="W65" s="57"/>
      <c r="X65" s="57" t="n">
        <f aca="false">L65*$Q3</f>
        <v>2</v>
      </c>
      <c r="Y65" s="57" t="n">
        <f aca="false">M65*$Q3</f>
        <v>2.4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6</v>
      </c>
      <c r="H67" s="26" t="n">
        <v>11</v>
      </c>
      <c r="I67" s="26" t="n">
        <v>3</v>
      </c>
      <c r="J67" s="26" t="n">
        <v>1</v>
      </c>
      <c r="K67" s="26"/>
      <c r="L67" s="26" t="n">
        <v>2</v>
      </c>
      <c r="M67" s="26" t="n">
        <v>1</v>
      </c>
      <c r="P67" s="9" t="s">
        <v>71</v>
      </c>
      <c r="Q67" s="9"/>
      <c r="R67" s="9"/>
      <c r="S67" s="57" t="n">
        <f aca="false">G67*$Q3</f>
        <v>2.4</v>
      </c>
      <c r="T67" s="57" t="n">
        <f aca="false">H67*$Q3</f>
        <v>4.4</v>
      </c>
      <c r="U67" s="57" t="n">
        <f aca="false">I67*$Q3</f>
        <v>1.2</v>
      </c>
      <c r="V67" s="57" t="n">
        <f aca="false">J67*$Q3</f>
        <v>0.4</v>
      </c>
      <c r="W67" s="57"/>
      <c r="X67" s="57" t="n">
        <f aca="false">L67*$Q3</f>
        <v>0.8</v>
      </c>
      <c r="Y67" s="57" t="n">
        <f aca="false">M67*$Q3</f>
        <v>0.4</v>
      </c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 t="n">
        <v>5</v>
      </c>
      <c r="I68" s="30" t="n">
        <v>6</v>
      </c>
      <c r="J68" s="30" t="n">
        <v>2</v>
      </c>
      <c r="K68" s="30" t="n">
        <v>1</v>
      </c>
      <c r="L68" s="30"/>
      <c r="M68" s="30"/>
      <c r="P68" s="9" t="s">
        <v>72</v>
      </c>
      <c r="Q68" s="9"/>
      <c r="R68" s="9"/>
      <c r="S68" s="59"/>
      <c r="T68" s="59" t="n">
        <f aca="false">H68*$Q3</f>
        <v>2</v>
      </c>
      <c r="U68" s="59" t="n">
        <f aca="false">I68*$Q3</f>
        <v>2.4</v>
      </c>
      <c r="V68" s="59" t="n">
        <f aca="false">J68*$Q3</f>
        <v>0.8</v>
      </c>
      <c r="W68" s="59" t="n">
        <f aca="false">K68*$Q3</f>
        <v>0.4</v>
      </c>
      <c r="X68" s="59"/>
      <c r="Y68" s="31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 t="n">
        <v>5</v>
      </c>
      <c r="I69" s="30" t="n">
        <v>5</v>
      </c>
      <c r="J69" s="30" t="n">
        <v>14</v>
      </c>
      <c r="K69" s="30" t="n">
        <v>10</v>
      </c>
      <c r="L69" s="30" t="n">
        <v>6</v>
      </c>
      <c r="M69" s="30" t="n">
        <v>3</v>
      </c>
      <c r="P69" s="9" t="s">
        <v>73</v>
      </c>
      <c r="Q69" s="9"/>
      <c r="R69" s="9"/>
      <c r="S69" s="59"/>
      <c r="T69" s="31" t="n">
        <f aca="false">H69*$Q3</f>
        <v>2</v>
      </c>
      <c r="U69" s="31" t="n">
        <f aca="false">I69*$Q3</f>
        <v>2</v>
      </c>
      <c r="V69" s="31" t="n">
        <f aca="false">J69*$Q3</f>
        <v>5.6</v>
      </c>
      <c r="W69" s="31" t="n">
        <f aca="false">K69*$Q3</f>
        <v>4</v>
      </c>
      <c r="X69" s="31" t="n">
        <f aca="false">L69*$Q3</f>
        <v>2.4</v>
      </c>
      <c r="Y69" s="31" t="n">
        <f aca="false">M69*$Q3</f>
        <v>1.2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SUM(G58,G62,G65,G67)</f>
        <v>93</v>
      </c>
      <c r="H70" s="60" t="n">
        <f aca="false">SUM(H58,H62,H63,H64,H65,H67,H68,H69)</f>
        <v>218</v>
      </c>
      <c r="I70" s="60" t="n">
        <f aca="false">SUM(I58,I62,I64,I65,I67,I68,I69)</f>
        <v>85</v>
      </c>
      <c r="J70" s="60" t="n">
        <f aca="false">SUM(J58,J62,J64,J67,J68,J69)</f>
        <v>47</v>
      </c>
      <c r="K70" s="12" t="n">
        <f aca="false">SUM(K68,K69,K58)</f>
        <v>38</v>
      </c>
      <c r="L70" s="12" t="n">
        <f aca="false">SUM(L69,L67,L65,L62,L58)</f>
        <v>45</v>
      </c>
      <c r="M70" s="12" t="n">
        <f aca="false">SUM(M69,M67,M65,M64,M62,M58)</f>
        <v>29</v>
      </c>
      <c r="P70" s="9" t="s">
        <v>60</v>
      </c>
      <c r="Q70" s="9"/>
      <c r="R70" s="9"/>
      <c r="S70" s="61" t="n">
        <f aca="false">G70*$Q3</f>
        <v>37.2</v>
      </c>
      <c r="T70" s="61" t="n">
        <f aca="false">H70*$Q3</f>
        <v>87.2</v>
      </c>
      <c r="U70" s="61" t="n">
        <f aca="false">I70*$Q3</f>
        <v>34</v>
      </c>
      <c r="V70" s="61" t="n">
        <f aca="false">J70*$Q3</f>
        <v>18.8</v>
      </c>
      <c r="W70" s="61" t="n">
        <f aca="false">K70*$Q3</f>
        <v>15.2</v>
      </c>
      <c r="X70" s="61" t="n">
        <f aca="false">L70*$Q3</f>
        <v>18</v>
      </c>
      <c r="Y70" s="61" t="n">
        <f aca="false">M70*$Q3</f>
        <v>11.6</v>
      </c>
    </row>
    <row r="76" customFormat="false" ht="15" hidden="false" customHeight="false" outlineLevel="0" collapsed="false">
      <c r="F76" s="34" t="s">
        <v>74</v>
      </c>
      <c r="G76" s="34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 t="n">
        <v>44904</v>
      </c>
      <c r="G77" s="75"/>
      <c r="H77" s="76" t="n">
        <v>7.7</v>
      </c>
      <c r="I77" s="76" t="n">
        <v>11</v>
      </c>
      <c r="J77" s="76" t="n">
        <v>7.9</v>
      </c>
      <c r="K77" s="76" t="n">
        <v>11.9</v>
      </c>
      <c r="L77" s="76" t="n">
        <v>5</v>
      </c>
      <c r="M77" s="76" t="n">
        <v>8.45</v>
      </c>
      <c r="N77" s="76"/>
      <c r="O77" s="76" t="n">
        <v>92</v>
      </c>
      <c r="P77" s="76" t="n">
        <v>69</v>
      </c>
      <c r="Q77" s="76" t="n">
        <v>88</v>
      </c>
      <c r="R77" s="76" t="n">
        <v>83</v>
      </c>
      <c r="S77" s="76" t="n">
        <v>93</v>
      </c>
      <c r="T77" s="76" t="n">
        <v>65</v>
      </c>
      <c r="U77" s="76"/>
      <c r="V77" s="77" t="n">
        <v>0.8</v>
      </c>
    </row>
    <row r="78" customFormat="false" ht="15" hidden="false" customHeight="false" outlineLevel="0" collapsed="false">
      <c r="F78" s="38" t="n">
        <v>44905</v>
      </c>
      <c r="G78" s="38"/>
      <c r="H78" s="78" t="n">
        <v>10</v>
      </c>
      <c r="I78" s="78" t="n">
        <v>15</v>
      </c>
      <c r="J78" s="78" t="n">
        <v>10.4</v>
      </c>
      <c r="K78" s="78" t="n">
        <v>15.3</v>
      </c>
      <c r="L78" s="78" t="n">
        <v>3.5</v>
      </c>
      <c r="M78" s="78" t="n">
        <v>9.4</v>
      </c>
      <c r="N78" s="78"/>
      <c r="O78" s="78" t="n">
        <v>28</v>
      </c>
      <c r="P78" s="78" t="n">
        <v>20</v>
      </c>
      <c r="Q78" s="78" t="n">
        <v>28</v>
      </c>
      <c r="R78" s="78" t="n">
        <v>25.3</v>
      </c>
      <c r="S78" s="78" t="n">
        <v>81</v>
      </c>
      <c r="T78" s="78" t="n">
        <v>20</v>
      </c>
      <c r="U78" s="78"/>
      <c r="V78" s="79" t="n">
        <v>0</v>
      </c>
    </row>
    <row r="79" customFormat="false" ht="15" hidden="false" customHeight="false" outlineLevel="0" collapsed="false">
      <c r="F79" s="38" t="n">
        <v>44906</v>
      </c>
      <c r="G79" s="38"/>
      <c r="H79" s="78" t="n">
        <v>4</v>
      </c>
      <c r="I79" s="78" t="n">
        <v>9.1</v>
      </c>
      <c r="J79" s="78" t="n">
        <v>7.6</v>
      </c>
      <c r="K79" s="78" t="n">
        <v>9.3</v>
      </c>
      <c r="L79" s="78" t="n">
        <v>4</v>
      </c>
      <c r="M79" s="78" t="n">
        <v>6.65</v>
      </c>
      <c r="N79" s="78"/>
      <c r="O79" s="78" t="n">
        <v>48</v>
      </c>
      <c r="P79" s="78" t="n">
        <v>49</v>
      </c>
      <c r="Q79" s="78" t="n">
        <v>60</v>
      </c>
      <c r="R79" s="78" t="n">
        <v>52.3</v>
      </c>
      <c r="S79" s="78" t="n">
        <v>84</v>
      </c>
      <c r="T79" s="78" t="n">
        <v>30</v>
      </c>
      <c r="U79" s="78"/>
      <c r="V79" s="79" t="n">
        <v>0.8</v>
      </c>
    </row>
    <row r="80" customFormat="false" ht="15" hidden="false" customHeight="false" outlineLevel="0" collapsed="false">
      <c r="F80" s="38" t="n">
        <v>44907</v>
      </c>
      <c r="G80" s="38"/>
      <c r="H80" s="78" t="n">
        <v>4.5</v>
      </c>
      <c r="I80" s="78" t="n">
        <v>10.2</v>
      </c>
      <c r="J80" s="78" t="n">
        <v>7</v>
      </c>
      <c r="K80" s="78" t="n">
        <v>11.4</v>
      </c>
      <c r="L80" s="78" t="n">
        <v>4.3</v>
      </c>
      <c r="M80" s="78" t="n">
        <v>7.85</v>
      </c>
      <c r="N80" s="78"/>
      <c r="O80" s="78" t="n">
        <v>88</v>
      </c>
      <c r="P80" s="78" t="n">
        <v>5.3</v>
      </c>
      <c r="Q80" s="78" t="n">
        <v>73</v>
      </c>
      <c r="R80" s="78" t="n">
        <v>71.3</v>
      </c>
      <c r="S80" s="78" t="n">
        <v>89</v>
      </c>
      <c r="T80" s="78" t="n">
        <v>49</v>
      </c>
      <c r="U80" s="78"/>
      <c r="V80" s="79" t="n">
        <v>0</v>
      </c>
    </row>
    <row r="81" customFormat="false" ht="15" hidden="false" customHeight="false" outlineLevel="0" collapsed="false">
      <c r="F81" s="38" t="n">
        <v>44908</v>
      </c>
      <c r="G81" s="38"/>
      <c r="H81" s="78" t="n">
        <v>5.1</v>
      </c>
      <c r="I81" s="78" t="n">
        <v>7.8</v>
      </c>
      <c r="J81" s="78" t="n">
        <v>6.6</v>
      </c>
      <c r="K81" s="78" t="n">
        <v>8.7</v>
      </c>
      <c r="L81" s="78" t="n">
        <v>4.3</v>
      </c>
      <c r="M81" s="78" t="n">
        <v>6.5</v>
      </c>
      <c r="N81" s="78"/>
      <c r="O81" s="78" t="n">
        <v>89</v>
      </c>
      <c r="P81" s="78" t="n">
        <v>73</v>
      </c>
      <c r="Q81" s="78" t="n">
        <v>75</v>
      </c>
      <c r="R81" s="78" t="n">
        <v>79</v>
      </c>
      <c r="S81" s="78" t="n">
        <v>91</v>
      </c>
      <c r="T81" s="78" t="n">
        <v>64</v>
      </c>
      <c r="U81" s="78"/>
      <c r="V81" s="79" t="n">
        <v>0</v>
      </c>
    </row>
    <row r="82" customFormat="false" ht="15" hidden="false" customHeight="false" outlineLevel="0" collapsed="false">
      <c r="F82" s="38" t="n">
        <v>44909</v>
      </c>
      <c r="G82" s="38"/>
      <c r="H82" s="78" t="n">
        <v>1.8</v>
      </c>
      <c r="I82" s="78" t="n">
        <v>9.6</v>
      </c>
      <c r="J82" s="78" t="n">
        <v>6.9</v>
      </c>
      <c r="K82" s="78" t="n">
        <v>10.3</v>
      </c>
      <c r="L82" s="78" t="n">
        <v>1.8</v>
      </c>
      <c r="M82" s="78" t="n">
        <v>6.05</v>
      </c>
      <c r="N82" s="78"/>
      <c r="O82" s="78" t="n">
        <v>94</v>
      </c>
      <c r="P82" s="78" t="n">
        <v>64</v>
      </c>
      <c r="Q82" s="78" t="n">
        <v>84</v>
      </c>
      <c r="R82" s="78" t="n">
        <v>80.7</v>
      </c>
      <c r="S82" s="78" t="n">
        <v>95</v>
      </c>
      <c r="T82" s="78" t="n">
        <v>63</v>
      </c>
      <c r="U82" s="78"/>
      <c r="V82" s="79" t="n">
        <v>0</v>
      </c>
    </row>
    <row r="83" customFormat="false" ht="15" hidden="false" customHeight="false" outlineLevel="0" collapsed="false">
      <c r="F83" s="45" t="n">
        <v>44910</v>
      </c>
      <c r="G83" s="45"/>
      <c r="H83" s="80" t="n">
        <v>6</v>
      </c>
      <c r="I83" s="80" t="n">
        <v>7</v>
      </c>
      <c r="J83" s="80" t="n">
        <v>6.9</v>
      </c>
      <c r="K83" s="80" t="n">
        <v>7.6</v>
      </c>
      <c r="L83" s="80" t="n">
        <v>5</v>
      </c>
      <c r="M83" s="80" t="n">
        <v>6.3</v>
      </c>
      <c r="N83" s="80"/>
      <c r="O83" s="80" t="n">
        <v>86</v>
      </c>
      <c r="P83" s="80" t="n">
        <v>82</v>
      </c>
      <c r="Q83" s="80" t="n">
        <v>92</v>
      </c>
      <c r="R83" s="80" t="n">
        <v>86.7</v>
      </c>
      <c r="S83" s="80" t="n">
        <v>95</v>
      </c>
      <c r="T83" s="80" t="n">
        <v>80</v>
      </c>
      <c r="U83" s="80"/>
      <c r="V83" s="81" t="n">
        <v>6.8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34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2" t="s">
        <v>0</v>
      </c>
      <c r="H3" s="3" t="s">
        <v>90</v>
      </c>
      <c r="I3" s="2" t="s">
        <v>2</v>
      </c>
      <c r="J3" s="4" t="n">
        <v>44942</v>
      </c>
      <c r="K3" s="5" t="n">
        <v>44948</v>
      </c>
      <c r="L3" s="6" t="s">
        <v>3</v>
      </c>
      <c r="M3" s="3" t="n">
        <v>2023</v>
      </c>
      <c r="P3" s="7" t="s">
        <v>4</v>
      </c>
      <c r="Q3" s="7" t="n">
        <v>0.4</v>
      </c>
      <c r="S3" s="2" t="s">
        <v>0</v>
      </c>
      <c r="T3" s="3" t="s">
        <v>90</v>
      </c>
      <c r="U3" s="2" t="s">
        <v>2</v>
      </c>
      <c r="V3" s="4" t="n">
        <v>44942</v>
      </c>
      <c r="W3" s="5" t="n">
        <v>44948</v>
      </c>
      <c r="X3" s="6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 t="n">
        <v>1</v>
      </c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 t="n">
        <f aca="false">Tabella5279112479161820[[#This Row],[Colonna3]]*$Q3</f>
        <v>0.4</v>
      </c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 t="n">
        <v>1</v>
      </c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 t="n">
        <f aca="false">Tabella5279112479161820[[#This Row],[Colonna3]]*$Q3</f>
        <v>0.4</v>
      </c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9</v>
      </c>
      <c r="H21" s="13" t="n">
        <v>9</v>
      </c>
      <c r="I21" s="13"/>
      <c r="J21" s="13" t="n">
        <v>2</v>
      </c>
      <c r="K21" s="13" t="n">
        <v>4</v>
      </c>
      <c r="L21" s="13" t="n">
        <v>11</v>
      </c>
      <c r="M21" s="13" t="n">
        <v>2</v>
      </c>
      <c r="P21" s="16" t="s">
        <v>28</v>
      </c>
      <c r="Q21" s="16"/>
      <c r="R21" s="16"/>
      <c r="S21" s="14" t="n">
        <f aca="false">Tabella5279112479161820[[#This Row],[Colonna1]]*$Q3</f>
        <v>3.6</v>
      </c>
      <c r="T21" s="14" t="n">
        <f aca="false">Tabella5279112479161820[[#This Row],[Colonna2]]*$Q3</f>
        <v>3.6</v>
      </c>
      <c r="U21" s="14"/>
      <c r="V21" s="14" t="n">
        <f aca="false">Tabella5279112479161820[[#This Row],[Colonna4]]*$Q3</f>
        <v>0.8</v>
      </c>
      <c r="W21" s="14" t="n">
        <f aca="false">Tabella5279112479161820[[#This Row],[Colonna5]]*$Q3</f>
        <v>1.6</v>
      </c>
      <c r="X21" s="14" t="n">
        <f aca="false">Tabella5279112479161820[[#This Row],[Colonna6]]*$Q3</f>
        <v>4.4</v>
      </c>
      <c r="Y21" s="14" t="n">
        <f aca="false">Tabella5279112479161820[[#This Row],[Colonna7]]*$Q3</f>
        <v>0.8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</v>
      </c>
      <c r="H22" s="13"/>
      <c r="I22" s="13"/>
      <c r="J22" s="13"/>
      <c r="K22" s="13"/>
      <c r="L22" s="13" t="n">
        <v>1</v>
      </c>
      <c r="M22" s="13"/>
      <c r="P22" s="12" t="s">
        <v>29</v>
      </c>
      <c r="Q22" s="12"/>
      <c r="R22" s="12"/>
      <c r="S22" s="14" t="n">
        <f aca="false">Tabella5279112479161820[[#This Row],[Colonna1]]*$Q3</f>
        <v>0.8</v>
      </c>
      <c r="T22" s="14" t="n">
        <f aca="false">Tabella5279112479161820[[#This Row],[Colonna2]]*$Q3</f>
        <v>0</v>
      </c>
      <c r="U22" s="14" t="n">
        <f aca="false">Tabella5279112479161820[[#This Row],[Colonna3]]*$Q3</f>
        <v>0</v>
      </c>
      <c r="V22" s="14" t="n">
        <f aca="false">Tabella5279112479161820[[#This Row],[Colonna4]]*$Q3</f>
        <v>0</v>
      </c>
      <c r="W22" s="14" t="n">
        <f aca="false">Tabella5279112479161820[[#This Row],[Colonna5]]*$Q3</f>
        <v>0</v>
      </c>
      <c r="X22" s="14" t="n">
        <f aca="false">Tabella5279112479161820[[#This Row],[Colonna6]]*$Q3</f>
        <v>0.4</v>
      </c>
      <c r="Y22" s="14" t="n">
        <f aca="false">Tabella5279112479161820[[#This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 t="n">
        <v>1</v>
      </c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 t="n">
        <f aca="false">Tabella5279112479161820[[#This Row],[Colonna7]]*Q3</f>
        <v>0.4</v>
      </c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 t="n">
        <v>1</v>
      </c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 t="n">
        <f aca="false">Tabella5279112479161820[[#This Row],[Colonna1]]*$Q3</f>
        <v>0.4</v>
      </c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 t="n">
        <v>3</v>
      </c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 t="n">
        <f aca="false">Tabella5279112479161820[[#This Row],[Colonna7]]*$Q3</f>
        <v>1.2</v>
      </c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 t="n">
        <v>2</v>
      </c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 t="n">
        <f aca="false">Tabella5279112479161820[[#This Row],[Colonna6]]*Q3</f>
        <v>0.8</v>
      </c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 t="n">
        <v>2</v>
      </c>
      <c r="I44" s="13" t="n">
        <v>1</v>
      </c>
      <c r="J44" s="13" t="n">
        <v>1</v>
      </c>
      <c r="K44" s="13" t="n">
        <v>1</v>
      </c>
      <c r="L44" s="13" t="n">
        <v>1</v>
      </c>
      <c r="M44" s="13"/>
      <c r="P44" s="12" t="s">
        <v>51</v>
      </c>
      <c r="Q44" s="12"/>
      <c r="R44" s="12"/>
      <c r="S44" s="14"/>
      <c r="T44" s="14" t="n">
        <f aca="false">Tabella5279112479161820[[#This Row],[Colonna2]]*$Q3</f>
        <v>0.8</v>
      </c>
      <c r="U44" s="14" t="n">
        <f aca="false">Tabella5279112479161820[[#This Row],[Colonna3]]*$Q3</f>
        <v>0.4</v>
      </c>
      <c r="V44" s="14" t="n">
        <f aca="false">Tabella5279112479161820[[#This Row],[Colonna4]]*$Q3</f>
        <v>0.4</v>
      </c>
      <c r="W44" s="14" t="n">
        <f aca="false">Tabella5279112479161820[[#This Row],[Colonna5]]*$Q3</f>
        <v>0.4</v>
      </c>
      <c r="X44" s="14" t="n">
        <f aca="false">Tabella5279112479161820[[#This Row],[Colonna6]]*$Q3</f>
        <v>0.4</v>
      </c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 t="n">
        <v>20</v>
      </c>
      <c r="J47" s="13"/>
      <c r="K47" s="13"/>
      <c r="L47" s="13" t="n">
        <v>2</v>
      </c>
      <c r="M47" s="13" t="n">
        <v>2</v>
      </c>
      <c r="P47" s="16" t="s">
        <v>54</v>
      </c>
      <c r="Q47" s="16"/>
      <c r="R47" s="16"/>
      <c r="S47" s="14"/>
      <c r="T47" s="14"/>
      <c r="U47" s="14" t="n">
        <f aca="false">Tabella5279112479161820[[#This Row],[Colonna3]]*$Q3</f>
        <v>8</v>
      </c>
      <c r="V47" s="14"/>
      <c r="W47" s="14"/>
      <c r="X47" s="14" t="n">
        <f aca="false">Tabella5279112479161820[[#This Row],[Colonna6]]*$Q3</f>
        <v>0.8</v>
      </c>
      <c r="Y47" s="14" t="n">
        <f aca="false">Tabella5279112479161820[[#This Row],[Colonna7]]*$Q3</f>
        <v>0.8</v>
      </c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 t="n">
        <v>2</v>
      </c>
      <c r="L48" s="13" t="n">
        <v>2</v>
      </c>
      <c r="M48" s="13" t="n">
        <v>2</v>
      </c>
      <c r="P48" s="12" t="s">
        <v>55</v>
      </c>
      <c r="Q48" s="12"/>
      <c r="R48" s="12"/>
      <c r="S48" s="14"/>
      <c r="T48" s="14"/>
      <c r="U48" s="14"/>
      <c r="V48" s="14"/>
      <c r="W48" s="14" t="n">
        <f aca="false">Tabella5279112479161820[[#This Row],[Colonna5]]*$Q3</f>
        <v>0.8</v>
      </c>
      <c r="X48" s="14" t="n">
        <f aca="false">Tabella5279112479161820[[#This Row],[Colonna6]]*$Q3</f>
        <v>0.8</v>
      </c>
      <c r="Y48" s="14" t="n">
        <f aca="false">Tabella5279112479161820[[#This Row],[Colonna7]]*$Q3</f>
        <v>0.8</v>
      </c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SUM(G32,G22,G21)</f>
        <v>12</v>
      </c>
      <c r="H53" s="55" t="n">
        <f aca="false">SUM(H44,H21)</f>
        <v>11</v>
      </c>
      <c r="I53" s="55" t="n">
        <f aca="false">SUM(I47,I44,I10,I9)</f>
        <v>23</v>
      </c>
      <c r="J53" s="55" t="n">
        <f aca="false">SUM(J44,J21)</f>
        <v>3</v>
      </c>
      <c r="K53" s="55" t="n">
        <f aca="false">SUM(K44,K21)</f>
        <v>5</v>
      </c>
      <c r="L53" s="55" t="n">
        <f aca="false">SUM(L47,L44,L41,L22,L21)</f>
        <v>17</v>
      </c>
      <c r="M53" s="55" t="n">
        <f aca="false">SUM(M47,M35,M21)</f>
        <v>7</v>
      </c>
      <c r="P53" s="17" t="s">
        <v>60</v>
      </c>
      <c r="Q53" s="17"/>
      <c r="R53" s="17"/>
      <c r="S53" s="56" t="n">
        <f aca="false">Tabella5279112479161820[[#This Row],[Colonna1]]*$Q3</f>
        <v>4.8</v>
      </c>
      <c r="T53" s="56" t="n">
        <f aca="false">Tabella5279112479161820[[#This Row],[Colonna2]]*$Q3</f>
        <v>4.4</v>
      </c>
      <c r="U53" s="56" t="n">
        <f aca="false">Tabella5279112479161820[[#This Row],[Colonna3]]*$Q3</f>
        <v>9.2</v>
      </c>
      <c r="V53" s="56" t="n">
        <f aca="false">Tabella5279112479161820[[#This Row],[Colonna4]]*$Q3</f>
        <v>1.2</v>
      </c>
      <c r="W53" s="56" t="n">
        <f aca="false">Tabella5279112479161820[[#This Row],[Colonna5]]*$Q3</f>
        <v>2</v>
      </c>
      <c r="X53" s="56" t="n">
        <f aca="false">Tabella5279112479161820[[#This Row],[Colonna6]]*$Q3</f>
        <v>6.8</v>
      </c>
      <c r="Y53" s="56" t="n">
        <f aca="false">Tabella5279112479161820[[#This Row],[Colonna7]]*$Q3</f>
        <v>2.8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8</v>
      </c>
      <c r="H58" s="26" t="n">
        <v>19</v>
      </c>
      <c r="I58" s="26" t="n">
        <v>12</v>
      </c>
      <c r="J58" s="26" t="n">
        <v>5</v>
      </c>
      <c r="K58" s="26" t="n">
        <v>7</v>
      </c>
      <c r="L58" s="26" t="n">
        <v>15</v>
      </c>
      <c r="M58" s="26" t="n">
        <v>4</v>
      </c>
      <c r="P58" s="23" t="s">
        <v>62</v>
      </c>
      <c r="Q58" s="23"/>
      <c r="R58" s="23"/>
      <c r="S58" s="57" t="n">
        <f aca="false">G58*$Q3</f>
        <v>3.2</v>
      </c>
      <c r="T58" s="57" t="n">
        <f aca="false">H58*$Q3</f>
        <v>7.6</v>
      </c>
      <c r="U58" s="57" t="n">
        <f aca="false">I58*$Q3</f>
        <v>4.8</v>
      </c>
      <c r="V58" s="57" t="n">
        <f aca="false">J58*$Q3</f>
        <v>2</v>
      </c>
      <c r="W58" s="57" t="n">
        <f aca="false">K58*$Q3</f>
        <v>2.8</v>
      </c>
      <c r="X58" s="57" t="n">
        <f aca="false">L58*$Q3</f>
        <v>6</v>
      </c>
      <c r="Y58" s="57" t="n">
        <f aca="false">M58*$Q3</f>
        <v>1.6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 t="n">
        <v>1</v>
      </c>
      <c r="J62" s="26" t="n">
        <v>3</v>
      </c>
      <c r="K62" s="26" t="n">
        <v>4</v>
      </c>
      <c r="L62" s="26" t="n">
        <v>6</v>
      </c>
      <c r="M62" s="26" t="n">
        <v>4</v>
      </c>
      <c r="P62" s="9" t="s">
        <v>66</v>
      </c>
      <c r="Q62" s="9"/>
      <c r="R62" s="9"/>
      <c r="S62" s="57"/>
      <c r="T62" s="57"/>
      <c r="U62" s="57" t="n">
        <f aca="false">I62*$Q3</f>
        <v>0.4</v>
      </c>
      <c r="V62" s="57" t="n">
        <f aca="false">J62*$Q3</f>
        <v>1.2</v>
      </c>
      <c r="W62" s="57" t="n">
        <f aca="false">K62*$Q3</f>
        <v>1.6</v>
      </c>
      <c r="X62" s="57" t="n">
        <f aca="false">L62*$Q3</f>
        <v>2.4</v>
      </c>
      <c r="Y62" s="57" t="n">
        <f aca="false">M62*$Q3</f>
        <v>1.6</v>
      </c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/>
      <c r="K63" s="26"/>
      <c r="L63" s="26"/>
      <c r="M63" s="26"/>
      <c r="P63" s="9" t="s">
        <v>67</v>
      </c>
      <c r="Q63" s="9"/>
      <c r="R63" s="9"/>
      <c r="S63" s="57"/>
      <c r="T63" s="27"/>
      <c r="U63" s="27"/>
      <c r="V63" s="27"/>
      <c r="W63" s="27"/>
      <c r="X63" s="2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1</v>
      </c>
      <c r="H64" s="26"/>
      <c r="I64" s="26"/>
      <c r="J64" s="26"/>
      <c r="K64" s="26"/>
      <c r="L64" s="26" t="n">
        <v>1</v>
      </c>
      <c r="M64" s="26"/>
      <c r="P64" s="9" t="s">
        <v>68</v>
      </c>
      <c r="Q64" s="9"/>
      <c r="R64" s="9"/>
      <c r="S64" s="57" t="n">
        <f aca="false">G64*$Q3</f>
        <v>0.4</v>
      </c>
      <c r="T64" s="57"/>
      <c r="U64" s="57" t="n">
        <f aca="false">I64*$Q3</f>
        <v>0</v>
      </c>
      <c r="V64" s="57"/>
      <c r="W64" s="57"/>
      <c r="X64" s="57" t="n">
        <f aca="false">L64*$Q3</f>
        <v>0.4</v>
      </c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153</v>
      </c>
      <c r="H65" s="26" t="n">
        <v>51</v>
      </c>
      <c r="I65" s="26" t="n">
        <v>5</v>
      </c>
      <c r="J65" s="26" t="n">
        <v>4</v>
      </c>
      <c r="K65" s="26" t="n">
        <v>58</v>
      </c>
      <c r="L65" s="26" t="n">
        <v>15</v>
      </c>
      <c r="M65" s="26" t="n">
        <v>14</v>
      </c>
      <c r="P65" s="9" t="s">
        <v>69</v>
      </c>
      <c r="Q65" s="9"/>
      <c r="R65" s="9"/>
      <c r="S65" s="57" t="n">
        <f aca="false">G65*$Q3</f>
        <v>61.2</v>
      </c>
      <c r="T65" s="57" t="n">
        <f aca="false">H65*$Q3</f>
        <v>20.4</v>
      </c>
      <c r="U65" s="57" t="n">
        <f aca="false">I65*$Q3</f>
        <v>2</v>
      </c>
      <c r="V65" s="57" t="n">
        <f aca="false">J65*$Q3</f>
        <v>1.6</v>
      </c>
      <c r="W65" s="57" t="n">
        <f aca="false">K65*$Q3</f>
        <v>23.2</v>
      </c>
      <c r="X65" s="57" t="n">
        <f aca="false">L65*$Q3</f>
        <v>6</v>
      </c>
      <c r="Y65" s="57" t="n">
        <f aca="false">M65*$Q3</f>
        <v>5.6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/>
      <c r="H67" s="26" t="n">
        <v>1</v>
      </c>
      <c r="I67" s="26" t="n">
        <v>2</v>
      </c>
      <c r="J67" s="26"/>
      <c r="K67" s="26"/>
      <c r="L67" s="26" t="n">
        <v>3</v>
      </c>
      <c r="M67" s="26" t="n">
        <v>1</v>
      </c>
      <c r="P67" s="9" t="s">
        <v>71</v>
      </c>
      <c r="Q67" s="9"/>
      <c r="R67" s="9"/>
      <c r="S67" s="57"/>
      <c r="T67" s="57" t="n">
        <f aca="false">H67*$Q3</f>
        <v>0.4</v>
      </c>
      <c r="U67" s="57" t="n">
        <f aca="false">I67*$Q3</f>
        <v>0.8</v>
      </c>
      <c r="V67" s="57"/>
      <c r="W67" s="57"/>
      <c r="X67" s="57" t="n">
        <f aca="false">L67*$Q3</f>
        <v>1.2</v>
      </c>
      <c r="Y67" s="57" t="n">
        <f aca="false">M67*$Q3</f>
        <v>0.4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</v>
      </c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9" t="n">
        <f aca="false">G68*$Q3</f>
        <v>0.4</v>
      </c>
      <c r="T68" s="59"/>
      <c r="U68" s="59"/>
      <c r="V68" s="59"/>
      <c r="W68" s="31"/>
      <c r="X68" s="31"/>
      <c r="Y68" s="31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2</v>
      </c>
      <c r="H69" s="30" t="n">
        <v>1</v>
      </c>
      <c r="I69" s="30"/>
      <c r="J69" s="30"/>
      <c r="K69" s="30" t="n">
        <v>7</v>
      </c>
      <c r="L69" s="30" t="n">
        <v>2</v>
      </c>
      <c r="M69" s="30" t="n">
        <v>1</v>
      </c>
      <c r="P69" s="9" t="s">
        <v>73</v>
      </c>
      <c r="Q69" s="9"/>
      <c r="R69" s="9"/>
      <c r="S69" s="59" t="n">
        <f aca="false">G69*$Q3</f>
        <v>0.8</v>
      </c>
      <c r="T69" s="59" t="n">
        <f aca="false">H69*$Q3</f>
        <v>0.4</v>
      </c>
      <c r="U69" s="59"/>
      <c r="V69" s="59"/>
      <c r="W69" s="59" t="n">
        <f aca="false">K69*$Q3</f>
        <v>2.8</v>
      </c>
      <c r="X69" s="59" t="n">
        <f aca="false">L69*$Q3</f>
        <v>0.8</v>
      </c>
      <c r="Y69" s="59" t="n">
        <f aca="false">M69*$Q3</f>
        <v>0.4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SUM(G58,G64,G65,G68,G69)</f>
        <v>165</v>
      </c>
      <c r="H70" s="60" t="n">
        <f aca="false">SUM(H69,H67,H65,H58)</f>
        <v>72</v>
      </c>
      <c r="I70" s="60" t="n">
        <f aca="false">SUM(I67,I65,I62,I58)</f>
        <v>20</v>
      </c>
      <c r="J70" s="60" t="n">
        <f aca="false">SUM(J58,J62,J65)</f>
        <v>12</v>
      </c>
      <c r="K70" s="12" t="n">
        <f aca="false">SUM(K58,K62,K65,K69)</f>
        <v>76</v>
      </c>
      <c r="L70" s="12" t="n">
        <f aca="false">SUM(L58,L62,L64,L65,L67,L69)</f>
        <v>42</v>
      </c>
      <c r="M70" s="12" t="n">
        <f aca="false">SUM(M58,M62,M65,M67,M69)</f>
        <v>24</v>
      </c>
      <c r="P70" s="9" t="s">
        <v>60</v>
      </c>
      <c r="Q70" s="9"/>
      <c r="R70" s="9"/>
      <c r="S70" s="61" t="n">
        <f aca="false">G70*$Q3</f>
        <v>66</v>
      </c>
      <c r="T70" s="61" t="n">
        <f aca="false">H70*$Q3</f>
        <v>28.8</v>
      </c>
      <c r="U70" s="61" t="n">
        <f aca="false">I70*$Q3</f>
        <v>8</v>
      </c>
      <c r="V70" s="61" t="n">
        <f aca="false">J70*$Q3</f>
        <v>4.8</v>
      </c>
      <c r="W70" s="61" t="n">
        <f aca="false">K70*$Q3</f>
        <v>30.4</v>
      </c>
      <c r="X70" s="61" t="n">
        <f aca="false">L70*$Q3</f>
        <v>16.8</v>
      </c>
      <c r="Y70" s="61" t="n">
        <f aca="false">M70*$Q3</f>
        <v>9.6</v>
      </c>
    </row>
    <row r="76" customFormat="false" ht="15" hidden="false" customHeight="false" outlineLevel="0" collapsed="false">
      <c r="F76" s="34" t="s">
        <v>74</v>
      </c>
      <c r="G76" s="34"/>
      <c r="H76" s="35" t="s">
        <v>75</v>
      </c>
      <c r="I76" s="35" t="s">
        <v>76</v>
      </c>
      <c r="J76" s="35" t="s">
        <v>77</v>
      </c>
      <c r="K76" s="35" t="s">
        <v>78</v>
      </c>
      <c r="L76" s="35" t="s">
        <v>79</v>
      </c>
      <c r="M76" s="35" t="s">
        <v>80</v>
      </c>
      <c r="N76" s="35"/>
      <c r="O76" s="35" t="s">
        <v>81</v>
      </c>
      <c r="P76" s="35" t="s">
        <v>82</v>
      </c>
      <c r="Q76" s="35" t="s">
        <v>83</v>
      </c>
      <c r="R76" s="35" t="s">
        <v>84</v>
      </c>
      <c r="S76" s="35" t="s">
        <v>85</v>
      </c>
      <c r="T76" s="35" t="s">
        <v>86</v>
      </c>
      <c r="U76" s="35"/>
      <c r="V76" s="37" t="s">
        <v>87</v>
      </c>
    </row>
    <row r="77" customFormat="false" ht="15" hidden="false" customHeight="false" outlineLevel="0" collapsed="false">
      <c r="F77" s="75" t="n">
        <v>44942</v>
      </c>
      <c r="G77" s="75"/>
      <c r="H77" s="76" t="n">
        <v>3.8</v>
      </c>
      <c r="I77" s="76" t="n">
        <v>6.2</v>
      </c>
      <c r="J77" s="76" t="n">
        <v>6.1</v>
      </c>
      <c r="K77" s="76" t="n">
        <v>6.6</v>
      </c>
      <c r="L77" s="76" t="n">
        <v>3.5</v>
      </c>
      <c r="M77" s="76" t="n">
        <v>5.05</v>
      </c>
      <c r="N77" s="76"/>
      <c r="O77" s="76" t="n">
        <v>94</v>
      </c>
      <c r="P77" s="76" t="n">
        <v>91</v>
      </c>
      <c r="Q77" s="76" t="n">
        <v>91</v>
      </c>
      <c r="R77" s="76" t="n">
        <v>92</v>
      </c>
      <c r="S77" s="76" t="n">
        <v>95</v>
      </c>
      <c r="T77" s="76" t="n">
        <v>86</v>
      </c>
      <c r="U77" s="76"/>
      <c r="V77" s="77" t="n">
        <v>1.4</v>
      </c>
    </row>
    <row r="78" customFormat="false" ht="15" hidden="false" customHeight="false" outlineLevel="0" collapsed="false">
      <c r="F78" s="38" t="n">
        <v>44943</v>
      </c>
      <c r="G78" s="38"/>
      <c r="H78" s="78" t="n">
        <v>4</v>
      </c>
      <c r="I78" s="78" t="n">
        <v>4.7</v>
      </c>
      <c r="J78" s="78" t="n">
        <v>4.3</v>
      </c>
      <c r="K78" s="78" t="n">
        <v>4.8</v>
      </c>
      <c r="L78" s="78" t="n">
        <v>3.3</v>
      </c>
      <c r="M78" s="78" t="n">
        <v>4.05</v>
      </c>
      <c r="N78" s="78"/>
      <c r="O78" s="78" t="n">
        <v>88</v>
      </c>
      <c r="P78" s="78" t="n">
        <v>93</v>
      </c>
      <c r="Q78" s="78" t="n">
        <v>93</v>
      </c>
      <c r="R78" s="78" t="n">
        <v>91.3</v>
      </c>
      <c r="S78" s="78" t="n">
        <v>93</v>
      </c>
      <c r="T78" s="78" t="n">
        <v>85</v>
      </c>
      <c r="U78" s="78"/>
      <c r="V78" s="79" t="n">
        <v>4</v>
      </c>
    </row>
    <row r="79" customFormat="false" ht="15" hidden="false" customHeight="false" outlineLevel="0" collapsed="false">
      <c r="F79" s="38" t="n">
        <v>44944</v>
      </c>
      <c r="G79" s="38"/>
      <c r="H79" s="78" t="n">
        <v>3.6</v>
      </c>
      <c r="I79" s="78" t="n">
        <v>5.4</v>
      </c>
      <c r="J79" s="78" t="n">
        <v>4.9</v>
      </c>
      <c r="K79" s="78" t="n">
        <v>5.7</v>
      </c>
      <c r="L79" s="78" t="n">
        <v>3.2</v>
      </c>
      <c r="M79" s="78" t="n">
        <v>4.45</v>
      </c>
      <c r="N79" s="78"/>
      <c r="O79" s="78" t="n">
        <v>89</v>
      </c>
      <c r="P79" s="78" t="n">
        <v>79</v>
      </c>
      <c r="Q79" s="78" t="n">
        <v>86</v>
      </c>
      <c r="R79" s="78" t="n">
        <v>84.7</v>
      </c>
      <c r="S79" s="78" t="n">
        <v>93</v>
      </c>
      <c r="T79" s="78" t="n">
        <v>74</v>
      </c>
      <c r="U79" s="78"/>
      <c r="V79" s="79" t="n">
        <v>0</v>
      </c>
    </row>
    <row r="80" customFormat="false" ht="15" hidden="false" customHeight="false" outlineLevel="0" collapsed="false">
      <c r="F80" s="38" t="n">
        <v>44945</v>
      </c>
      <c r="G80" s="38"/>
      <c r="H80" s="78" t="n">
        <v>1.9</v>
      </c>
      <c r="I80" s="78" t="n">
        <v>1.8</v>
      </c>
      <c r="J80" s="78" t="n">
        <v>1.2</v>
      </c>
      <c r="K80" s="78" t="n">
        <v>3.5</v>
      </c>
      <c r="L80" s="78" t="n">
        <v>0.9</v>
      </c>
      <c r="M80" s="78" t="n">
        <v>2.2</v>
      </c>
      <c r="N80" s="78"/>
      <c r="O80" s="78" t="n">
        <v>93</v>
      </c>
      <c r="P80" s="78" t="n">
        <v>94</v>
      </c>
      <c r="Q80" s="78" t="n">
        <v>94</v>
      </c>
      <c r="R80" s="78" t="n">
        <v>93.7</v>
      </c>
      <c r="S80" s="78" t="n">
        <v>95</v>
      </c>
      <c r="T80" s="78" t="n">
        <v>90</v>
      </c>
      <c r="U80" s="78"/>
      <c r="V80" s="79" t="n">
        <v>6.2</v>
      </c>
    </row>
    <row r="81" customFormat="false" ht="15" hidden="false" customHeight="false" outlineLevel="0" collapsed="false">
      <c r="F81" s="38" t="n">
        <v>44946</v>
      </c>
      <c r="G81" s="38"/>
      <c r="H81" s="78" t="n">
        <v>1.9</v>
      </c>
      <c r="I81" s="78" t="n">
        <v>5</v>
      </c>
      <c r="J81" s="78" t="n">
        <v>3.9</v>
      </c>
      <c r="K81" s="78" t="n">
        <v>5.8</v>
      </c>
      <c r="L81" s="78" t="n">
        <v>1.6</v>
      </c>
      <c r="M81" s="78" t="n">
        <v>3.7</v>
      </c>
      <c r="N81" s="78"/>
      <c r="O81" s="78" t="n">
        <v>92</v>
      </c>
      <c r="P81" s="78" t="n">
        <v>79</v>
      </c>
      <c r="Q81" s="78" t="n">
        <v>86</v>
      </c>
      <c r="R81" s="78" t="n">
        <v>85.7</v>
      </c>
      <c r="S81" s="78" t="n">
        <v>92</v>
      </c>
      <c r="T81" s="78" t="n">
        <v>75</v>
      </c>
      <c r="U81" s="78"/>
      <c r="V81" s="79" t="n">
        <v>0</v>
      </c>
    </row>
    <row r="82" customFormat="false" ht="15" hidden="false" customHeight="false" outlineLevel="0" collapsed="false">
      <c r="F82" s="38" t="n">
        <v>44947</v>
      </c>
      <c r="G82" s="38"/>
      <c r="H82" s="78" t="n">
        <v>1.2</v>
      </c>
      <c r="I82" s="78" t="n">
        <v>5.5</v>
      </c>
      <c r="J82" s="78" t="n">
        <v>4.8</v>
      </c>
      <c r="K82" s="78" t="n">
        <v>6.4</v>
      </c>
      <c r="L82" s="78" t="n">
        <v>1</v>
      </c>
      <c r="M82" s="78" t="n">
        <v>3.7</v>
      </c>
      <c r="N82" s="78"/>
      <c r="O82" s="78" t="n">
        <v>69</v>
      </c>
      <c r="P82" s="78" t="n">
        <v>33</v>
      </c>
      <c r="Q82" s="78" t="n">
        <v>42</v>
      </c>
      <c r="R82" s="78" t="n">
        <v>48</v>
      </c>
      <c r="S82" s="78" t="n">
        <v>80</v>
      </c>
      <c r="T82" s="78" t="n">
        <v>28</v>
      </c>
      <c r="U82" s="78"/>
      <c r="V82" s="79" t="n">
        <v>0</v>
      </c>
    </row>
    <row r="83" customFormat="false" ht="15" hidden="false" customHeight="false" outlineLevel="0" collapsed="false">
      <c r="F83" s="45" t="n">
        <v>44948</v>
      </c>
      <c r="G83" s="45"/>
      <c r="H83" s="80" t="n">
        <v>3.2</v>
      </c>
      <c r="I83" s="80" t="n">
        <v>5</v>
      </c>
      <c r="J83" s="80" t="n">
        <v>3.3</v>
      </c>
      <c r="K83" s="80" t="n">
        <v>5.8</v>
      </c>
      <c r="L83" s="80" t="n">
        <v>2.8</v>
      </c>
      <c r="M83" s="80" t="n">
        <v>4.3</v>
      </c>
      <c r="N83" s="80"/>
      <c r="O83" s="80" t="n">
        <v>80</v>
      </c>
      <c r="P83" s="80" t="n">
        <v>65</v>
      </c>
      <c r="Q83" s="80" t="n">
        <v>86</v>
      </c>
      <c r="R83" s="80" t="n">
        <v>77</v>
      </c>
      <c r="S83" s="80" t="n">
        <v>87</v>
      </c>
      <c r="T83" s="80" t="n">
        <v>55</v>
      </c>
      <c r="U83" s="80"/>
      <c r="V83" s="81" t="n">
        <v>0.7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J37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2" t="s">
        <v>0</v>
      </c>
      <c r="H3" s="3" t="s">
        <v>90</v>
      </c>
      <c r="I3" s="2" t="s">
        <v>2</v>
      </c>
      <c r="J3" s="4" t="n">
        <v>44949</v>
      </c>
      <c r="K3" s="5" t="n">
        <v>44955</v>
      </c>
      <c r="L3" s="6" t="s">
        <v>3</v>
      </c>
      <c r="M3" s="3" t="n">
        <v>2023</v>
      </c>
      <c r="P3" s="7" t="s">
        <v>4</v>
      </c>
      <c r="Q3" s="7" t="n">
        <v>0.4</v>
      </c>
      <c r="S3" s="2" t="s">
        <v>0</v>
      </c>
      <c r="T3" s="3" t="s">
        <v>90</v>
      </c>
      <c r="U3" s="2" t="s">
        <v>2</v>
      </c>
      <c r="V3" s="4" t="n">
        <v>44949</v>
      </c>
      <c r="W3" s="5" t="n">
        <v>44955</v>
      </c>
      <c r="X3" s="6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H6" s="90"/>
      <c r="P6" s="9" t="s">
        <v>13</v>
      </c>
      <c r="Q6" s="9"/>
      <c r="R6" s="9"/>
      <c r="S6" s="11"/>
      <c r="T6" s="9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92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93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92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93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92"/>
      <c r="I9" s="13" t="n">
        <v>1</v>
      </c>
      <c r="J9" s="13"/>
      <c r="K9" s="13"/>
      <c r="L9" s="13"/>
      <c r="M9" s="13"/>
      <c r="P9" s="12" t="s">
        <v>16</v>
      </c>
      <c r="Q9" s="12"/>
      <c r="R9" s="12"/>
      <c r="S9" s="14"/>
      <c r="T9" s="93"/>
      <c r="U9" s="14" t="n">
        <f aca="false">Tabella527911247916182022[[#This Row],[Colonna3]]*Q3</f>
        <v>0.4</v>
      </c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92"/>
      <c r="I10" s="13"/>
      <c r="J10" s="13"/>
      <c r="K10" s="13" t="n">
        <v>1</v>
      </c>
      <c r="L10" s="13"/>
      <c r="M10" s="13"/>
      <c r="P10" s="12" t="s">
        <v>17</v>
      </c>
      <c r="Q10" s="12"/>
      <c r="R10" s="12"/>
      <c r="S10" s="14"/>
      <c r="T10" s="93"/>
      <c r="U10" s="14"/>
      <c r="V10" s="14"/>
      <c r="W10" s="14" t="n">
        <f aca="false">Tabella527911247916182022[[#This Row],[Colonna5]]*Q3</f>
        <v>0.4</v>
      </c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92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93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92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93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92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93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92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93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92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93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92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93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92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93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92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93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92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93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92"/>
      <c r="I20" s="13" t="n">
        <v>1</v>
      </c>
      <c r="J20" s="13"/>
      <c r="K20" s="13"/>
      <c r="L20" s="13"/>
      <c r="M20" s="13"/>
      <c r="P20" s="9" t="s">
        <v>27</v>
      </c>
      <c r="Q20" s="9"/>
      <c r="R20" s="9"/>
      <c r="S20" s="14"/>
      <c r="T20" s="93"/>
      <c r="U20" s="14" t="n">
        <f aca="false">Tabella527911247916182022[[#This Row],[Colonna3]]*Q3</f>
        <v>0.4</v>
      </c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1</v>
      </c>
      <c r="H21" s="92"/>
      <c r="I21" s="13" t="n">
        <v>2</v>
      </c>
      <c r="J21" s="13" t="n">
        <v>9</v>
      </c>
      <c r="K21" s="13" t="n">
        <v>16</v>
      </c>
      <c r="L21" s="13" t="n">
        <v>6</v>
      </c>
      <c r="M21" s="13"/>
      <c r="P21" s="16" t="s">
        <v>28</v>
      </c>
      <c r="Q21" s="16"/>
      <c r="R21" s="16"/>
      <c r="S21" s="14" t="n">
        <f aca="false">Tabella527911247916182022[[#This Row],[Colonna1]]*$Q3</f>
        <v>0.4</v>
      </c>
      <c r="T21" s="93"/>
      <c r="U21" s="14" t="n">
        <f aca="false">Tabella527911247916182022[[#This Row],[Colonna3]]*$Q3</f>
        <v>0.8</v>
      </c>
      <c r="V21" s="14" t="n">
        <f aca="false">Tabella527911247916182022[[#This Row],[Colonna4]]*$Q3</f>
        <v>3.6</v>
      </c>
      <c r="W21" s="14" t="n">
        <f aca="false">Tabella527911247916182022[[#This Row],[Colonna5]]*$Q3</f>
        <v>6.4</v>
      </c>
      <c r="X21" s="14" t="n">
        <f aca="false">Tabella527911247916182022[[#This Row],[Colonna6]]*$Q3</f>
        <v>2.4</v>
      </c>
      <c r="Y21" s="14" t="n">
        <f aca="false">Tabella527911247916182022[[#This Row],[Colonna7]]*$Q3</f>
        <v>0</v>
      </c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92"/>
      <c r="I22" s="13" t="n">
        <v>29</v>
      </c>
      <c r="J22" s="13" t="n">
        <v>9</v>
      </c>
      <c r="K22" s="13" t="n">
        <v>21</v>
      </c>
      <c r="L22" s="13"/>
      <c r="M22" s="13" t="n">
        <v>1</v>
      </c>
      <c r="P22" s="12" t="s">
        <v>29</v>
      </c>
      <c r="Q22" s="12"/>
      <c r="R22" s="12"/>
      <c r="S22" s="14" t="n">
        <v>0</v>
      </c>
      <c r="T22" s="93"/>
      <c r="U22" s="14" t="n">
        <f aca="false">Tabella527911247916182022[[#This Row],[Colonna3]]*$Q3</f>
        <v>11.6</v>
      </c>
      <c r="V22" s="14" t="n">
        <f aca="false">Tabella527911247916182022[[#This Row],[Colonna4]]*$Q3</f>
        <v>3.6</v>
      </c>
      <c r="W22" s="14" t="n">
        <f aca="false">Tabella527911247916182022[[#This Row],[Colonna5]]*$Q3</f>
        <v>8.4</v>
      </c>
      <c r="X22" s="14" t="n">
        <v>0</v>
      </c>
      <c r="Y22" s="14" t="n">
        <f aca="false">Tabella527911247916182022[[#This Row],[Colonna7]]*$Q3</f>
        <v>0.4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92"/>
      <c r="I23" s="13"/>
      <c r="J23" s="13"/>
      <c r="K23" s="13" t="n">
        <v>1</v>
      </c>
      <c r="L23" s="13"/>
      <c r="M23" s="13"/>
      <c r="P23" s="17" t="s">
        <v>30</v>
      </c>
      <c r="Q23" s="17"/>
      <c r="R23" s="17"/>
      <c r="S23" s="14"/>
      <c r="T23" s="93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92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93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92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93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92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93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92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93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92"/>
      <c r="I28" s="13"/>
      <c r="J28" s="13" t="n">
        <v>3</v>
      </c>
      <c r="K28" s="13"/>
      <c r="L28" s="13"/>
      <c r="M28" s="13"/>
      <c r="P28" s="12" t="s">
        <v>35</v>
      </c>
      <c r="Q28" s="12"/>
      <c r="R28" s="12"/>
      <c r="S28" s="14"/>
      <c r="T28" s="93"/>
      <c r="U28" s="14"/>
      <c r="V28" s="14" t="n">
        <f aca="false">Tabella527911247916182022[[#This Row],[Colonna4]]*Q3</f>
        <v>1.2</v>
      </c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92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93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92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93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92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93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92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93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92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93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92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93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92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93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92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93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92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93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92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93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92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93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92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93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92"/>
      <c r="I41" s="13" t="n">
        <v>3</v>
      </c>
      <c r="J41" s="13"/>
      <c r="K41" s="13"/>
      <c r="L41" s="13"/>
      <c r="M41" s="13"/>
      <c r="P41" s="18" t="s">
        <v>48</v>
      </c>
      <c r="Q41" s="18"/>
      <c r="R41" s="18"/>
      <c r="S41" s="14"/>
      <c r="T41" s="93"/>
      <c r="U41" s="14" t="n">
        <f aca="false">Tabella527911247916182022[[#This Row],[Colonna3]]*Q3</f>
        <v>1.2</v>
      </c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92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93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92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93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92"/>
      <c r="I44" s="13" t="n">
        <v>3</v>
      </c>
      <c r="J44" s="13" t="n">
        <v>2</v>
      </c>
      <c r="K44" s="13" t="n">
        <v>6</v>
      </c>
      <c r="L44" s="13"/>
      <c r="M44" s="13"/>
      <c r="P44" s="12" t="s">
        <v>51</v>
      </c>
      <c r="Q44" s="12"/>
      <c r="R44" s="12"/>
      <c r="S44" s="14"/>
      <c r="T44" s="93"/>
      <c r="U44" s="14" t="n">
        <f aca="false">Tabella527911247916182022[[#This Row],[Colonna3]]*$Q3</f>
        <v>1.2</v>
      </c>
      <c r="V44" s="14" t="n">
        <f aca="false">Tabella527911247916182022[[#This Row],[Colonna4]]*$Q3</f>
        <v>0.8</v>
      </c>
      <c r="W44" s="14" t="n">
        <f aca="false">Tabella527911247916182022[[#This Row],[Colonna5]]*$Q3</f>
        <v>2.4</v>
      </c>
      <c r="X44" s="14"/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92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93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92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93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1</v>
      </c>
      <c r="H47" s="92"/>
      <c r="I47" s="13" t="n">
        <v>5</v>
      </c>
      <c r="J47" s="13" t="n">
        <v>3</v>
      </c>
      <c r="K47" s="13" t="n">
        <v>1</v>
      </c>
      <c r="L47" s="13"/>
      <c r="M47" s="13"/>
      <c r="P47" s="16" t="s">
        <v>54</v>
      </c>
      <c r="Q47" s="16"/>
      <c r="R47" s="16"/>
      <c r="S47" s="14" t="n">
        <f aca="false">Tabella527911247916182022[[#This Row],[Colonna1]]*$Q3</f>
        <v>0.4</v>
      </c>
      <c r="T47" s="93"/>
      <c r="U47" s="14" t="n">
        <f aca="false">Tabella527911247916182022[[#This Row],[Colonna3]]*$Q3</f>
        <v>2</v>
      </c>
      <c r="V47" s="14" t="n">
        <f aca="false">Tabella527911247916182022[[#This Row],[Colonna4]]*$Q3</f>
        <v>1.2</v>
      </c>
      <c r="W47" s="14" t="n">
        <f aca="false">Tabella527911247916182022[[#This Row],[Colonna5]]*$Q3</f>
        <v>0.4</v>
      </c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92"/>
      <c r="I48" s="13" t="n">
        <v>1</v>
      </c>
      <c r="J48" s="13"/>
      <c r="K48" s="13"/>
      <c r="L48" s="13"/>
      <c r="M48" s="13"/>
      <c r="P48" s="12" t="s">
        <v>55</v>
      </c>
      <c r="Q48" s="12"/>
      <c r="R48" s="12"/>
      <c r="S48" s="14"/>
      <c r="T48" s="93"/>
      <c r="U48" s="14" t="n">
        <f aca="false">Tabella527911247916182022[[#This Row],[Colonna3]]*Q3</f>
        <v>0.4</v>
      </c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92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93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92"/>
      <c r="I50" s="13" t="n">
        <v>2</v>
      </c>
      <c r="J50" s="13" t="n">
        <v>1</v>
      </c>
      <c r="K50" s="13"/>
      <c r="L50" s="13"/>
      <c r="M50" s="13"/>
      <c r="P50" s="9" t="s">
        <v>57</v>
      </c>
      <c r="Q50" s="9"/>
      <c r="R50" s="9"/>
      <c r="S50" s="14"/>
      <c r="T50" s="93"/>
      <c r="U50" s="14" t="n">
        <f aca="false">Tabella527911247916182022[[#This Row],[Colonna3]]*$Q3</f>
        <v>0.8</v>
      </c>
      <c r="V50" s="14" t="n">
        <f aca="false">Tabella527911247916182022[[#This Row],[Colonna4]]*$Q3</f>
        <v>0.4</v>
      </c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92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93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92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93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SUM(G47,G21)</f>
        <v>2</v>
      </c>
      <c r="H53" s="94"/>
      <c r="I53" s="55" t="n">
        <f aca="false">SUM(I9,I20,I21,I22,I41,I44,I47,I48,I50)</f>
        <v>47</v>
      </c>
      <c r="J53" s="55" t="n">
        <f aca="false">SUM(J50,J47,J44,J28,J22,J21)</f>
        <v>27</v>
      </c>
      <c r="K53" s="55" t="n">
        <f aca="false">SUM(K47,K44,K23,K22,K21,K10)</f>
        <v>46</v>
      </c>
      <c r="L53" s="55" t="n">
        <f aca="false">SUM(L21)</f>
        <v>6</v>
      </c>
      <c r="M53" s="55" t="n">
        <v>1</v>
      </c>
      <c r="P53" s="17" t="s">
        <v>60</v>
      </c>
      <c r="Q53" s="17"/>
      <c r="R53" s="17"/>
      <c r="S53" s="56" t="n">
        <f aca="false">Tabella527911247916182022[[#This Row],[Colonna1]]*$Q3</f>
        <v>0.8</v>
      </c>
      <c r="T53" s="95"/>
      <c r="U53" s="56" t="n">
        <f aca="false">Tabella527911247916182022[[#This Row],[Colonna3]]*$Q3</f>
        <v>18.8</v>
      </c>
      <c r="V53" s="56" t="n">
        <f aca="false">Tabella527911247916182022[[#This Row],[Colonna4]]*$Q3</f>
        <v>10.8</v>
      </c>
      <c r="W53" s="56" t="n">
        <f aca="false">Tabella527911247916182022[[#This Row],[Colonna5]]*$Q3</f>
        <v>18.4</v>
      </c>
      <c r="X53" s="56" t="n">
        <f aca="false">Tabella527911247916182022[[#This Row],[Colonna6]]*$Q3</f>
        <v>2.4</v>
      </c>
      <c r="Y53" s="56" t="n">
        <f aca="false">Tabella527911247916182022[[#This Row],[Colonna7]]*$Q3</f>
        <v>0.4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13</v>
      </c>
      <c r="H58" s="96"/>
      <c r="I58" s="26" t="n">
        <v>15</v>
      </c>
      <c r="J58" s="26" t="n">
        <v>15</v>
      </c>
      <c r="K58" s="26" t="n">
        <v>21</v>
      </c>
      <c r="L58" s="26" t="n">
        <v>20</v>
      </c>
      <c r="M58" s="26" t="n">
        <v>12</v>
      </c>
      <c r="P58" s="23" t="s">
        <v>62</v>
      </c>
      <c r="Q58" s="23"/>
      <c r="R58" s="23"/>
      <c r="S58" s="57" t="n">
        <f aca="false">G58*$Q3</f>
        <v>5.2</v>
      </c>
      <c r="T58" s="97"/>
      <c r="U58" s="57" t="n">
        <f aca="false">I58*$Q3</f>
        <v>6</v>
      </c>
      <c r="V58" s="57" t="n">
        <f aca="false">J58*$Q3</f>
        <v>6</v>
      </c>
      <c r="W58" s="57" t="n">
        <f aca="false">K58*$Q3</f>
        <v>8.4</v>
      </c>
      <c r="X58" s="57" t="n">
        <f aca="false">L58*$Q3</f>
        <v>8</v>
      </c>
      <c r="Y58" s="57" t="n">
        <f aca="false">M58*$Q3</f>
        <v>4.8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9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98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9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98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96"/>
      <c r="I61" s="26"/>
      <c r="J61" s="26"/>
      <c r="K61" s="26"/>
      <c r="L61" s="26" t="n">
        <v>1</v>
      </c>
      <c r="M61" s="26"/>
      <c r="P61" s="9" t="s">
        <v>65</v>
      </c>
      <c r="Q61" s="9"/>
      <c r="R61" s="9"/>
      <c r="S61" s="57"/>
      <c r="T61" s="98"/>
      <c r="U61" s="27"/>
      <c r="V61" s="27"/>
      <c r="W61" s="27"/>
      <c r="X61" s="27" t="n">
        <f aca="false">L61*Q3</f>
        <v>0.4</v>
      </c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96"/>
      <c r="I62" s="26" t="n">
        <v>2</v>
      </c>
      <c r="J62" s="26"/>
      <c r="K62" s="26"/>
      <c r="L62" s="26"/>
      <c r="M62" s="26" t="n">
        <v>1</v>
      </c>
      <c r="P62" s="9" t="s">
        <v>66</v>
      </c>
      <c r="Q62" s="9"/>
      <c r="R62" s="9"/>
      <c r="S62" s="57"/>
      <c r="T62" s="97"/>
      <c r="U62" s="57" t="n">
        <f aca="false">I62*$Q3</f>
        <v>0.8</v>
      </c>
      <c r="V62" s="57"/>
      <c r="W62" s="57"/>
      <c r="X62" s="57"/>
      <c r="Y62" s="57" t="n">
        <f aca="false">M62*$Q3</f>
        <v>0.4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1</v>
      </c>
      <c r="H63" s="96"/>
      <c r="I63" s="26"/>
      <c r="J63" s="26"/>
      <c r="K63" s="26"/>
      <c r="L63" s="26"/>
      <c r="M63" s="26"/>
      <c r="P63" s="9" t="s">
        <v>67</v>
      </c>
      <c r="Q63" s="9"/>
      <c r="R63" s="9"/>
      <c r="S63" s="57" t="n">
        <f aca="false">G63*$Q3</f>
        <v>0.4</v>
      </c>
      <c r="T63" s="98"/>
      <c r="U63" s="27"/>
      <c r="V63" s="27"/>
      <c r="W63" s="27"/>
      <c r="X63" s="2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2</v>
      </c>
      <c r="H64" s="9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0.8</v>
      </c>
      <c r="T64" s="98"/>
      <c r="U64" s="27"/>
      <c r="V64" s="27"/>
      <c r="W64" s="27"/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13</v>
      </c>
      <c r="H65" s="96"/>
      <c r="I65" s="26" t="n">
        <v>11</v>
      </c>
      <c r="J65" s="26" t="n">
        <v>7</v>
      </c>
      <c r="K65" s="26" t="n">
        <v>7</v>
      </c>
      <c r="L65" s="26" t="n">
        <v>1</v>
      </c>
      <c r="M65" s="26"/>
      <c r="P65" s="9" t="s">
        <v>69</v>
      </c>
      <c r="Q65" s="9"/>
      <c r="R65" s="9"/>
      <c r="S65" s="57" t="n">
        <f aca="false">G65*$Q3</f>
        <v>5.2</v>
      </c>
      <c r="T65" s="97"/>
      <c r="U65" s="57" t="n">
        <f aca="false">I65*$Q3</f>
        <v>4.4</v>
      </c>
      <c r="V65" s="57" t="n">
        <f aca="false">J65*$Q3</f>
        <v>2.8</v>
      </c>
      <c r="W65" s="57" t="n">
        <f aca="false">K65*$Q3</f>
        <v>2.8</v>
      </c>
      <c r="X65" s="57" t="n">
        <f aca="false">L65*$Q3</f>
        <v>0.4</v>
      </c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9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98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/>
      <c r="H67" s="96"/>
      <c r="I67" s="26" t="n">
        <v>2</v>
      </c>
      <c r="J67" s="26"/>
      <c r="K67" s="26" t="n">
        <v>1</v>
      </c>
      <c r="L67" s="26" t="n">
        <v>1</v>
      </c>
      <c r="M67" s="26" t="n">
        <v>1</v>
      </c>
      <c r="P67" s="9" t="s">
        <v>71</v>
      </c>
      <c r="Q67" s="9"/>
      <c r="R67" s="9"/>
      <c r="S67" s="57"/>
      <c r="T67" s="97"/>
      <c r="U67" s="57" t="n">
        <f aca="false">I67*$Q3</f>
        <v>0.8</v>
      </c>
      <c r="V67" s="57"/>
      <c r="W67" s="57" t="n">
        <f aca="false">K67*$Q3</f>
        <v>0.4</v>
      </c>
      <c r="X67" s="57" t="n">
        <f aca="false">L67*$Q3</f>
        <v>0.4</v>
      </c>
      <c r="Y67" s="57" t="n">
        <f aca="false">M67*$Q3</f>
        <v>0.4</v>
      </c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99"/>
      <c r="I68" s="30"/>
      <c r="J68" s="30"/>
      <c r="K68" s="30" t="n">
        <v>1</v>
      </c>
      <c r="L68" s="30" t="n">
        <v>3</v>
      </c>
      <c r="M68" s="30"/>
      <c r="P68" s="9" t="s">
        <v>72</v>
      </c>
      <c r="Q68" s="9"/>
      <c r="R68" s="9"/>
      <c r="S68" s="59"/>
      <c r="T68" s="100"/>
      <c r="U68" s="59"/>
      <c r="V68" s="59"/>
      <c r="W68" s="31" t="n">
        <f aca="false">K68*$Q3</f>
        <v>0.4</v>
      </c>
      <c r="X68" s="31" t="n">
        <f aca="false">L68*$Q3</f>
        <v>1.2</v>
      </c>
      <c r="Y68" s="31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</v>
      </c>
      <c r="H69" s="99"/>
      <c r="I69" s="30"/>
      <c r="J69" s="30"/>
      <c r="K69" s="30" t="n">
        <v>1</v>
      </c>
      <c r="L69" s="30" t="n">
        <v>2</v>
      </c>
      <c r="M69" s="30" t="n">
        <v>2</v>
      </c>
      <c r="P69" s="9" t="s">
        <v>73</v>
      </c>
      <c r="Q69" s="9"/>
      <c r="R69" s="9"/>
      <c r="S69" s="59" t="n">
        <f aca="false">G69*$Q3</f>
        <v>0.4</v>
      </c>
      <c r="T69" s="100"/>
      <c r="U69" s="59"/>
      <c r="V69" s="59"/>
      <c r="W69" s="59" t="n">
        <f aca="false">K69*$Q3</f>
        <v>0.4</v>
      </c>
      <c r="X69" s="59" t="n">
        <f aca="false">L69*$Q3</f>
        <v>0.8</v>
      </c>
      <c r="Y69" s="59" t="n">
        <f aca="false">M69*$Q3</f>
        <v>0.8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SUM(G58,G63,G64,G65,G69)</f>
        <v>30</v>
      </c>
      <c r="H70" s="101"/>
      <c r="I70" s="60" t="n">
        <f aca="false">SUM(I58,I62,I65,I67)</f>
        <v>30</v>
      </c>
      <c r="J70" s="60" t="n">
        <f aca="false">SUM(J58,J65)</f>
        <v>22</v>
      </c>
      <c r="K70" s="12" t="n">
        <f aca="false">SUM(K58,K65,K67,K68,K69)</f>
        <v>31</v>
      </c>
      <c r="L70" s="12" t="n">
        <f aca="false">SUM(L58,L61,L65,L67,L68,L69)</f>
        <v>28</v>
      </c>
      <c r="M70" s="12" t="n">
        <f aca="false">SUM(M58,M62,M67,M69)</f>
        <v>16</v>
      </c>
      <c r="P70" s="9" t="s">
        <v>60</v>
      </c>
      <c r="Q70" s="9"/>
      <c r="R70" s="9"/>
      <c r="S70" s="61" t="n">
        <f aca="false">G70*$Q3</f>
        <v>12</v>
      </c>
      <c r="T70" s="102"/>
      <c r="U70" s="61" t="n">
        <f aca="false">I70*$Q3</f>
        <v>12</v>
      </c>
      <c r="V70" s="61" t="n">
        <f aca="false">J70*$Q3</f>
        <v>8.8</v>
      </c>
      <c r="W70" s="61" t="n">
        <f aca="false">K70*$Q3</f>
        <v>12.4</v>
      </c>
      <c r="X70" s="61" t="n">
        <f aca="false">L70*$Q3</f>
        <v>11.2</v>
      </c>
      <c r="Y70" s="61" t="n">
        <f aca="false">M70*$Q3</f>
        <v>6.4</v>
      </c>
    </row>
    <row r="76" customFormat="false" ht="15" hidden="false" customHeight="false" outlineLevel="0" collapsed="false">
      <c r="F76" s="34" t="s">
        <v>74</v>
      </c>
      <c r="G76" s="34"/>
      <c r="H76" s="36" t="s">
        <v>75</v>
      </c>
      <c r="I76" s="36" t="s">
        <v>76</v>
      </c>
      <c r="J76" s="36" t="s">
        <v>77</v>
      </c>
      <c r="K76" s="36" t="s">
        <v>78</v>
      </c>
      <c r="L76" s="36" t="s">
        <v>79</v>
      </c>
      <c r="M76" s="36" t="s">
        <v>80</v>
      </c>
      <c r="N76" s="35"/>
      <c r="O76" s="36" t="s">
        <v>81</v>
      </c>
      <c r="P76" s="36" t="s">
        <v>82</v>
      </c>
      <c r="Q76" s="36" t="s">
        <v>83</v>
      </c>
      <c r="R76" s="36" t="s">
        <v>84</v>
      </c>
      <c r="S76" s="36" t="s">
        <v>85</v>
      </c>
      <c r="T76" s="36" t="s">
        <v>86</v>
      </c>
      <c r="U76" s="35"/>
      <c r="V76" s="37" t="s">
        <v>87</v>
      </c>
    </row>
    <row r="77" customFormat="false" ht="15" hidden="false" customHeight="false" outlineLevel="0" collapsed="false">
      <c r="F77" s="75" t="n">
        <v>44949</v>
      </c>
      <c r="G77" s="75"/>
      <c r="H77" s="103" t="n">
        <v>3.7</v>
      </c>
      <c r="I77" s="103" t="n">
        <v>2.3</v>
      </c>
      <c r="J77" s="103" t="n">
        <v>6.9</v>
      </c>
      <c r="K77" s="103" t="n">
        <v>7</v>
      </c>
      <c r="L77" s="103" t="n">
        <v>2.2</v>
      </c>
      <c r="M77" s="103" t="n">
        <v>4.6</v>
      </c>
      <c r="N77" s="104"/>
      <c r="O77" s="103" t="n">
        <v>75</v>
      </c>
      <c r="P77" s="103" t="n">
        <v>95</v>
      </c>
      <c r="Q77" s="103" t="n">
        <v>83</v>
      </c>
      <c r="R77" s="103" t="n">
        <v>84.3</v>
      </c>
      <c r="S77" s="104" t="n">
        <v>95</v>
      </c>
      <c r="T77" s="104" t="n">
        <v>75</v>
      </c>
      <c r="U77" s="104"/>
      <c r="V77" s="105" t="n">
        <v>20.4</v>
      </c>
    </row>
    <row r="78" customFormat="false" ht="15" hidden="false" customHeight="false" outlineLevel="0" collapsed="false">
      <c r="F78" s="38" t="n">
        <v>44950</v>
      </c>
      <c r="G78" s="38"/>
      <c r="H78" s="106" t="n">
        <v>5.6</v>
      </c>
      <c r="I78" s="106" t="n">
        <v>9</v>
      </c>
      <c r="J78" s="106" t="n">
        <v>7</v>
      </c>
      <c r="K78" s="106" t="n">
        <v>10</v>
      </c>
      <c r="L78" s="106" t="n">
        <v>5.3</v>
      </c>
      <c r="M78" s="106" t="n">
        <v>7.65</v>
      </c>
      <c r="N78" s="107"/>
      <c r="O78" s="106" t="n">
        <v>94</v>
      </c>
      <c r="P78" s="106" t="n">
        <v>75</v>
      </c>
      <c r="Q78" s="106" t="n">
        <v>84</v>
      </c>
      <c r="R78" s="106" t="n">
        <v>84.3</v>
      </c>
      <c r="S78" s="107" t="n">
        <v>94</v>
      </c>
      <c r="T78" s="107" t="n">
        <v>66</v>
      </c>
      <c r="U78" s="107"/>
      <c r="V78" s="108" t="n">
        <v>4.4</v>
      </c>
    </row>
    <row r="79" customFormat="false" ht="15" hidden="false" customHeight="false" outlineLevel="0" collapsed="false">
      <c r="F79" s="38" t="n">
        <v>44951</v>
      </c>
      <c r="G79" s="38"/>
      <c r="H79" s="106" t="n">
        <v>5.6</v>
      </c>
      <c r="I79" s="106" t="n">
        <v>9.3</v>
      </c>
      <c r="J79" s="106" t="n">
        <v>6.9</v>
      </c>
      <c r="K79" s="106" t="n">
        <v>9.5</v>
      </c>
      <c r="L79" s="106" t="n">
        <v>3.2</v>
      </c>
      <c r="M79" s="106" t="n">
        <v>6.35</v>
      </c>
      <c r="N79" s="107"/>
      <c r="O79" s="106" t="n">
        <v>94</v>
      </c>
      <c r="P79" s="106" t="n">
        <v>62</v>
      </c>
      <c r="Q79" s="106" t="n">
        <v>72</v>
      </c>
      <c r="R79" s="106" t="n">
        <v>76</v>
      </c>
      <c r="S79" s="107" t="n">
        <v>93</v>
      </c>
      <c r="T79" s="107" t="n">
        <v>55</v>
      </c>
      <c r="U79" s="107"/>
      <c r="V79" s="108" t="n">
        <v>2.8</v>
      </c>
    </row>
    <row r="80" customFormat="false" ht="15" hidden="false" customHeight="false" outlineLevel="0" collapsed="false">
      <c r="F80" s="38" t="n">
        <v>44952</v>
      </c>
      <c r="G80" s="38"/>
      <c r="H80" s="106" t="n">
        <v>2.8</v>
      </c>
      <c r="I80" s="106" t="n">
        <v>8.5</v>
      </c>
      <c r="J80" s="106" t="n">
        <v>4.9</v>
      </c>
      <c r="K80" s="106" t="n">
        <v>8.5</v>
      </c>
      <c r="L80" s="106" t="n">
        <v>1.8</v>
      </c>
      <c r="M80" s="106" t="n">
        <v>5.15</v>
      </c>
      <c r="N80" s="107"/>
      <c r="O80" s="106" t="n">
        <v>92</v>
      </c>
      <c r="P80" s="106" t="n">
        <v>51</v>
      </c>
      <c r="Q80" s="106" t="n">
        <v>72</v>
      </c>
      <c r="R80" s="106" t="n">
        <v>71.7</v>
      </c>
      <c r="S80" s="107" t="n">
        <v>92</v>
      </c>
      <c r="T80" s="107" t="n">
        <v>50</v>
      </c>
      <c r="U80" s="107"/>
      <c r="V80" s="108" t="n">
        <v>0</v>
      </c>
    </row>
    <row r="81" customFormat="false" ht="15" hidden="false" customHeight="false" outlineLevel="0" collapsed="false">
      <c r="F81" s="38" t="n">
        <v>44953</v>
      </c>
      <c r="G81" s="38"/>
      <c r="H81" s="106" t="n">
        <v>4</v>
      </c>
      <c r="I81" s="106" t="n">
        <v>6.4</v>
      </c>
      <c r="J81" s="106" t="n">
        <v>3.7</v>
      </c>
      <c r="K81" s="106" t="n">
        <v>8.5</v>
      </c>
      <c r="L81" s="106" t="n">
        <v>1.3</v>
      </c>
      <c r="M81" s="106" t="n">
        <v>4.9</v>
      </c>
      <c r="N81" s="107"/>
      <c r="O81" s="106" t="n">
        <v>69</v>
      </c>
      <c r="P81" s="106" t="n">
        <v>42</v>
      </c>
      <c r="Q81" s="106" t="n">
        <v>55</v>
      </c>
      <c r="R81" s="106" t="n">
        <v>55.3</v>
      </c>
      <c r="S81" s="107" t="n">
        <v>85</v>
      </c>
      <c r="T81" s="107" t="n">
        <v>37</v>
      </c>
      <c r="U81" s="107"/>
      <c r="V81" s="108" t="n">
        <v>0</v>
      </c>
    </row>
    <row r="82" customFormat="false" ht="15" hidden="false" customHeight="false" outlineLevel="0" collapsed="false">
      <c r="F82" s="38" t="n">
        <v>44954</v>
      </c>
      <c r="G82" s="38"/>
      <c r="H82" s="106" t="n">
        <v>1.3</v>
      </c>
      <c r="I82" s="106" t="n">
        <v>7.2</v>
      </c>
      <c r="J82" s="106" t="n">
        <v>4.7</v>
      </c>
      <c r="K82" s="106" t="n">
        <v>7.8</v>
      </c>
      <c r="L82" s="106" t="n">
        <v>1</v>
      </c>
      <c r="M82" s="106" t="n">
        <v>4.4</v>
      </c>
      <c r="N82" s="107"/>
      <c r="O82" s="106" t="n">
        <v>85</v>
      </c>
      <c r="P82" s="106" t="n">
        <v>48</v>
      </c>
      <c r="Q82" s="106" t="n">
        <v>57</v>
      </c>
      <c r="R82" s="106" t="n">
        <v>63.3</v>
      </c>
      <c r="S82" s="107" t="n">
        <v>88</v>
      </c>
      <c r="T82" s="107" t="n">
        <v>43</v>
      </c>
      <c r="U82" s="107"/>
      <c r="V82" s="108" t="n">
        <v>0</v>
      </c>
    </row>
    <row r="83" customFormat="false" ht="15" hidden="false" customHeight="false" outlineLevel="0" collapsed="false">
      <c r="F83" s="45" t="n">
        <v>44955</v>
      </c>
      <c r="G83" s="45"/>
      <c r="H83" s="109" t="n">
        <v>-0.2</v>
      </c>
      <c r="I83" s="109" t="n">
        <v>7.4</v>
      </c>
      <c r="J83" s="109" t="n">
        <v>4.8</v>
      </c>
      <c r="K83" s="109" t="n">
        <v>8.8</v>
      </c>
      <c r="L83" s="109" t="n">
        <v>-0.3</v>
      </c>
      <c r="M83" s="109" t="n">
        <v>4.25</v>
      </c>
      <c r="N83" s="110"/>
      <c r="O83" s="109" t="n">
        <v>83</v>
      </c>
      <c r="P83" s="109" t="n">
        <v>56</v>
      </c>
      <c r="Q83" s="109" t="n">
        <v>65</v>
      </c>
      <c r="R83" s="109" t="n">
        <v>68</v>
      </c>
      <c r="S83" s="110" t="n">
        <v>83</v>
      </c>
      <c r="T83" s="110" t="n">
        <v>48</v>
      </c>
      <c r="U83" s="110"/>
      <c r="V83" s="111" t="n">
        <v>0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J34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2" t="s">
        <v>0</v>
      </c>
      <c r="H3" s="3" t="s">
        <v>90</v>
      </c>
      <c r="I3" s="2" t="s">
        <v>2</v>
      </c>
      <c r="J3" s="4" t="n">
        <v>44956</v>
      </c>
      <c r="K3" s="5" t="n">
        <v>44962</v>
      </c>
      <c r="L3" s="6" t="s">
        <v>3</v>
      </c>
      <c r="M3" s="3" t="n">
        <v>2023</v>
      </c>
      <c r="P3" s="7" t="s">
        <v>4</v>
      </c>
      <c r="Q3" s="7" t="n">
        <v>0.4</v>
      </c>
      <c r="S3" s="2" t="s">
        <v>0</v>
      </c>
      <c r="T3" s="3" t="s">
        <v>90</v>
      </c>
      <c r="U3" s="2" t="s">
        <v>2</v>
      </c>
      <c r="V3" s="4" t="n">
        <v>44956</v>
      </c>
      <c r="W3" s="5" t="n">
        <v>44962</v>
      </c>
      <c r="X3" s="6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K6" s="13" t="n">
        <v>2</v>
      </c>
      <c r="P6" s="9" t="s">
        <v>13</v>
      </c>
      <c r="Q6" s="9"/>
      <c r="R6" s="9"/>
      <c r="S6" s="11"/>
      <c r="T6" s="11"/>
      <c r="U6" s="11"/>
      <c r="V6" s="11"/>
      <c r="W6" s="14" t="n">
        <f aca="false">Tabella52791124791618202224[[#This Row],[Colonna5]]*$Q3</f>
        <v>0.8</v>
      </c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1</v>
      </c>
      <c r="H9" s="13" t="n">
        <v>2</v>
      </c>
      <c r="I9" s="13" t="n">
        <v>3</v>
      </c>
      <c r="J9" s="13" t="n">
        <v>2</v>
      </c>
      <c r="K9" s="13" t="n">
        <v>2</v>
      </c>
      <c r="L9" s="13" t="n">
        <v>11</v>
      </c>
      <c r="M9" s="13" t="n">
        <v>1</v>
      </c>
      <c r="P9" s="12" t="s">
        <v>16</v>
      </c>
      <c r="Q9" s="12"/>
      <c r="R9" s="12"/>
      <c r="S9" s="14" t="n">
        <f aca="false">Tabella52791124791618202224[[#This Row],[Colonna1]]*$Q3</f>
        <v>0.4</v>
      </c>
      <c r="T9" s="14" t="n">
        <f aca="false">Tabella52791124791618202224[[#This Row],[Colonna2]]*$Q3</f>
        <v>0.8</v>
      </c>
      <c r="U9" s="14" t="n">
        <f aca="false">Tabella52791124791618202224[[#This Row],[Colonna3]]*$Q3</f>
        <v>1.2</v>
      </c>
      <c r="V9" s="14" t="n">
        <f aca="false">Tabella52791124791618202224[[#This Row],[Colonna4]]*$Q3</f>
        <v>0.8</v>
      </c>
      <c r="W9" s="14" t="n">
        <f aca="false">Tabella52791124791618202224[[#This Row],[Colonna5]]*$Q3</f>
        <v>0.8</v>
      </c>
      <c r="X9" s="14" t="n">
        <f aca="false">Tabella52791124791618202224[[#This Row],[Colonna6]]*$Q3</f>
        <v>4.4</v>
      </c>
      <c r="Y9" s="14" t="n">
        <f aca="false">Tabella52791124791618202224[[#This Row],[Colonna7]]*$Q3</f>
        <v>0.4</v>
      </c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 t="n">
        <v>1</v>
      </c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 t="n">
        <f aca="false">Tabella52791124791618202224[[#This Row],[Colonna2]]*$Q3</f>
        <v>0.4</v>
      </c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11</v>
      </c>
      <c r="H21" s="13" t="n">
        <v>38</v>
      </c>
      <c r="I21" s="13" t="n">
        <v>94</v>
      </c>
      <c r="J21" s="13" t="n">
        <v>89</v>
      </c>
      <c r="K21" s="13" t="n">
        <v>71</v>
      </c>
      <c r="L21" s="13" t="n">
        <v>196</v>
      </c>
      <c r="M21" s="13" t="n">
        <v>8</v>
      </c>
      <c r="P21" s="16" t="s">
        <v>28</v>
      </c>
      <c r="Q21" s="16"/>
      <c r="R21" s="16"/>
      <c r="S21" s="14" t="n">
        <f aca="false">Tabella52791124791618202224[[#This Row],[Colonna1]]*$Q3</f>
        <v>4.4</v>
      </c>
      <c r="T21" s="14" t="n">
        <f aca="false">Tabella52791124791618202224[[#This Row],[Colonna2]]*$Q3</f>
        <v>15.2</v>
      </c>
      <c r="U21" s="14" t="n">
        <f aca="false">Tabella52791124791618202224[[#This Row],[Colonna3]]*$Q3</f>
        <v>37.6</v>
      </c>
      <c r="V21" s="14" t="n">
        <f aca="false">Tabella52791124791618202224[[#This Row],[Colonna4]]*$Q3</f>
        <v>35.6</v>
      </c>
      <c r="W21" s="14" t="n">
        <f aca="false">Tabella52791124791618202224[[#This Row],[Colonna5]]*$Q3</f>
        <v>28.4</v>
      </c>
      <c r="X21" s="14" t="n">
        <f aca="false">Tabella52791124791618202224[[#This Row],[Colonna6]]*$Q3</f>
        <v>78.4</v>
      </c>
      <c r="Y21" s="14" t="n">
        <f aca="false">Tabella52791124791618202224[[#This Row],[Colonna7]]*$Q3</f>
        <v>3.2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6</v>
      </c>
      <c r="H22" s="13" t="n">
        <v>2</v>
      </c>
      <c r="I22" s="13" t="n">
        <v>13</v>
      </c>
      <c r="J22" s="13" t="n">
        <v>37</v>
      </c>
      <c r="K22" s="13" t="n">
        <v>30</v>
      </c>
      <c r="L22" s="13" t="n">
        <v>14</v>
      </c>
      <c r="M22" s="13" t="n">
        <v>11</v>
      </c>
      <c r="P22" s="12" t="s">
        <v>29</v>
      </c>
      <c r="Q22" s="12"/>
      <c r="R22" s="12"/>
      <c r="S22" s="14" t="n">
        <f aca="false">Tabella52791124791618202224[[#This Row],[Colonna1]]*$Q3</f>
        <v>2.4</v>
      </c>
      <c r="T22" s="14" t="n">
        <f aca="false">Tabella52791124791618202224[[#This Row],[Colonna2]]*$Q3</f>
        <v>0.8</v>
      </c>
      <c r="U22" s="14" t="n">
        <f aca="false">Tabella52791124791618202224[[#This Row],[Colonna3]]*$Q3</f>
        <v>5.2</v>
      </c>
      <c r="V22" s="14" t="n">
        <f aca="false">Tabella52791124791618202224[[#This Row],[Colonna4]]*$Q3</f>
        <v>14.8</v>
      </c>
      <c r="W22" s="14" t="n">
        <f aca="false">Tabella52791124791618202224[[#This Row],[Colonna5]]*$Q3</f>
        <v>12</v>
      </c>
      <c r="X22" s="14" t="n">
        <f aca="false">Tabella52791124791618202224[[#This Row],[Colonna6]]*$Q3</f>
        <v>5.6</v>
      </c>
      <c r="Y22" s="14" t="n">
        <f aca="false">Tabella52791124791618202224[[#This Row],[Colonna7]]*$Q3</f>
        <v>4.4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 t="n">
        <v>2</v>
      </c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 t="n">
        <f aca="false">Tabella52791124791618202224[[#This Row],[Colonna3]]*$Q3</f>
        <v>0.8</v>
      </c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 t="n">
        <v>1</v>
      </c>
      <c r="L38" s="13" t="n">
        <v>1</v>
      </c>
      <c r="M38" s="13" t="n">
        <v>1</v>
      </c>
      <c r="P38" s="16" t="s">
        <v>45</v>
      </c>
      <c r="Q38" s="16"/>
      <c r="R38" s="16"/>
      <c r="S38" s="14"/>
      <c r="T38" s="14"/>
      <c r="U38" s="14"/>
      <c r="V38" s="14"/>
      <c r="W38" s="14" t="n">
        <f aca="false">Tabella52791124791618202224[[#This Row],[Colonna5]]*$Q3</f>
        <v>0.4</v>
      </c>
      <c r="X38" s="14" t="n">
        <f aca="false">Tabella52791124791618202224[[#This Row],[Colonna6]]*$Q3</f>
        <v>0.4</v>
      </c>
      <c r="Y38" s="14" t="n">
        <f aca="false">Tabella52791124791618202224[[#This Row],[Colonna7]]*$Q3</f>
        <v>0.4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 t="n">
        <v>1</v>
      </c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 t="n">
        <f aca="false">Tabella52791124791618202224[[#This Row],[Colonna2]]*$Q3</f>
        <v>0.4</v>
      </c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 t="n">
        <v>2</v>
      </c>
      <c r="I44" s="13" t="n">
        <v>4</v>
      </c>
      <c r="J44" s="13" t="n">
        <v>2</v>
      </c>
      <c r="K44" s="13" t="n">
        <v>2</v>
      </c>
      <c r="L44" s="13" t="n">
        <v>6</v>
      </c>
      <c r="M44" s="13" t="n">
        <v>2</v>
      </c>
      <c r="P44" s="12" t="s">
        <v>51</v>
      </c>
      <c r="Q44" s="12"/>
      <c r="R44" s="12"/>
      <c r="S44" s="14"/>
      <c r="T44" s="14" t="n">
        <f aca="false">Tabella52791124791618202224[[#This Row],[Colonna2]]*$Q3</f>
        <v>0.8</v>
      </c>
      <c r="U44" s="14" t="n">
        <f aca="false">Tabella52791124791618202224[[#This Row],[Colonna3]]*$Q3</f>
        <v>1.6</v>
      </c>
      <c r="V44" s="14" t="n">
        <f aca="false">Tabella52791124791618202224[[#This Row],[Colonna4]]*$Q3</f>
        <v>0.8</v>
      </c>
      <c r="W44" s="14" t="n">
        <f aca="false">Tabella52791124791618202224[[#This Row],[Colonna5]]*$Q3</f>
        <v>0.8</v>
      </c>
      <c r="X44" s="14" t="n">
        <f aca="false">Tabella52791124791618202224[[#This Row],[Colonna6]]*$Q3</f>
        <v>2.4</v>
      </c>
      <c r="Y44" s="14" t="n">
        <f aca="false">Tabella52791124791618202224[[#This Row],[Colonna7]]*$Q3</f>
        <v>0.8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3</v>
      </c>
      <c r="H47" s="13"/>
      <c r="I47" s="13" t="n">
        <v>3</v>
      </c>
      <c r="J47" s="13"/>
      <c r="K47" s="13" t="n">
        <v>2</v>
      </c>
      <c r="L47" s="13" t="n">
        <v>8</v>
      </c>
      <c r="M47" s="13" t="n">
        <v>3</v>
      </c>
      <c r="P47" s="16" t="s">
        <v>54</v>
      </c>
      <c r="Q47" s="16"/>
      <c r="R47" s="16"/>
      <c r="S47" s="14" t="n">
        <f aca="false">Tabella52791124791618202224[[#This Row],[Colonna1]]*$Q3</f>
        <v>1.2</v>
      </c>
      <c r="T47" s="14"/>
      <c r="U47" s="14" t="n">
        <f aca="false">Tabella52791124791618202224[[#This Row],[Colonna3]]*$Q3</f>
        <v>1.2</v>
      </c>
      <c r="V47" s="14"/>
      <c r="W47" s="14" t="n">
        <f aca="false">Tabella52791124791618202224[[#This Row],[Colonna5]]*$Q3</f>
        <v>0.8</v>
      </c>
      <c r="X47" s="14" t="n">
        <f aca="false">Tabella52791124791618202224[[#This Row],[Colonna6]]*$Q3</f>
        <v>3.2</v>
      </c>
      <c r="Y47" s="14" t="n">
        <f aca="false">Tabella52791124791618202224[[#This Row],[Colonna7]]*$Q3</f>
        <v>1.2</v>
      </c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 t="n">
        <v>1</v>
      </c>
      <c r="I50" s="13" t="n">
        <v>2</v>
      </c>
      <c r="J50" s="13" t="n">
        <v>4</v>
      </c>
      <c r="K50" s="13" t="n">
        <v>2</v>
      </c>
      <c r="L50" s="13" t="n">
        <v>17</v>
      </c>
      <c r="M50" s="13" t="n">
        <v>3</v>
      </c>
      <c r="P50" s="9" t="s">
        <v>57</v>
      </c>
      <c r="Q50" s="9"/>
      <c r="R50" s="9"/>
      <c r="S50" s="14"/>
      <c r="T50" s="14" t="n">
        <f aca="false">Tabella52791124791618202224[[#This Row],[Colonna2]]*$Q3</f>
        <v>0.4</v>
      </c>
      <c r="U50" s="14" t="n">
        <f aca="false">Tabella52791124791618202224[[#This Row],[Colonna3]]*$Q3</f>
        <v>0.8</v>
      </c>
      <c r="V50" s="14" t="n">
        <f aca="false">Tabella52791124791618202224[[#This Row],[Colonna4]]*$Q3</f>
        <v>1.6</v>
      </c>
      <c r="W50" s="14" t="n">
        <f aca="false">Tabella52791124791618202224[[#This Row],[Colonna5]]*$Q3</f>
        <v>0.8</v>
      </c>
      <c r="X50" s="14" t="n">
        <f aca="false">Tabella52791124791618202224[[#This Row],[Colonna6]]*$Q3</f>
        <v>6.8</v>
      </c>
      <c r="Y50" s="14" t="n">
        <f aca="false">Tabella52791124791618202224[[#This Row],[Colonna7]]*$Q3</f>
        <v>1.2</v>
      </c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SUM(G47,G22,G21,G9)</f>
        <v>21</v>
      </c>
      <c r="H53" s="55" t="n">
        <f aca="false">SUM(H50,H44,H41,H22,H21,H10,H9)</f>
        <v>47</v>
      </c>
      <c r="I53" s="55" t="n">
        <f aca="false">SUM(I50,I47,I44,I22,I21,I9,I35)</f>
        <v>121</v>
      </c>
      <c r="J53" s="55" t="n">
        <f aca="false">SUM(J50,J44,J22,J21,J9)</f>
        <v>134</v>
      </c>
      <c r="K53" s="55" t="n">
        <f aca="false">SUM(K22,K50,K47,K44,K38,K21,K9,K6)</f>
        <v>112</v>
      </c>
      <c r="L53" s="55" t="n">
        <f aca="false">SUM(L50,L47,L44,L38,L22,L21,L9)</f>
        <v>253</v>
      </c>
      <c r="M53" s="55" t="n">
        <f aca="false">SUM(M50,M47,M44,M38,M22,M21,M9)</f>
        <v>29</v>
      </c>
      <c r="P53" s="17" t="s">
        <v>60</v>
      </c>
      <c r="Q53" s="17"/>
      <c r="R53" s="17"/>
      <c r="S53" s="56" t="n">
        <f aca="false">Tabella52791124791618202224[[#This Row],[Colonna1]]*$Q3</f>
        <v>8.4</v>
      </c>
      <c r="T53" s="56" t="n">
        <f aca="false">Tabella52791124791618202224[[#This Row],[Colonna2]]*$Q3</f>
        <v>18.8</v>
      </c>
      <c r="U53" s="56" t="n">
        <f aca="false">Tabella52791124791618202224[[#This Row],[Colonna3]]*$Q3</f>
        <v>48.4</v>
      </c>
      <c r="V53" s="56" t="n">
        <f aca="false">Tabella52791124791618202224[[#This Row],[Colonna4]]*$Q3</f>
        <v>53.6</v>
      </c>
      <c r="W53" s="56" t="n">
        <f aca="false">Tabella52791124791618202224[[#This Row],[Colonna5]]*$Q3</f>
        <v>44.8</v>
      </c>
      <c r="X53" s="56" t="n">
        <f aca="false">Tabella52791124791618202224[[#This Row],[Colonna6]]*$Q3</f>
        <v>101.2</v>
      </c>
      <c r="Y53" s="56" t="n">
        <f aca="false">Tabella52791124791618202224[[#This Row],[Colonna7]]*$Q3</f>
        <v>11.6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26</v>
      </c>
      <c r="H58" s="26" t="n">
        <v>13</v>
      </c>
      <c r="I58" s="26" t="n">
        <v>14</v>
      </c>
      <c r="J58" s="26" t="n">
        <v>28</v>
      </c>
      <c r="K58" s="26" t="n">
        <v>20</v>
      </c>
      <c r="L58" s="26" t="n">
        <v>32</v>
      </c>
      <c r="M58" s="26" t="n">
        <v>13</v>
      </c>
      <c r="P58" s="23" t="s">
        <v>62</v>
      </c>
      <c r="Q58" s="23"/>
      <c r="R58" s="23"/>
      <c r="S58" s="57" t="n">
        <f aca="false">G58*$Q3</f>
        <v>10.4</v>
      </c>
      <c r="T58" s="57" t="n">
        <f aca="false">H58*$Q3</f>
        <v>5.2</v>
      </c>
      <c r="U58" s="57" t="n">
        <f aca="false">I58*$Q3</f>
        <v>5.6</v>
      </c>
      <c r="V58" s="57" t="n">
        <f aca="false">J58*$Q3</f>
        <v>11.2</v>
      </c>
      <c r="W58" s="57" t="n">
        <f aca="false">K58*$Q3</f>
        <v>8</v>
      </c>
      <c r="X58" s="57" t="n">
        <f aca="false">L58*$Q3</f>
        <v>12.8</v>
      </c>
      <c r="Y58" s="57" t="n">
        <f aca="false">M58*$Q3</f>
        <v>5.2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 t="n">
        <v>1</v>
      </c>
      <c r="I62" s="26" t="n">
        <v>1</v>
      </c>
      <c r="J62" s="26"/>
      <c r="K62" s="26" t="n">
        <v>2</v>
      </c>
      <c r="L62" s="26" t="n">
        <v>2</v>
      </c>
      <c r="M62" s="26" t="n">
        <v>1</v>
      </c>
      <c r="P62" s="9" t="s">
        <v>66</v>
      </c>
      <c r="Q62" s="9"/>
      <c r="R62" s="9"/>
      <c r="S62" s="57"/>
      <c r="T62" s="57" t="n">
        <f aca="false">H62*$Q3</f>
        <v>0.4</v>
      </c>
      <c r="U62" s="57" t="n">
        <f aca="false">I62*$Q3</f>
        <v>0.4</v>
      </c>
      <c r="V62" s="57"/>
      <c r="W62" s="57" t="n">
        <f aca="false">K62*$Q3</f>
        <v>0.8</v>
      </c>
      <c r="X62" s="57" t="n">
        <f aca="false">L62*$Q3</f>
        <v>0.8</v>
      </c>
      <c r="Y62" s="57" t="n">
        <f aca="false">M62*$Q3</f>
        <v>0.4</v>
      </c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/>
      <c r="K63" s="26"/>
      <c r="L63" s="26"/>
      <c r="M63" s="26"/>
      <c r="P63" s="9" t="s">
        <v>67</v>
      </c>
      <c r="Q63" s="9"/>
      <c r="R63" s="9"/>
      <c r="S63" s="57"/>
      <c r="T63" s="27"/>
      <c r="U63" s="27"/>
      <c r="V63" s="27"/>
      <c r="W63" s="27"/>
      <c r="X63" s="2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 t="n">
        <v>1</v>
      </c>
      <c r="I64" s="26"/>
      <c r="J64" s="26"/>
      <c r="K64" s="26" t="n">
        <v>1</v>
      </c>
      <c r="L64" s="26"/>
      <c r="M64" s="26"/>
      <c r="P64" s="9" t="s">
        <v>68</v>
      </c>
      <c r="Q64" s="9"/>
      <c r="R64" s="9"/>
      <c r="S64" s="57"/>
      <c r="T64" s="27" t="n">
        <f aca="false">H64*$Q3</f>
        <v>0.4</v>
      </c>
      <c r="U64" s="27"/>
      <c r="V64" s="27"/>
      <c r="W64" s="27" t="n">
        <f aca="false">K64*$Q3</f>
        <v>0.4</v>
      </c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 t="n">
        <v>2</v>
      </c>
      <c r="I65" s="26"/>
      <c r="J65" s="26" t="n">
        <v>1</v>
      </c>
      <c r="K65" s="26" t="n">
        <v>4</v>
      </c>
      <c r="L65" s="26" t="n">
        <v>2</v>
      </c>
      <c r="M65" s="26"/>
      <c r="P65" s="9" t="s">
        <v>69</v>
      </c>
      <c r="Q65" s="9"/>
      <c r="R65" s="9"/>
      <c r="S65" s="57"/>
      <c r="T65" s="27" t="n">
        <f aca="false">H65*$Q3</f>
        <v>0.8</v>
      </c>
      <c r="U65" s="27"/>
      <c r="V65" s="27" t="n">
        <f aca="false">J65*$Q3</f>
        <v>0.4</v>
      </c>
      <c r="W65" s="27" t="n">
        <f aca="false">K65*$Q3</f>
        <v>1.6</v>
      </c>
      <c r="X65" s="27" t="n">
        <f aca="false">L65*$Q3</f>
        <v>0.8</v>
      </c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2</v>
      </c>
      <c r="H67" s="26"/>
      <c r="I67" s="26" t="n">
        <v>2</v>
      </c>
      <c r="J67" s="26" t="n">
        <v>1</v>
      </c>
      <c r="K67" s="26" t="n">
        <v>2</v>
      </c>
      <c r="L67" s="26" t="n">
        <v>1</v>
      </c>
      <c r="M67" s="26"/>
      <c r="P67" s="9" t="s">
        <v>71</v>
      </c>
      <c r="Q67" s="9"/>
      <c r="R67" s="9"/>
      <c r="S67" s="57" t="n">
        <f aca="false">G67*$Q3</f>
        <v>0.8</v>
      </c>
      <c r="T67" s="57"/>
      <c r="U67" s="57" t="n">
        <f aca="false">I67*$Q3</f>
        <v>0.8</v>
      </c>
      <c r="V67" s="57" t="n">
        <f aca="false">J67*$Q3</f>
        <v>0.4</v>
      </c>
      <c r="W67" s="57" t="n">
        <f aca="false">K67*$Q3</f>
        <v>0.8</v>
      </c>
      <c r="X67" s="57" t="n">
        <f aca="false">L67*$Q3</f>
        <v>0.4</v>
      </c>
      <c r="Y67" s="27"/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3</v>
      </c>
      <c r="H68" s="30"/>
      <c r="I68" s="30" t="n">
        <v>1</v>
      </c>
      <c r="J68" s="30"/>
      <c r="K68" s="30" t="n">
        <v>2</v>
      </c>
      <c r="L68" s="30"/>
      <c r="M68" s="30"/>
      <c r="P68" s="9" t="s">
        <v>72</v>
      </c>
      <c r="Q68" s="9"/>
      <c r="R68" s="9"/>
      <c r="S68" s="59" t="n">
        <f aca="false">G68*$Q3</f>
        <v>1.2</v>
      </c>
      <c r="T68" s="59"/>
      <c r="U68" s="59" t="n">
        <f aca="false">I68*$Q3</f>
        <v>0.4</v>
      </c>
      <c r="V68" s="59"/>
      <c r="W68" s="59" t="n">
        <f aca="false">K68*$Q3</f>
        <v>0.8</v>
      </c>
      <c r="X68" s="31"/>
      <c r="Y68" s="31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 t="n">
        <v>13</v>
      </c>
      <c r="J69" s="30" t="n">
        <v>4</v>
      </c>
      <c r="K69" s="30" t="n">
        <v>3</v>
      </c>
      <c r="L69" s="30" t="n">
        <v>5</v>
      </c>
      <c r="M69" s="30" t="n">
        <v>2</v>
      </c>
      <c r="P69" s="9" t="s">
        <v>73</v>
      </c>
      <c r="Q69" s="9"/>
      <c r="R69" s="9"/>
      <c r="S69" s="59"/>
      <c r="T69" s="31"/>
      <c r="U69" s="31" t="n">
        <f aca="false">I69*$Q3</f>
        <v>5.2</v>
      </c>
      <c r="V69" s="31" t="n">
        <f aca="false">J69*$Q3</f>
        <v>1.6</v>
      </c>
      <c r="W69" s="31" t="n">
        <f aca="false">K69*$Q3</f>
        <v>1.2</v>
      </c>
      <c r="X69" s="31" t="n">
        <f aca="false">L69*$Q3</f>
        <v>2</v>
      </c>
      <c r="Y69" s="31" t="n">
        <f aca="false">M69*$Q3</f>
        <v>0.8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SUM(G58,G67,G68)</f>
        <v>31</v>
      </c>
      <c r="H70" s="60" t="n">
        <f aca="false">SUM(H65,H64,H62,H58)</f>
        <v>17</v>
      </c>
      <c r="I70" s="60" t="n">
        <f aca="false">SUM(I69,I68,I67,I62,I58)</f>
        <v>31</v>
      </c>
      <c r="J70" s="60" t="n">
        <f aca="false">SUM(J69,J67,J65,J58)</f>
        <v>34</v>
      </c>
      <c r="K70" s="12" t="n">
        <f aca="false">SUM(K69,K68,K67,K65,K64,K62,K58)</f>
        <v>34</v>
      </c>
      <c r="L70" s="12" t="n">
        <f aca="false">SUM(L58,L62,L65,L67,L69)</f>
        <v>42</v>
      </c>
      <c r="M70" s="12" t="n">
        <f aca="false">SUM(M58,M62,M69)</f>
        <v>16</v>
      </c>
      <c r="P70" s="9" t="s">
        <v>60</v>
      </c>
      <c r="Q70" s="9"/>
      <c r="R70" s="9"/>
      <c r="S70" s="61" t="n">
        <f aca="false">G70*$Q3</f>
        <v>12.4</v>
      </c>
      <c r="T70" s="61" t="n">
        <f aca="false">H70*$Q3</f>
        <v>6.8</v>
      </c>
      <c r="U70" s="61" t="n">
        <f aca="false">I70*$Q3</f>
        <v>12.4</v>
      </c>
      <c r="V70" s="61" t="n">
        <f aca="false">J70*$Q3</f>
        <v>13.6</v>
      </c>
      <c r="W70" s="61" t="n">
        <f aca="false">K70*$Q3</f>
        <v>13.6</v>
      </c>
      <c r="X70" s="61" t="n">
        <f aca="false">L70*$Q3</f>
        <v>16.8</v>
      </c>
      <c r="Y70" s="61" t="n">
        <f aca="false">M70*$Q3</f>
        <v>6.4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 t="n">
        <v>44956</v>
      </c>
      <c r="G77" s="75"/>
      <c r="H77" s="113" t="n">
        <v>0.4</v>
      </c>
      <c r="I77" s="113" t="n">
        <v>8.6</v>
      </c>
      <c r="J77" s="113" t="n">
        <v>5.7</v>
      </c>
      <c r="K77" s="113" t="n">
        <v>9.5</v>
      </c>
      <c r="L77" s="113" t="n">
        <v>0.4</v>
      </c>
      <c r="M77" s="113" t="n">
        <v>4.95</v>
      </c>
      <c r="N77" s="113"/>
      <c r="O77" s="113" t="n">
        <v>76</v>
      </c>
      <c r="P77" s="113" t="n">
        <v>47</v>
      </c>
      <c r="Q77" s="113" t="n">
        <v>63</v>
      </c>
      <c r="R77" s="113" t="n">
        <v>62</v>
      </c>
      <c r="S77" s="113" t="n">
        <v>76</v>
      </c>
      <c r="T77" s="113" t="n">
        <v>46</v>
      </c>
      <c r="U77" s="113"/>
      <c r="V77" s="114" t="n">
        <v>0</v>
      </c>
    </row>
    <row r="78" customFormat="false" ht="15" hidden="false" customHeight="false" outlineLevel="0" collapsed="false">
      <c r="F78" s="38" t="n">
        <v>44957</v>
      </c>
      <c r="G78" s="38"/>
      <c r="H78" s="115" t="n">
        <v>0.5</v>
      </c>
      <c r="I78" s="115" t="n">
        <v>10.6</v>
      </c>
      <c r="J78" s="115" t="n">
        <v>6.8</v>
      </c>
      <c r="K78" s="115" t="n">
        <v>11.3</v>
      </c>
      <c r="L78" s="115" t="n">
        <v>0.4</v>
      </c>
      <c r="M78" s="115" t="n">
        <v>5.85</v>
      </c>
      <c r="N78" s="115"/>
      <c r="O78" s="115" t="n">
        <v>87</v>
      </c>
      <c r="P78" s="115" t="n">
        <v>54</v>
      </c>
      <c r="Q78" s="115" t="n">
        <v>71</v>
      </c>
      <c r="R78" s="115" t="n">
        <v>70.7</v>
      </c>
      <c r="S78" s="115" t="n">
        <v>88</v>
      </c>
      <c r="T78" s="115" t="n">
        <v>46</v>
      </c>
      <c r="U78" s="115"/>
      <c r="V78" s="116" t="n">
        <v>0</v>
      </c>
    </row>
    <row r="79" customFormat="false" ht="15" hidden="false" customHeight="false" outlineLevel="0" collapsed="false">
      <c r="F79" s="38" t="n">
        <v>44958</v>
      </c>
      <c r="G79" s="38"/>
      <c r="H79" s="115" t="n">
        <v>2</v>
      </c>
      <c r="I79" s="115" t="n">
        <v>11.9</v>
      </c>
      <c r="J79" s="115" t="n">
        <v>8</v>
      </c>
      <c r="K79" s="115" t="n">
        <v>13.7</v>
      </c>
      <c r="L79" s="115" t="n">
        <v>1.5</v>
      </c>
      <c r="M79" s="115" t="n">
        <v>7.6</v>
      </c>
      <c r="N79" s="115"/>
      <c r="O79" s="115" t="n">
        <v>70</v>
      </c>
      <c r="P79" s="115" t="n">
        <v>54</v>
      </c>
      <c r="Q79" s="115" t="n">
        <v>78</v>
      </c>
      <c r="R79" s="115" t="n">
        <v>67.3</v>
      </c>
      <c r="S79" s="115" t="n">
        <v>79</v>
      </c>
      <c r="T79" s="115" t="n">
        <v>49</v>
      </c>
      <c r="U79" s="115"/>
      <c r="V79" s="116" t="n">
        <v>0</v>
      </c>
    </row>
    <row r="80" customFormat="false" ht="15" hidden="false" customHeight="false" outlineLevel="0" collapsed="false">
      <c r="F80" s="38" t="n">
        <v>44959</v>
      </c>
      <c r="G80" s="38"/>
      <c r="H80" s="115" t="n">
        <v>3</v>
      </c>
      <c r="I80" s="115" t="n">
        <v>17.2</v>
      </c>
      <c r="J80" s="115" t="n">
        <v>12.2</v>
      </c>
      <c r="K80" s="115" t="n">
        <v>17.3</v>
      </c>
      <c r="L80" s="115" t="n">
        <v>2</v>
      </c>
      <c r="M80" s="115" t="n">
        <v>9.65</v>
      </c>
      <c r="N80" s="115"/>
      <c r="O80" s="115" t="n">
        <v>79</v>
      </c>
      <c r="P80" s="115" t="n">
        <v>23</v>
      </c>
      <c r="Q80" s="115" t="n">
        <v>32</v>
      </c>
      <c r="R80" s="115" t="n">
        <v>44.7</v>
      </c>
      <c r="S80" s="115" t="n">
        <v>93</v>
      </c>
      <c r="T80" s="115" t="n">
        <v>21</v>
      </c>
      <c r="U80" s="115"/>
      <c r="V80" s="116" t="n">
        <v>0</v>
      </c>
    </row>
    <row r="81" customFormat="false" ht="15" hidden="false" customHeight="false" outlineLevel="0" collapsed="false">
      <c r="F81" s="38" t="n">
        <v>44960</v>
      </c>
      <c r="G81" s="38"/>
      <c r="H81" s="115" t="n">
        <v>2.9</v>
      </c>
      <c r="I81" s="115" t="n">
        <v>10.3</v>
      </c>
      <c r="J81" s="115" t="n">
        <v>8.5</v>
      </c>
      <c r="K81" s="115" t="n">
        <v>11.9</v>
      </c>
      <c r="L81" s="115" t="n">
        <v>2.3</v>
      </c>
      <c r="M81" s="115" t="n">
        <v>7.1</v>
      </c>
      <c r="N81" s="115"/>
      <c r="O81" s="115" t="n">
        <v>73</v>
      </c>
      <c r="P81" s="115" t="n">
        <v>59</v>
      </c>
      <c r="Q81" s="115" t="n">
        <v>69</v>
      </c>
      <c r="R81" s="115" t="n">
        <v>67</v>
      </c>
      <c r="S81" s="115" t="n">
        <v>82</v>
      </c>
      <c r="T81" s="115" t="n">
        <v>50</v>
      </c>
      <c r="U81" s="115"/>
      <c r="V81" s="116" t="n">
        <v>0</v>
      </c>
    </row>
    <row r="82" customFormat="false" ht="15" hidden="false" customHeight="false" outlineLevel="0" collapsed="false">
      <c r="F82" s="38" t="n">
        <v>44961</v>
      </c>
      <c r="G82" s="38"/>
      <c r="H82" s="115" t="n">
        <v>4.8</v>
      </c>
      <c r="I82" s="115" t="n">
        <v>15.4</v>
      </c>
      <c r="J82" s="115" t="n">
        <v>8.8</v>
      </c>
      <c r="K82" s="115" t="n">
        <v>16.7</v>
      </c>
      <c r="L82" s="115" t="n">
        <v>4.3</v>
      </c>
      <c r="M82" s="115" t="n">
        <v>10.5</v>
      </c>
      <c r="N82" s="115"/>
      <c r="O82" s="115" t="n">
        <v>83</v>
      </c>
      <c r="P82" s="115" t="n">
        <v>45</v>
      </c>
      <c r="Q82" s="115" t="n">
        <v>80</v>
      </c>
      <c r="R82" s="115" t="n">
        <v>69.3</v>
      </c>
      <c r="S82" s="115" t="n">
        <v>93</v>
      </c>
      <c r="T82" s="115" t="n">
        <v>43</v>
      </c>
      <c r="U82" s="115"/>
      <c r="V82" s="116" t="n">
        <v>0</v>
      </c>
    </row>
    <row r="83" customFormat="false" ht="15" hidden="false" customHeight="false" outlineLevel="0" collapsed="false">
      <c r="F83" s="45" t="n">
        <v>44962</v>
      </c>
      <c r="G83" s="45"/>
      <c r="H83" s="117" t="n">
        <v>0.9</v>
      </c>
      <c r="I83" s="117" t="n">
        <v>8.5</v>
      </c>
      <c r="J83" s="117" t="n">
        <v>5.2</v>
      </c>
      <c r="K83" s="117" t="n">
        <v>9.1</v>
      </c>
      <c r="L83" s="117" t="n">
        <v>0.9</v>
      </c>
      <c r="M83" s="117" t="n">
        <v>5</v>
      </c>
      <c r="N83" s="117"/>
      <c r="O83" s="117" t="n">
        <v>90</v>
      </c>
      <c r="P83" s="117" t="n">
        <v>55</v>
      </c>
      <c r="Q83" s="117" t="n">
        <v>55</v>
      </c>
      <c r="R83" s="117" t="n">
        <v>66.7</v>
      </c>
      <c r="S83" s="117" t="n">
        <v>94</v>
      </c>
      <c r="T83" s="117" t="n">
        <v>40</v>
      </c>
      <c r="U83" s="117"/>
      <c r="V83" s="118" t="n">
        <v>0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31" colorId="64" zoomScale="100" zoomScaleNormal="100" zoomScalePageLayoutView="100" workbookViewId="0">
      <selection pane="topLeft" activeCell="R56" activeCellId="0" sqref="R56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2" t="s">
        <v>0</v>
      </c>
      <c r="H3" s="3" t="s">
        <v>90</v>
      </c>
      <c r="I3" s="2" t="s">
        <v>2</v>
      </c>
      <c r="J3" s="4" t="n">
        <v>44963</v>
      </c>
      <c r="K3" s="5" t="n">
        <v>44969</v>
      </c>
      <c r="L3" s="6" t="s">
        <v>3</v>
      </c>
      <c r="M3" s="3" t="n">
        <v>2023</v>
      </c>
      <c r="P3" s="7" t="s">
        <v>4</v>
      </c>
      <c r="Q3" s="7" t="n">
        <v>0.4</v>
      </c>
      <c r="S3" s="2" t="s">
        <v>0</v>
      </c>
      <c r="T3" s="3" t="s">
        <v>90</v>
      </c>
      <c r="U3" s="2" t="s">
        <v>2</v>
      </c>
      <c r="V3" s="4" t="n">
        <v>44963</v>
      </c>
      <c r="W3" s="5" t="n">
        <v>44969</v>
      </c>
      <c r="X3" s="6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 t="n">
        <v>1</v>
      </c>
      <c r="J9" s="13"/>
      <c r="K9" s="13" t="n">
        <v>1</v>
      </c>
      <c r="L9" s="13"/>
      <c r="M9" s="13" t="n">
        <v>3</v>
      </c>
      <c r="P9" s="12" t="s">
        <v>16</v>
      </c>
      <c r="Q9" s="12"/>
      <c r="R9" s="12"/>
      <c r="S9" s="14"/>
      <c r="T9" s="14"/>
      <c r="U9" s="14" t="n">
        <f aca="false">Tabella5279112479161820222426[[#This Row],[Colonna3]]*$Q3</f>
        <v>0.4</v>
      </c>
      <c r="V9" s="14"/>
      <c r="W9" s="14" t="n">
        <f aca="false">Tabella5279112479161820222426[[#This Row],[Colonna5]]*$Q3</f>
        <v>0.4</v>
      </c>
      <c r="X9" s="14"/>
      <c r="Y9" s="14" t="n">
        <f aca="false">Tabella5279112479161820222426[[#This Row],[Colonna7]]*$Q3</f>
        <v>1.2</v>
      </c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13</v>
      </c>
      <c r="H21" s="13" t="n">
        <v>5</v>
      </c>
      <c r="I21" s="13" t="n">
        <v>7</v>
      </c>
      <c r="J21" s="13" t="n">
        <v>3</v>
      </c>
      <c r="K21" s="13" t="n">
        <v>6</v>
      </c>
      <c r="L21" s="13" t="n">
        <v>5</v>
      </c>
      <c r="M21" s="13" t="n">
        <v>7</v>
      </c>
      <c r="P21" s="16" t="s">
        <v>28</v>
      </c>
      <c r="Q21" s="16"/>
      <c r="R21" s="16"/>
      <c r="S21" s="14" t="n">
        <f aca="false">Tabella5279112479161820222426[[#This Row],[Colonna1]]*$Q3</f>
        <v>5.2</v>
      </c>
      <c r="T21" s="14" t="n">
        <f aca="false">Tabella5279112479161820222426[[#This Row],[Colonna2]]*$Q3</f>
        <v>2</v>
      </c>
      <c r="U21" s="14" t="n">
        <f aca="false">Tabella5279112479161820222426[[#This Row],[Colonna3]]*$Q3</f>
        <v>2.8</v>
      </c>
      <c r="V21" s="14" t="n">
        <f aca="false">Tabella5279112479161820222426[[#This Row],[Colonna4]]*$Q3</f>
        <v>1.2</v>
      </c>
      <c r="W21" s="14" t="n">
        <f aca="false">Tabella5279112479161820222426[[#This Row],[Colonna5]]*$Q3</f>
        <v>2.4</v>
      </c>
      <c r="X21" s="14" t="n">
        <f aca="false">Tabella5279112479161820222426[[#This Row],[Colonna6]]*$Q3</f>
        <v>2</v>
      </c>
      <c r="Y21" s="14" t="n">
        <f aca="false">Tabella5279112479161820222426[[#This Row],[Colonna7]]*$Q3</f>
        <v>2.8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4</v>
      </c>
      <c r="H22" s="13" t="n">
        <v>2</v>
      </c>
      <c r="I22" s="13" t="n">
        <v>1</v>
      </c>
      <c r="J22" s="13" t="n">
        <v>4</v>
      </c>
      <c r="K22" s="13"/>
      <c r="L22" s="13"/>
      <c r="M22" s="13" t="n">
        <v>2</v>
      </c>
      <c r="P22" s="12" t="s">
        <v>29</v>
      </c>
      <c r="Q22" s="12"/>
      <c r="R22" s="12"/>
      <c r="S22" s="14" t="n">
        <f aca="false">Tabella5279112479161820222426[[#This Row],[Colonna1]]*$Q3</f>
        <v>1.6</v>
      </c>
      <c r="T22" s="14" t="n">
        <f aca="false">Tabella5279112479161820222426[[#This Row],[Colonna2]]*$Q3</f>
        <v>0.8</v>
      </c>
      <c r="U22" s="14" t="n">
        <f aca="false">Tabella5279112479161820222426[[#This Row],[Colonna3]]*$Q3</f>
        <v>0.4</v>
      </c>
      <c r="V22" s="14" t="n">
        <f aca="false">Tabella5279112479161820222426[[#This Row],[Colonna4]]*$Q3</f>
        <v>1.6</v>
      </c>
      <c r="W22" s="14"/>
      <c r="X22" s="14"/>
      <c r="Y22" s="14" t="n">
        <f aca="false">Tabella5279112479161820222426[[#This Row],[Colonna7]]*$Q3</f>
        <v>0.8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8</v>
      </c>
      <c r="H38" s="13" t="n">
        <v>4</v>
      </c>
      <c r="I38" s="13" t="n">
        <v>3</v>
      </c>
      <c r="J38" s="13" t="n">
        <v>1</v>
      </c>
      <c r="K38" s="13" t="n">
        <v>2</v>
      </c>
      <c r="L38" s="13"/>
      <c r="M38" s="13" t="n">
        <v>5</v>
      </c>
      <c r="P38" s="16" t="s">
        <v>45</v>
      </c>
      <c r="Q38" s="16"/>
      <c r="R38" s="16"/>
      <c r="S38" s="14" t="n">
        <f aca="false">Tabella5279112479161820222426[[#This Row],[Colonna1]]*$Q3</f>
        <v>3.2</v>
      </c>
      <c r="T38" s="14" t="n">
        <f aca="false">Tabella5279112479161820222426[[#This Row],[Colonna2]]*$Q3</f>
        <v>1.6</v>
      </c>
      <c r="U38" s="14" t="n">
        <f aca="false">Tabella5279112479161820222426[[#This Row],[Colonna3]]*$Q3</f>
        <v>1.2</v>
      </c>
      <c r="V38" s="14" t="n">
        <f aca="false">Tabella5279112479161820222426[[#This Row],[Colonna4]]*$Q3</f>
        <v>0.4</v>
      </c>
      <c r="W38" s="14" t="n">
        <f aca="false">Tabella5279112479161820222426[[#This Row],[Colonna5]]*$Q3</f>
        <v>0.8</v>
      </c>
      <c r="X38" s="14"/>
      <c r="Y38" s="14" t="n">
        <f aca="false">Tabella5279112479161820222426[[#This Row],[Colonna7]]*$Q3</f>
        <v>2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2</v>
      </c>
      <c r="H41" s="13" t="n">
        <v>1</v>
      </c>
      <c r="I41" s="13" t="n">
        <v>1</v>
      </c>
      <c r="J41" s="13"/>
      <c r="K41" s="13"/>
      <c r="L41" s="13" t="n">
        <v>1</v>
      </c>
      <c r="M41" s="13"/>
      <c r="P41" s="18" t="s">
        <v>48</v>
      </c>
      <c r="Q41" s="18"/>
      <c r="R41" s="18"/>
      <c r="S41" s="14" t="n">
        <f aca="false">Tabella5279112479161820222426[[#This Row],[Colonna1]]*$Q3</f>
        <v>0.8</v>
      </c>
      <c r="T41" s="14" t="n">
        <f aca="false">Tabella5279112479161820222426[[#This Row],[Colonna2]]*$Q3</f>
        <v>0.4</v>
      </c>
      <c r="U41" s="14" t="n">
        <f aca="false">Tabella5279112479161820222426[[#This Row],[Colonna3]]*$Q3</f>
        <v>0.4</v>
      </c>
      <c r="V41" s="14"/>
      <c r="W41" s="14"/>
      <c r="X41" s="14" t="n">
        <f aca="false">Tabella5279112479161820222426[[#This Row],[Colonna6]]*$Q3</f>
        <v>0.4</v>
      </c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</v>
      </c>
      <c r="H44" s="13"/>
      <c r="I44" s="13"/>
      <c r="J44" s="13" t="n">
        <v>2</v>
      </c>
      <c r="K44" s="13"/>
      <c r="L44" s="13"/>
      <c r="M44" s="13" t="n">
        <v>1</v>
      </c>
      <c r="P44" s="12" t="s">
        <v>51</v>
      </c>
      <c r="Q44" s="12"/>
      <c r="R44" s="12"/>
      <c r="S44" s="14" t="n">
        <f aca="false">Tabella5279112479161820222426[[#This Row],[Colonna1]]*$Q3</f>
        <v>0.8</v>
      </c>
      <c r="T44" s="14"/>
      <c r="U44" s="14"/>
      <c r="V44" s="14" t="n">
        <f aca="false">Tabella5279112479161820222426[[#This Row],[Colonna4]]*$Q3</f>
        <v>0.8</v>
      </c>
      <c r="W44" s="14"/>
      <c r="X44" s="14"/>
      <c r="Y44" s="14" t="n">
        <f aca="false">Tabella5279112479161820222426[[#This Row],[Colonna7]]*$Q3</f>
        <v>0.4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 t="n">
        <v>2</v>
      </c>
      <c r="L47" s="13" t="n">
        <v>1</v>
      </c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 t="n">
        <v>3</v>
      </c>
      <c r="H50" s="13"/>
      <c r="I50" s="13" t="n">
        <v>5</v>
      </c>
      <c r="J50" s="13" t="n">
        <v>1</v>
      </c>
      <c r="K50" s="13" t="n">
        <v>2</v>
      </c>
      <c r="L50" s="13" t="n">
        <v>1</v>
      </c>
      <c r="M50" s="13" t="n">
        <v>11</v>
      </c>
      <c r="P50" s="9" t="s">
        <v>57</v>
      </c>
      <c r="Q50" s="9"/>
      <c r="R50" s="9"/>
      <c r="S50" s="14" t="n">
        <f aca="false">Tabella5279112479161820222426[[#This Row],[Colonna1]]*$Q3</f>
        <v>1.2</v>
      </c>
      <c r="T50" s="14"/>
      <c r="U50" s="14" t="n">
        <f aca="false">Tabella5279112479161820222426[[#This Row],[Colonna3]]*$Q3</f>
        <v>2</v>
      </c>
      <c r="V50" s="14" t="n">
        <f aca="false">Tabella5279112479161820222426[[#This Row],[Colonna4]]*$Q3</f>
        <v>0.4</v>
      </c>
      <c r="W50" s="14" t="n">
        <f aca="false">Tabella5279112479161820222426[[#This Row],[Colonna5]]*$Q3</f>
        <v>0.8</v>
      </c>
      <c r="X50" s="14" t="n">
        <f aca="false">Tabella5279112479161820222426[[#This Row],[Colonna6]]*$Q3</f>
        <v>0.4</v>
      </c>
      <c r="Y50" s="14" t="n">
        <f aca="false">Tabella5279112479161820222426[[#This Row],[Colonna7]]*$Q3</f>
        <v>4.4</v>
      </c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</v>
      </c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 t="n">
        <f aca="false">Tabella5279112479161820222426[[#This Row],[Colonna1]]*$Q3</f>
        <v>0.4</v>
      </c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SUM(G52,G50,G44,G41,G38,G22,G21)</f>
        <v>33</v>
      </c>
      <c r="H53" s="55" t="n">
        <f aca="false">SUM(H41,H38,H22,H21)</f>
        <v>12</v>
      </c>
      <c r="I53" s="55" t="n">
        <f aca="false">SUM(I50,I41,I38,I22,I21,I9)</f>
        <v>18</v>
      </c>
      <c r="J53" s="55" t="n">
        <f aca="false">SUM(J50,J44,J38,J22,J21)</f>
        <v>11</v>
      </c>
      <c r="K53" s="55" t="n">
        <f aca="false">SUM(K50,K47,K38,K21,K9)</f>
        <v>13</v>
      </c>
      <c r="L53" s="55" t="n">
        <f aca="false">SUM(L50,L47,L41,L21)</f>
        <v>8</v>
      </c>
      <c r="M53" s="55" t="n">
        <f aca="false">SUM(M50,M44,M38,M22,M21,M9)</f>
        <v>29</v>
      </c>
      <c r="P53" s="17" t="s">
        <v>60</v>
      </c>
      <c r="Q53" s="17"/>
      <c r="R53" s="17"/>
      <c r="S53" s="56" t="n">
        <f aca="false">Tabella5279112479161820222426[[#This Row],[Colonna1]]*$Q3</f>
        <v>13.2</v>
      </c>
      <c r="T53" s="56" t="n">
        <f aca="false">Tabella5279112479161820222426[[#This Row],[Colonna2]]*$Q3</f>
        <v>4.8</v>
      </c>
      <c r="U53" s="56" t="n">
        <f aca="false">Tabella5279112479161820222426[[#This Row],[Colonna3]]*$Q3</f>
        <v>7.2</v>
      </c>
      <c r="V53" s="56" t="n">
        <f aca="false">Tabella5279112479161820222426[[#This Row],[Colonna4]]*$Q3</f>
        <v>4.4</v>
      </c>
      <c r="W53" s="56" t="n">
        <f aca="false">Tabella5279112479161820222426[[#This Row],[Colonna5]]*$Q3</f>
        <v>5.2</v>
      </c>
      <c r="X53" s="56" t="n">
        <f aca="false">Tabella5279112479161820222426[[#This Row],[Colonna6]]*$Q3</f>
        <v>3.2</v>
      </c>
      <c r="Y53" s="56" t="n">
        <f aca="false">Tabella5279112479161820222426[[#This Row],[Colonna7]]*$Q3</f>
        <v>11.6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15</v>
      </c>
      <c r="H58" s="26" t="n">
        <v>12</v>
      </c>
      <c r="I58" s="26" t="n">
        <v>29</v>
      </c>
      <c r="J58" s="26" t="n">
        <v>19</v>
      </c>
      <c r="K58" s="26" t="n">
        <v>18</v>
      </c>
      <c r="L58" s="26" t="n">
        <v>5</v>
      </c>
      <c r="M58" s="26" t="n">
        <v>18</v>
      </c>
      <c r="P58" s="23" t="s">
        <v>62</v>
      </c>
      <c r="Q58" s="23"/>
      <c r="R58" s="23"/>
      <c r="S58" s="57" t="n">
        <f aca="false">G58*$Q3</f>
        <v>6</v>
      </c>
      <c r="T58" s="57" t="n">
        <f aca="false">H58*$Q3</f>
        <v>4.8</v>
      </c>
      <c r="U58" s="57" t="n">
        <f aca="false">I58*$Q3</f>
        <v>11.6</v>
      </c>
      <c r="V58" s="57" t="n">
        <f aca="false">J58*$Q3</f>
        <v>7.6</v>
      </c>
      <c r="W58" s="57" t="n">
        <f aca="false">K58*$Q3</f>
        <v>7.2</v>
      </c>
      <c r="X58" s="57" t="n">
        <f aca="false">L58*$Q3</f>
        <v>2</v>
      </c>
      <c r="Y58" s="57" t="n">
        <f aca="false">M58*$Q3</f>
        <v>7.2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 t="n">
        <v>1</v>
      </c>
      <c r="J62" s="26"/>
      <c r="K62" s="26" t="n">
        <v>1</v>
      </c>
      <c r="L62" s="26"/>
      <c r="M62" s="26"/>
      <c r="P62" s="9" t="s">
        <v>66</v>
      </c>
      <c r="Q62" s="9"/>
      <c r="R62" s="9"/>
      <c r="S62" s="57"/>
      <c r="T62" s="57"/>
      <c r="U62" s="57" t="n">
        <f aca="false">I62*$Q3</f>
        <v>0.4</v>
      </c>
      <c r="V62" s="57"/>
      <c r="W62" s="57" t="n">
        <f aca="false">K62*$Q3</f>
        <v>0.4</v>
      </c>
      <c r="X62" s="27"/>
      <c r="Y62" s="27"/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 t="n">
        <v>1</v>
      </c>
      <c r="J63" s="26"/>
      <c r="K63" s="26"/>
      <c r="L63" s="26"/>
      <c r="M63" s="26"/>
      <c r="P63" s="9" t="s">
        <v>67</v>
      </c>
      <c r="Q63" s="9"/>
      <c r="R63" s="9"/>
      <c r="S63" s="57"/>
      <c r="T63" s="27"/>
      <c r="U63" s="27" t="n">
        <f aca="false">I63*$Q3</f>
        <v>0.4</v>
      </c>
      <c r="V63" s="27"/>
      <c r="W63" s="27"/>
      <c r="X63" s="2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27"/>
      <c r="U64" s="27"/>
      <c r="V64" s="27"/>
      <c r="W64" s="27"/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2</v>
      </c>
      <c r="H65" s="26"/>
      <c r="I65" s="26"/>
      <c r="J65" s="26"/>
      <c r="K65" s="26"/>
      <c r="L65" s="26" t="n">
        <v>1</v>
      </c>
      <c r="M65" s="26"/>
      <c r="P65" s="9" t="s">
        <v>69</v>
      </c>
      <c r="Q65" s="9"/>
      <c r="R65" s="9"/>
      <c r="S65" s="57" t="n">
        <f aca="false">G65*$Q3</f>
        <v>0.8</v>
      </c>
      <c r="T65" s="57"/>
      <c r="U65" s="57"/>
      <c r="V65" s="57"/>
      <c r="W65" s="57"/>
      <c r="X65" s="57" t="n">
        <f aca="false">L65*$Q3</f>
        <v>0.4</v>
      </c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/>
      <c r="H67" s="26"/>
      <c r="I67" s="26"/>
      <c r="J67" s="26" t="n">
        <v>1</v>
      </c>
      <c r="K67" s="26" t="n">
        <v>2</v>
      </c>
      <c r="L67" s="26"/>
      <c r="M67" s="26"/>
      <c r="P67" s="9" t="s">
        <v>71</v>
      </c>
      <c r="Q67" s="9"/>
      <c r="R67" s="9"/>
      <c r="S67" s="57"/>
      <c r="T67" s="57"/>
      <c r="U67" s="57"/>
      <c r="V67" s="57"/>
      <c r="W67" s="27"/>
      <c r="X67" s="27"/>
      <c r="Y67" s="27"/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</v>
      </c>
      <c r="H68" s="30" t="n">
        <v>1</v>
      </c>
      <c r="I68" s="30"/>
      <c r="J68" s="30"/>
      <c r="K68" s="30" t="n">
        <v>1</v>
      </c>
      <c r="L68" s="30"/>
      <c r="M68" s="30" t="n">
        <v>2</v>
      </c>
      <c r="P68" s="9" t="s">
        <v>72</v>
      </c>
      <c r="Q68" s="9"/>
      <c r="R68" s="9"/>
      <c r="S68" s="59" t="n">
        <f aca="false">G68*$Q3</f>
        <v>0.4</v>
      </c>
      <c r="T68" s="59" t="n">
        <f aca="false">H68*$Q3</f>
        <v>0.4</v>
      </c>
      <c r="U68" s="59"/>
      <c r="V68" s="59"/>
      <c r="W68" s="59" t="n">
        <f aca="false">K68*$Q3</f>
        <v>0.4</v>
      </c>
      <c r="X68" s="59"/>
      <c r="Y68" s="59" t="n">
        <f aca="false">M68*$Q3</f>
        <v>0.8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19</v>
      </c>
      <c r="H69" s="30" t="n">
        <v>3</v>
      </c>
      <c r="I69" s="30" t="n">
        <v>8</v>
      </c>
      <c r="J69" s="30" t="n">
        <v>10</v>
      </c>
      <c r="K69" s="30" t="n">
        <v>10</v>
      </c>
      <c r="L69" s="30" t="n">
        <v>2</v>
      </c>
      <c r="M69" s="30" t="n">
        <v>8</v>
      </c>
      <c r="P69" s="9" t="s">
        <v>73</v>
      </c>
      <c r="Q69" s="9"/>
      <c r="R69" s="9"/>
      <c r="S69" s="59" t="n">
        <f aca="false">G69*$Q3</f>
        <v>7.6</v>
      </c>
      <c r="T69" s="59" t="n">
        <f aca="false">H69*$Q3</f>
        <v>1.2</v>
      </c>
      <c r="U69" s="59" t="n">
        <f aca="false">I69*$Q3</f>
        <v>3.2</v>
      </c>
      <c r="V69" s="59" t="n">
        <f aca="false">J69*$Q3</f>
        <v>4</v>
      </c>
      <c r="W69" s="59" t="n">
        <f aca="false">K69*$Q3</f>
        <v>4</v>
      </c>
      <c r="X69" s="59" t="n">
        <f aca="false">L69*$Q3</f>
        <v>0.8</v>
      </c>
      <c r="Y69" s="59" t="n">
        <f aca="false">M69*$Q3</f>
        <v>3.2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SUM(G69,G68,G65,G58)</f>
        <v>37</v>
      </c>
      <c r="H70" s="60" t="n">
        <f aca="false">SUM(H58,H68,H69)</f>
        <v>16</v>
      </c>
      <c r="I70" s="60" t="n">
        <f aca="false">SUM(I69,I63,I62,I58)</f>
        <v>39</v>
      </c>
      <c r="J70" s="60" t="n">
        <f aca="false">SUM(J69,J67,J58)</f>
        <v>30</v>
      </c>
      <c r="K70" s="12" t="n">
        <f aca="false">SUM(K69,K68,K67,K62,K58)</f>
        <v>32</v>
      </c>
      <c r="L70" s="12" t="n">
        <f aca="false">SUM(L69,L65,L58)</f>
        <v>8</v>
      </c>
      <c r="M70" s="12" t="n">
        <f aca="false">SUM(M69,M68,M58)</f>
        <v>28</v>
      </c>
      <c r="P70" s="9" t="s">
        <v>60</v>
      </c>
      <c r="Q70" s="9"/>
      <c r="R70" s="9"/>
      <c r="S70" s="61" t="n">
        <f aca="false">G70*$Q3</f>
        <v>14.8</v>
      </c>
      <c r="T70" s="61" t="n">
        <f aca="false">H70*$Q3</f>
        <v>6.4</v>
      </c>
      <c r="U70" s="61" t="n">
        <f aca="false">I70*$Q3</f>
        <v>15.6</v>
      </c>
      <c r="V70" s="61" t="n">
        <f aca="false">J70*$Q3</f>
        <v>12</v>
      </c>
      <c r="W70" s="61" t="n">
        <f aca="false">K70*$Q3</f>
        <v>12.8</v>
      </c>
      <c r="X70" s="61" t="n">
        <f aca="false">L70*$Q3</f>
        <v>3.2</v>
      </c>
      <c r="Y70" s="61" t="n">
        <f aca="false">M70*$Q3</f>
        <v>11.2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 t="n">
        <v>44963</v>
      </c>
      <c r="G77" s="75"/>
      <c r="H77" s="76" t="n">
        <v>0.1</v>
      </c>
      <c r="I77" s="76" t="n">
        <v>8.1</v>
      </c>
      <c r="J77" s="76" t="n">
        <v>4.7</v>
      </c>
      <c r="K77" s="76" t="n">
        <v>8.1</v>
      </c>
      <c r="L77" s="76" t="n">
        <v>0</v>
      </c>
      <c r="M77" s="76" t="n">
        <v>4.05</v>
      </c>
      <c r="N77" s="76"/>
      <c r="O77" s="76" t="n">
        <v>83</v>
      </c>
      <c r="P77" s="76" t="n">
        <v>42</v>
      </c>
      <c r="Q77" s="76" t="n">
        <v>53</v>
      </c>
      <c r="R77" s="76" t="n">
        <v>59.3</v>
      </c>
      <c r="S77" s="76" t="n">
        <v>85</v>
      </c>
      <c r="T77" s="76" t="n">
        <v>40</v>
      </c>
      <c r="U77" s="76"/>
      <c r="V77" s="77" t="n">
        <v>0</v>
      </c>
    </row>
    <row r="78" customFormat="false" ht="15" hidden="false" customHeight="false" outlineLevel="0" collapsed="false">
      <c r="F78" s="38" t="n">
        <v>44964</v>
      </c>
      <c r="G78" s="38"/>
      <c r="H78" s="78" t="n">
        <v>-0.5</v>
      </c>
      <c r="I78" s="78" t="n">
        <v>6.2</v>
      </c>
      <c r="J78" s="78" t="n">
        <v>3.6</v>
      </c>
      <c r="K78" s="78" t="n">
        <v>7.1</v>
      </c>
      <c r="L78" s="78" t="n">
        <v>-0.5</v>
      </c>
      <c r="M78" s="78" t="n">
        <v>3.3</v>
      </c>
      <c r="N78" s="78"/>
      <c r="O78" s="78" t="n">
        <v>68</v>
      </c>
      <c r="P78" s="78" t="n">
        <v>40</v>
      </c>
      <c r="Q78" s="78" t="n">
        <v>47</v>
      </c>
      <c r="R78" s="78" t="n">
        <v>51.7</v>
      </c>
      <c r="S78" s="78" t="n">
        <v>70</v>
      </c>
      <c r="T78" s="78" t="n">
        <v>37</v>
      </c>
      <c r="U78" s="78"/>
      <c r="V78" s="79" t="n">
        <v>0</v>
      </c>
    </row>
    <row r="79" customFormat="false" ht="15" hidden="false" customHeight="false" outlineLevel="0" collapsed="false">
      <c r="F79" s="38" t="n">
        <v>44965</v>
      </c>
      <c r="G79" s="38"/>
      <c r="H79" s="78" t="n">
        <v>-2.2</v>
      </c>
      <c r="I79" s="78" t="n">
        <v>5.6</v>
      </c>
      <c r="J79" s="78" t="n">
        <v>2.9</v>
      </c>
      <c r="K79" s="78" t="n">
        <v>6</v>
      </c>
      <c r="L79" s="78" t="n">
        <v>-2.9</v>
      </c>
      <c r="M79" s="78" t="n">
        <v>1.55</v>
      </c>
      <c r="N79" s="78"/>
      <c r="O79" s="78" t="n">
        <v>70</v>
      </c>
      <c r="P79" s="78" t="n">
        <v>46</v>
      </c>
      <c r="Q79" s="78" t="n">
        <v>51</v>
      </c>
      <c r="R79" s="78" t="n">
        <v>55.7</v>
      </c>
      <c r="S79" s="78" t="n">
        <v>74</v>
      </c>
      <c r="T79" s="78" t="n">
        <v>44</v>
      </c>
      <c r="U79" s="78"/>
      <c r="V79" s="79" t="n">
        <v>0</v>
      </c>
    </row>
    <row r="80" customFormat="false" ht="15" hidden="false" customHeight="false" outlineLevel="0" collapsed="false">
      <c r="F80" s="38" t="n">
        <v>44966</v>
      </c>
      <c r="G80" s="38"/>
      <c r="H80" s="78" t="n">
        <v>0.4</v>
      </c>
      <c r="I80" s="78" t="n">
        <v>5.2</v>
      </c>
      <c r="J80" s="78" t="n">
        <v>2.9</v>
      </c>
      <c r="K80" s="78" t="n">
        <v>5.8</v>
      </c>
      <c r="L80" s="78" t="n">
        <v>-0.4</v>
      </c>
      <c r="M80" s="78" t="n">
        <v>2.7</v>
      </c>
      <c r="N80" s="78"/>
      <c r="O80" s="78" t="n">
        <v>52</v>
      </c>
      <c r="P80" s="78" t="n">
        <v>38</v>
      </c>
      <c r="Q80" s="78" t="n">
        <v>39</v>
      </c>
      <c r="R80" s="78" t="n">
        <v>43</v>
      </c>
      <c r="S80" s="78" t="n">
        <v>56</v>
      </c>
      <c r="T80" s="78" t="n">
        <v>34</v>
      </c>
      <c r="U80" s="78"/>
      <c r="V80" s="79" t="n">
        <v>0</v>
      </c>
    </row>
    <row r="81" customFormat="false" ht="15" hidden="false" customHeight="false" outlineLevel="0" collapsed="false">
      <c r="F81" s="38" t="n">
        <v>44967</v>
      </c>
      <c r="G81" s="38"/>
      <c r="H81" s="78" t="n">
        <v>-1.2</v>
      </c>
      <c r="I81" s="78" t="n">
        <v>7.5</v>
      </c>
      <c r="J81" s="78" t="n">
        <v>4</v>
      </c>
      <c r="K81" s="78" t="n">
        <v>8.3</v>
      </c>
      <c r="L81" s="78" t="n">
        <v>-1.6</v>
      </c>
      <c r="M81" s="78" t="n">
        <v>3.35</v>
      </c>
      <c r="N81" s="78"/>
      <c r="O81" s="78" t="n">
        <v>55</v>
      </c>
      <c r="P81" s="78" t="n">
        <v>40</v>
      </c>
      <c r="Q81" s="78" t="n">
        <v>46</v>
      </c>
      <c r="R81" s="78" t="n">
        <v>47</v>
      </c>
      <c r="S81" s="78" t="n">
        <v>57</v>
      </c>
      <c r="T81" s="78" t="n">
        <v>33</v>
      </c>
      <c r="U81" s="78"/>
      <c r="V81" s="79" t="n">
        <v>0</v>
      </c>
    </row>
    <row r="82" customFormat="false" ht="15" hidden="false" customHeight="false" outlineLevel="0" collapsed="false">
      <c r="F82" s="38" t="n">
        <v>44968</v>
      </c>
      <c r="G82" s="38"/>
      <c r="H82" s="78" t="n">
        <v>-0.4</v>
      </c>
      <c r="I82" s="78" t="n">
        <v>9.5</v>
      </c>
      <c r="J82" s="78" t="n">
        <v>6</v>
      </c>
      <c r="K82" s="78" t="n">
        <v>10.4</v>
      </c>
      <c r="L82" s="78" t="n">
        <v>-0.8</v>
      </c>
      <c r="M82" s="78" t="n">
        <v>4.8</v>
      </c>
      <c r="N82" s="78"/>
      <c r="O82" s="78" t="n">
        <v>53</v>
      </c>
      <c r="P82" s="78" t="n">
        <v>33</v>
      </c>
      <c r="Q82" s="78" t="n">
        <v>43</v>
      </c>
      <c r="R82" s="78" t="n">
        <v>43</v>
      </c>
      <c r="S82" s="78" t="n">
        <v>55</v>
      </c>
      <c r="T82" s="78" t="n">
        <v>30</v>
      </c>
      <c r="U82" s="78"/>
      <c r="V82" s="79" t="n">
        <v>0</v>
      </c>
    </row>
    <row r="83" customFormat="false" ht="15" hidden="false" customHeight="false" outlineLevel="0" collapsed="false">
      <c r="F83" s="45" t="n">
        <v>44969</v>
      </c>
      <c r="G83" s="45"/>
      <c r="H83" s="80" t="n">
        <v>2</v>
      </c>
      <c r="I83" s="80" t="n">
        <v>13</v>
      </c>
      <c r="J83" s="80" t="n">
        <v>9.2</v>
      </c>
      <c r="K83" s="80" t="n">
        <v>13.4</v>
      </c>
      <c r="L83" s="80" t="n">
        <v>1.4</v>
      </c>
      <c r="M83" s="80" t="n">
        <v>7.4</v>
      </c>
      <c r="N83" s="80"/>
      <c r="O83" s="80" t="n">
        <v>59</v>
      </c>
      <c r="P83" s="80" t="n">
        <v>35</v>
      </c>
      <c r="Q83" s="80" t="n">
        <v>40</v>
      </c>
      <c r="R83" s="80" t="n">
        <v>44.7</v>
      </c>
      <c r="S83" s="80" t="n">
        <v>66</v>
      </c>
      <c r="T83" s="80" t="n">
        <v>28</v>
      </c>
      <c r="U83" s="80"/>
      <c r="V83" s="81" t="n">
        <v>0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J37" colorId="64" zoomScale="100" zoomScaleNormal="100" zoomScalePageLayoutView="100" workbookViewId="0">
      <selection pane="topLeft" activeCell="L89" activeCellId="0" sqref="L89"/>
    </sheetView>
  </sheetViews>
  <sheetFormatPr defaultColWidth="8.859375" defaultRowHeight="15" customHeight="true" zeroHeight="false" outlineLevelRow="0" outlineLevelCol="0"/>
  <cols>
    <col collapsed="false" customWidth="true" hidden="false" outlineLevel="0" max="6" min="6" style="1" width="10.14"/>
  </cols>
  <sheetData>
    <row r="3" customFormat="false" ht="15" hidden="false" customHeight="false" outlineLevel="0" collapsed="false">
      <c r="G3" s="2" t="s">
        <v>0</v>
      </c>
      <c r="H3" s="3" t="s">
        <v>90</v>
      </c>
      <c r="I3" s="2" t="s">
        <v>2</v>
      </c>
      <c r="J3" s="4" t="n">
        <v>44970</v>
      </c>
      <c r="K3" s="5" t="n">
        <v>44976</v>
      </c>
      <c r="L3" s="6" t="s">
        <v>3</v>
      </c>
      <c r="M3" s="3" t="n">
        <v>2023</v>
      </c>
      <c r="P3" s="7" t="s">
        <v>4</v>
      </c>
      <c r="Q3" s="7" t="n">
        <v>0.4</v>
      </c>
      <c r="S3" s="2" t="s">
        <v>0</v>
      </c>
      <c r="T3" s="3" t="s">
        <v>90</v>
      </c>
      <c r="U3" s="2" t="s">
        <v>2</v>
      </c>
      <c r="V3" s="4" t="n">
        <v>44970</v>
      </c>
      <c r="W3" s="5" t="n">
        <v>44976</v>
      </c>
      <c r="X3" s="6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 t="n">
        <v>1</v>
      </c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</v>
      </c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/>
      <c r="T22" s="14"/>
      <c r="U22" s="14"/>
      <c r="V22" s="14"/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1</v>
      </c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3"/>
      <c r="L44" s="13"/>
      <c r="M44" s="13"/>
      <c r="P44" s="12" t="s">
        <v>51</v>
      </c>
      <c r="Q44" s="12"/>
      <c r="R44" s="12"/>
      <c r="S44" s="14"/>
      <c r="T44" s="14"/>
      <c r="U44" s="14"/>
      <c r="V44" s="14"/>
      <c r="W44" s="14"/>
      <c r="X44" s="14"/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/>
      <c r="H53" s="55"/>
      <c r="I53" s="55"/>
      <c r="J53" s="55"/>
      <c r="K53" s="55"/>
      <c r="L53" s="55"/>
      <c r="M53" s="55"/>
      <c r="P53" s="17" t="s">
        <v>60</v>
      </c>
      <c r="Q53" s="17"/>
      <c r="R53" s="17"/>
      <c r="S53" s="56"/>
      <c r="T53" s="56"/>
      <c r="U53" s="56"/>
      <c r="V53" s="56"/>
      <c r="W53" s="56"/>
      <c r="X53" s="56"/>
      <c r="Y53" s="56"/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4</v>
      </c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/>
      <c r="T58" s="57"/>
      <c r="U58" s="57"/>
      <c r="V58" s="57"/>
      <c r="W58" s="27"/>
      <c r="X58" s="27"/>
      <c r="Y58" s="27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/>
      <c r="T62" s="57"/>
      <c r="U62" s="57"/>
      <c r="V62" s="57"/>
      <c r="W62" s="27"/>
      <c r="X62" s="27"/>
      <c r="Y62" s="27"/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/>
      <c r="K63" s="26"/>
      <c r="L63" s="26"/>
      <c r="M63" s="26"/>
      <c r="P63" s="9" t="s">
        <v>67</v>
      </c>
      <c r="Q63" s="9"/>
      <c r="R63" s="9"/>
      <c r="S63" s="57"/>
      <c r="T63" s="27"/>
      <c r="U63" s="27"/>
      <c r="V63" s="27"/>
      <c r="W63" s="27"/>
      <c r="X63" s="2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27"/>
      <c r="U64" s="27"/>
      <c r="V64" s="27"/>
      <c r="W64" s="27"/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/>
      <c r="J65" s="26"/>
      <c r="K65" s="26"/>
      <c r="L65" s="26"/>
      <c r="M65" s="26"/>
      <c r="P65" s="9" t="s">
        <v>69</v>
      </c>
      <c r="Q65" s="9"/>
      <c r="R65" s="9"/>
      <c r="S65" s="57"/>
      <c r="T65" s="27"/>
      <c r="U65" s="27"/>
      <c r="V65" s="27"/>
      <c r="W65" s="27"/>
      <c r="X65" s="2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/>
      <c r="H67" s="26"/>
      <c r="I67" s="26"/>
      <c r="J67" s="26"/>
      <c r="K67" s="26"/>
      <c r="L67" s="26"/>
      <c r="M67" s="26"/>
      <c r="P67" s="9" t="s">
        <v>71</v>
      </c>
      <c r="Q67" s="9"/>
      <c r="R67" s="9"/>
      <c r="S67" s="57"/>
      <c r="T67" s="57"/>
      <c r="U67" s="57"/>
      <c r="V67" s="57"/>
      <c r="W67" s="27"/>
      <c r="X67" s="27"/>
      <c r="Y67" s="2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9"/>
      <c r="T68" s="59"/>
      <c r="U68" s="59"/>
      <c r="V68" s="59"/>
      <c r="W68" s="31"/>
      <c r="X68" s="31"/>
      <c r="Y68" s="31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</v>
      </c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9"/>
      <c r="T69" s="31"/>
      <c r="U69" s="31"/>
      <c r="V69" s="31"/>
      <c r="W69" s="31"/>
      <c r="X69" s="31"/>
      <c r="Y69" s="31"/>
    </row>
    <row r="70" customFormat="false" ht="15" hidden="false" customHeight="false" outlineLevel="0" collapsed="false">
      <c r="D70" s="9" t="s">
        <v>60</v>
      </c>
      <c r="E70" s="9"/>
      <c r="F70" s="9"/>
      <c r="G70" s="60"/>
      <c r="H70" s="60"/>
      <c r="I70" s="60"/>
      <c r="J70" s="60"/>
      <c r="K70" s="12"/>
      <c r="L70" s="12"/>
      <c r="M70" s="12"/>
      <c r="P70" s="9" t="s">
        <v>60</v>
      </c>
      <c r="Q70" s="9"/>
      <c r="R70" s="9"/>
      <c r="S70" s="61"/>
      <c r="T70" s="61"/>
      <c r="U70" s="61"/>
      <c r="V70" s="61"/>
      <c r="W70" s="32"/>
      <c r="X70" s="32"/>
      <c r="Y70" s="32"/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 t="n">
        <v>44970</v>
      </c>
      <c r="G77" s="75"/>
      <c r="H77" s="103" t="n">
        <v>1.5</v>
      </c>
      <c r="I77" s="103" t="n">
        <v>12</v>
      </c>
      <c r="J77" s="103" t="n">
        <v>8</v>
      </c>
      <c r="K77" s="103" t="n">
        <v>13.6</v>
      </c>
      <c r="L77" s="103" t="n">
        <v>1.3</v>
      </c>
      <c r="M77" s="103" t="n">
        <v>7.45</v>
      </c>
      <c r="N77" s="104"/>
      <c r="O77" s="103" t="n">
        <v>75</v>
      </c>
      <c r="P77" s="103" t="n">
        <v>43</v>
      </c>
      <c r="Q77" s="103" t="n">
        <v>55</v>
      </c>
      <c r="R77" s="103" t="n">
        <v>57.7</v>
      </c>
      <c r="S77" s="104" t="n">
        <v>77</v>
      </c>
      <c r="T77" s="104" t="n">
        <v>40</v>
      </c>
      <c r="U77" s="104"/>
      <c r="V77" s="105" t="n">
        <v>0</v>
      </c>
    </row>
    <row r="78" customFormat="false" ht="15" hidden="false" customHeight="false" outlineLevel="0" collapsed="false">
      <c r="F78" s="38" t="n">
        <v>44971</v>
      </c>
      <c r="G78" s="38"/>
      <c r="H78" s="106" t="n">
        <v>3.7</v>
      </c>
      <c r="I78" s="106" t="n">
        <v>14.8</v>
      </c>
      <c r="J78" s="106" t="n">
        <v>10</v>
      </c>
      <c r="K78" s="106" t="n">
        <v>16.5</v>
      </c>
      <c r="L78" s="106" t="n">
        <v>3.2</v>
      </c>
      <c r="M78" s="106" t="n">
        <v>9.85</v>
      </c>
      <c r="N78" s="107"/>
      <c r="O78" s="106" t="n">
        <v>69</v>
      </c>
      <c r="P78" s="106" t="n">
        <v>38</v>
      </c>
      <c r="Q78" s="106" t="n">
        <v>52</v>
      </c>
      <c r="R78" s="106" t="n">
        <v>53</v>
      </c>
      <c r="S78" s="107" t="n">
        <v>73</v>
      </c>
      <c r="T78" s="107" t="n">
        <v>34</v>
      </c>
      <c r="U78" s="107"/>
      <c r="V78" s="108" t="n">
        <v>0</v>
      </c>
    </row>
    <row r="79" customFormat="false" ht="15" hidden="false" customHeight="false" outlineLevel="0" collapsed="false">
      <c r="F79" s="38" t="n">
        <v>44972</v>
      </c>
      <c r="G79" s="38"/>
      <c r="H79" s="106" t="n">
        <v>4.6</v>
      </c>
      <c r="I79" s="106" t="n">
        <v>16</v>
      </c>
      <c r="J79" s="106" t="n">
        <v>11.2</v>
      </c>
      <c r="K79" s="106" t="n">
        <v>17.8</v>
      </c>
      <c r="L79" s="106" t="n">
        <v>4.4</v>
      </c>
      <c r="M79" s="106" t="n">
        <v>11.1</v>
      </c>
      <c r="N79" s="107"/>
      <c r="O79" s="106" t="n">
        <v>62</v>
      </c>
      <c r="P79" s="106" t="n">
        <v>38</v>
      </c>
      <c r="Q79" s="106" t="n">
        <v>53</v>
      </c>
      <c r="R79" s="106" t="n">
        <v>51</v>
      </c>
      <c r="S79" s="107" t="n">
        <v>67</v>
      </c>
      <c r="T79" s="107" t="n">
        <v>33</v>
      </c>
      <c r="U79" s="107"/>
      <c r="V79" s="108" t="n">
        <v>0</v>
      </c>
    </row>
    <row r="80" customFormat="false" ht="15" hidden="false" customHeight="false" outlineLevel="0" collapsed="false">
      <c r="F80" s="38" t="n">
        <v>44973</v>
      </c>
      <c r="G80" s="38"/>
      <c r="H80" s="106" t="n">
        <v>4.2</v>
      </c>
      <c r="I80" s="106" t="n">
        <v>14</v>
      </c>
      <c r="J80" s="106" t="n">
        <v>11.5</v>
      </c>
      <c r="K80" s="106" t="n">
        <v>15.1</v>
      </c>
      <c r="L80" s="106" t="n">
        <v>3.7</v>
      </c>
      <c r="M80" s="106" t="n">
        <v>9.4</v>
      </c>
      <c r="N80" s="107"/>
      <c r="O80" s="106" t="n">
        <v>60</v>
      </c>
      <c r="P80" s="106" t="n">
        <v>53</v>
      </c>
      <c r="Q80" s="106" t="n">
        <v>58</v>
      </c>
      <c r="R80" s="106" t="n">
        <v>57</v>
      </c>
      <c r="S80" s="107" t="n">
        <v>67</v>
      </c>
      <c r="T80" s="107" t="n">
        <v>48</v>
      </c>
      <c r="U80" s="107"/>
      <c r="V80" s="108" t="n">
        <v>0</v>
      </c>
    </row>
    <row r="81" customFormat="false" ht="15" hidden="false" customHeight="false" outlineLevel="0" collapsed="false">
      <c r="F81" s="38" t="n">
        <v>44974</v>
      </c>
      <c r="G81" s="38"/>
      <c r="H81" s="106" t="n">
        <v>4.7</v>
      </c>
      <c r="I81" s="106" t="n">
        <v>15</v>
      </c>
      <c r="J81" s="106" t="n">
        <v>11.8</v>
      </c>
      <c r="K81" s="106" t="n">
        <v>15.9</v>
      </c>
      <c r="L81" s="106" t="n">
        <v>4.5</v>
      </c>
      <c r="M81" s="106" t="n">
        <v>10.2</v>
      </c>
      <c r="N81" s="107"/>
      <c r="O81" s="106" t="n">
        <v>77</v>
      </c>
      <c r="P81" s="106" t="n">
        <v>50</v>
      </c>
      <c r="Q81" s="106" t="n">
        <v>60</v>
      </c>
      <c r="R81" s="107" t="n">
        <v>62.3</v>
      </c>
      <c r="S81" s="107" t="n">
        <v>78</v>
      </c>
      <c r="T81" s="107" t="n">
        <v>46</v>
      </c>
      <c r="U81" s="107"/>
      <c r="V81" s="108" t="n">
        <v>0</v>
      </c>
    </row>
    <row r="82" customFormat="false" ht="15" hidden="false" customHeight="false" outlineLevel="0" collapsed="false">
      <c r="F82" s="38" t="n">
        <v>44975</v>
      </c>
      <c r="G82" s="38"/>
      <c r="H82" s="106" t="n">
        <v>5.2</v>
      </c>
      <c r="I82" s="106" t="n">
        <v>14.5</v>
      </c>
      <c r="J82" s="106" t="n">
        <v>12.9</v>
      </c>
      <c r="K82" s="106" t="n">
        <v>16.4</v>
      </c>
      <c r="L82" s="106" t="n">
        <v>5</v>
      </c>
      <c r="M82" s="106" t="n">
        <v>10.7</v>
      </c>
      <c r="N82" s="107"/>
      <c r="O82" s="106" t="n">
        <v>75</v>
      </c>
      <c r="P82" s="106" t="n">
        <v>52</v>
      </c>
      <c r="Q82" s="106" t="n">
        <v>54</v>
      </c>
      <c r="R82" s="106" t="n">
        <v>60.3</v>
      </c>
      <c r="S82" s="107" t="n">
        <v>82</v>
      </c>
      <c r="T82" s="107" t="n">
        <v>48</v>
      </c>
      <c r="U82" s="107"/>
      <c r="V82" s="108" t="n">
        <v>0</v>
      </c>
    </row>
    <row r="83" customFormat="false" ht="15" hidden="false" customHeight="false" outlineLevel="0" collapsed="false">
      <c r="F83" s="45" t="n">
        <v>44976</v>
      </c>
      <c r="G83" s="45"/>
      <c r="H83" s="109" t="n">
        <v>5.1</v>
      </c>
      <c r="I83" s="109" t="n">
        <v>14</v>
      </c>
      <c r="J83" s="109" t="n">
        <v>12</v>
      </c>
      <c r="K83" s="109" t="n">
        <v>15.3</v>
      </c>
      <c r="L83" s="109" t="n">
        <v>5</v>
      </c>
      <c r="M83" s="109" t="n">
        <v>10.15</v>
      </c>
      <c r="N83" s="110"/>
      <c r="O83" s="109" t="n">
        <v>84</v>
      </c>
      <c r="P83" s="109" t="n">
        <v>60</v>
      </c>
      <c r="Q83" s="109" t="n">
        <v>70</v>
      </c>
      <c r="R83" s="109" t="n">
        <v>71.3</v>
      </c>
      <c r="S83" s="110" t="n">
        <v>88</v>
      </c>
      <c r="T83" s="110" t="n">
        <v>56</v>
      </c>
      <c r="U83" s="110"/>
      <c r="V83" s="111" t="n">
        <v>0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K77" activeCellId="0" sqref="K77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44977</v>
      </c>
      <c r="K3" s="5" t="n">
        <v>44983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44977</v>
      </c>
      <c r="W3" s="5" t="n">
        <v>44983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121" t="s">
        <v>5</v>
      </c>
      <c r="E5" s="121"/>
      <c r="F5" s="121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121" t="s">
        <v>5</v>
      </c>
      <c r="Q5" s="121"/>
      <c r="R5" s="121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9" t="s">
        <v>14</v>
      </c>
      <c r="E7" s="9"/>
      <c r="F7" s="9"/>
      <c r="G7" s="13"/>
      <c r="H7" s="13"/>
      <c r="I7" s="13"/>
      <c r="J7" s="13"/>
      <c r="K7" s="13"/>
      <c r="L7" s="13"/>
      <c r="M7" s="13"/>
      <c r="P7" s="9" t="s">
        <v>14</v>
      </c>
      <c r="Q7" s="9"/>
      <c r="R7" s="9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9" t="s">
        <v>15</v>
      </c>
      <c r="E8" s="9"/>
      <c r="F8" s="9"/>
      <c r="G8" s="13"/>
      <c r="H8" s="13"/>
      <c r="I8" s="13"/>
      <c r="J8" s="13"/>
      <c r="K8" s="13"/>
      <c r="L8" s="13"/>
      <c r="M8" s="13"/>
      <c r="P8" s="9" t="s">
        <v>15</v>
      </c>
      <c r="Q8" s="9"/>
      <c r="R8" s="9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9" t="s">
        <v>16</v>
      </c>
      <c r="E9" s="9"/>
      <c r="F9" s="9"/>
      <c r="G9" s="13"/>
      <c r="H9" s="13"/>
      <c r="I9" s="13"/>
      <c r="J9" s="13"/>
      <c r="K9" s="13"/>
      <c r="L9" s="13"/>
      <c r="M9" s="13"/>
      <c r="P9" s="9" t="s">
        <v>16</v>
      </c>
      <c r="Q9" s="9"/>
      <c r="R9" s="9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9" t="s">
        <v>17</v>
      </c>
      <c r="E10" s="9"/>
      <c r="F10" s="9"/>
      <c r="G10" s="13"/>
      <c r="H10" s="13"/>
      <c r="I10" s="13"/>
      <c r="J10" s="13"/>
      <c r="K10" s="13"/>
      <c r="L10" s="13"/>
      <c r="M10" s="13"/>
      <c r="P10" s="9" t="s">
        <v>17</v>
      </c>
      <c r="Q10" s="9"/>
      <c r="R10" s="9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9" t="s">
        <v>19</v>
      </c>
      <c r="E12" s="9"/>
      <c r="F12" s="9"/>
      <c r="G12" s="13"/>
      <c r="H12" s="13"/>
      <c r="I12" s="13"/>
      <c r="J12" s="13"/>
      <c r="K12" s="13"/>
      <c r="L12" s="13"/>
      <c r="M12" s="13"/>
      <c r="P12" s="9" t="s">
        <v>19</v>
      </c>
      <c r="Q12" s="9"/>
      <c r="R12" s="9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9" t="s">
        <v>20</v>
      </c>
      <c r="E13" s="9"/>
      <c r="F13" s="9"/>
      <c r="G13" s="13"/>
      <c r="H13" s="13"/>
      <c r="I13" s="13"/>
      <c r="J13" s="13"/>
      <c r="K13" s="13"/>
      <c r="L13" s="13"/>
      <c r="M13" s="13"/>
      <c r="P13" s="9" t="s">
        <v>20</v>
      </c>
      <c r="Q13" s="9"/>
      <c r="R13" s="9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9" t="s">
        <v>21</v>
      </c>
      <c r="E14" s="9"/>
      <c r="F14" s="9"/>
      <c r="G14" s="13"/>
      <c r="H14" s="13"/>
      <c r="I14" s="13"/>
      <c r="J14" s="13"/>
      <c r="K14" s="13"/>
      <c r="L14" s="13"/>
      <c r="M14" s="13"/>
      <c r="P14" s="9" t="s">
        <v>21</v>
      </c>
      <c r="Q14" s="9"/>
      <c r="R14" s="9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9" t="s">
        <v>22</v>
      </c>
      <c r="E15" s="9"/>
      <c r="F15" s="9"/>
      <c r="G15" s="13"/>
      <c r="H15" s="13"/>
      <c r="I15" s="13"/>
      <c r="J15" s="13"/>
      <c r="K15" s="13"/>
      <c r="L15" s="13"/>
      <c r="M15" s="13"/>
      <c r="P15" s="9" t="s">
        <v>22</v>
      </c>
      <c r="Q15" s="9"/>
      <c r="R15" s="9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9" t="s">
        <v>23</v>
      </c>
      <c r="E16" s="9"/>
      <c r="F16" s="9"/>
      <c r="G16" s="13"/>
      <c r="H16" s="13"/>
      <c r="I16" s="13"/>
      <c r="J16" s="13"/>
      <c r="K16" s="13"/>
      <c r="L16" s="13"/>
      <c r="M16" s="13"/>
      <c r="P16" s="9" t="s">
        <v>23</v>
      </c>
      <c r="Q16" s="9"/>
      <c r="R16" s="9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22" t="s">
        <v>24</v>
      </c>
      <c r="E17" s="122"/>
      <c r="F17" s="122"/>
      <c r="G17" s="13"/>
      <c r="H17" s="13"/>
      <c r="I17" s="13"/>
      <c r="J17" s="13"/>
      <c r="K17" s="13"/>
      <c r="L17" s="13"/>
      <c r="M17" s="13"/>
      <c r="P17" s="122" t="s">
        <v>24</v>
      </c>
      <c r="Q17" s="122"/>
      <c r="R17" s="122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9" t="s">
        <v>25</v>
      </c>
      <c r="E18" s="9"/>
      <c r="F18" s="9"/>
      <c r="G18" s="13"/>
      <c r="H18" s="13"/>
      <c r="I18" s="13"/>
      <c r="J18" s="13"/>
      <c r="K18" s="13"/>
      <c r="L18" s="13"/>
      <c r="M18" s="13"/>
      <c r="P18" s="9" t="s">
        <v>25</v>
      </c>
      <c r="Q18" s="9"/>
      <c r="R18" s="9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8" t="s">
        <v>28</v>
      </c>
      <c r="E21" s="18"/>
      <c r="F21" s="18"/>
      <c r="G21" s="13"/>
      <c r="H21" s="13"/>
      <c r="I21" s="13"/>
      <c r="J21" s="13"/>
      <c r="K21" s="13"/>
      <c r="L21" s="13"/>
      <c r="M21" s="13"/>
      <c r="P21" s="18" t="s">
        <v>28</v>
      </c>
      <c r="Q21" s="18"/>
      <c r="R21" s="18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9" t="s">
        <v>29</v>
      </c>
      <c r="E22" s="9"/>
      <c r="F22" s="9"/>
      <c r="G22" s="13"/>
      <c r="H22" s="13"/>
      <c r="I22" s="13"/>
      <c r="J22" s="13"/>
      <c r="K22" s="13"/>
      <c r="L22" s="13"/>
      <c r="M22" s="13"/>
      <c r="P22" s="9" t="s">
        <v>29</v>
      </c>
      <c r="Q22" s="9"/>
      <c r="R22" s="9"/>
      <c r="S22" s="14"/>
      <c r="T22" s="14"/>
      <c r="U22" s="14"/>
      <c r="V22" s="14"/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9" t="s">
        <v>32</v>
      </c>
      <c r="E25" s="9"/>
      <c r="F25" s="9"/>
      <c r="G25" s="13"/>
      <c r="H25" s="13"/>
      <c r="I25" s="13"/>
      <c r="J25" s="13"/>
      <c r="K25" s="13"/>
      <c r="L25" s="13"/>
      <c r="M25" s="13"/>
      <c r="P25" s="9" t="s">
        <v>32</v>
      </c>
      <c r="Q25" s="9"/>
      <c r="R25" s="9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9" t="s">
        <v>33</v>
      </c>
      <c r="E26" s="9"/>
      <c r="F26" s="9"/>
      <c r="G26" s="13"/>
      <c r="H26" s="13"/>
      <c r="I26" s="13"/>
      <c r="J26" s="13"/>
      <c r="K26" s="13"/>
      <c r="L26" s="13"/>
      <c r="M26" s="13"/>
      <c r="P26" s="9" t="s">
        <v>33</v>
      </c>
      <c r="Q26" s="9"/>
      <c r="R26" s="9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9" t="s">
        <v>34</v>
      </c>
      <c r="E27" s="9"/>
      <c r="F27" s="9"/>
      <c r="G27" s="13"/>
      <c r="H27" s="13"/>
      <c r="I27" s="13"/>
      <c r="J27" s="13"/>
      <c r="K27" s="13"/>
      <c r="L27" s="13"/>
      <c r="M27" s="13"/>
      <c r="P27" s="9" t="s">
        <v>34</v>
      </c>
      <c r="Q27" s="9"/>
      <c r="R27" s="9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9" t="s">
        <v>35</v>
      </c>
      <c r="E28" s="9"/>
      <c r="F28" s="9"/>
      <c r="G28" s="13"/>
      <c r="H28" s="13"/>
      <c r="I28" s="13"/>
      <c r="J28" s="13"/>
      <c r="K28" s="13"/>
      <c r="L28" s="13"/>
      <c r="M28" s="13"/>
      <c r="P28" s="9" t="s">
        <v>35</v>
      </c>
      <c r="Q28" s="9"/>
      <c r="R28" s="9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9" t="s">
        <v>36</v>
      </c>
      <c r="E29" s="9"/>
      <c r="F29" s="9"/>
      <c r="G29" s="13"/>
      <c r="H29" s="13"/>
      <c r="I29" s="13"/>
      <c r="J29" s="13"/>
      <c r="K29" s="13"/>
      <c r="L29" s="13"/>
      <c r="M29" s="13"/>
      <c r="P29" s="9" t="s">
        <v>36</v>
      </c>
      <c r="Q29" s="9"/>
      <c r="R29" s="9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8" t="s">
        <v>43</v>
      </c>
      <c r="E36" s="18"/>
      <c r="F36" s="18"/>
      <c r="G36" s="13"/>
      <c r="H36" s="13"/>
      <c r="I36" s="13"/>
      <c r="J36" s="13"/>
      <c r="K36" s="13"/>
      <c r="L36" s="13"/>
      <c r="M36" s="13"/>
      <c r="P36" s="18" t="s">
        <v>43</v>
      </c>
      <c r="Q36" s="18"/>
      <c r="R36" s="18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9" t="s">
        <v>44</v>
      </c>
      <c r="E37" s="9"/>
      <c r="F37" s="9"/>
      <c r="G37" s="13"/>
      <c r="H37" s="13"/>
      <c r="I37" s="13"/>
      <c r="J37" s="13"/>
      <c r="K37" s="13"/>
      <c r="L37" s="13"/>
      <c r="M37" s="13"/>
      <c r="P37" s="9" t="s">
        <v>44</v>
      </c>
      <c r="Q37" s="9"/>
      <c r="R37" s="9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8" t="s">
        <v>45</v>
      </c>
      <c r="E38" s="18"/>
      <c r="F38" s="18"/>
      <c r="G38" s="13"/>
      <c r="H38" s="13"/>
      <c r="I38" s="13"/>
      <c r="J38" s="13"/>
      <c r="K38" s="13"/>
      <c r="L38" s="13"/>
      <c r="M38" s="13"/>
      <c r="P38" s="18" t="s">
        <v>45</v>
      </c>
      <c r="Q38" s="18"/>
      <c r="R38" s="18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9" t="s">
        <v>46</v>
      </c>
      <c r="E39" s="9"/>
      <c r="F39" s="9"/>
      <c r="G39" s="13"/>
      <c r="H39" s="13"/>
      <c r="I39" s="13"/>
      <c r="J39" s="13"/>
      <c r="K39" s="13"/>
      <c r="L39" s="13"/>
      <c r="M39" s="13"/>
      <c r="P39" s="9" t="s">
        <v>46</v>
      </c>
      <c r="Q39" s="9"/>
      <c r="R39" s="9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9" t="s">
        <v>47</v>
      </c>
      <c r="E40" s="9"/>
      <c r="F40" s="9"/>
      <c r="G40" s="13"/>
      <c r="H40" s="13"/>
      <c r="I40" s="13"/>
      <c r="J40" s="13"/>
      <c r="K40" s="13"/>
      <c r="L40" s="13"/>
      <c r="M40" s="13"/>
      <c r="P40" s="9" t="s">
        <v>47</v>
      </c>
      <c r="Q40" s="9"/>
      <c r="R40" s="9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9" t="s">
        <v>51</v>
      </c>
      <c r="E44" s="9"/>
      <c r="F44" s="9"/>
      <c r="G44" s="13"/>
      <c r="H44" s="13"/>
      <c r="I44" s="13"/>
      <c r="J44" s="13"/>
      <c r="K44" s="13"/>
      <c r="L44" s="13"/>
      <c r="M44" s="13"/>
      <c r="P44" s="9" t="s">
        <v>51</v>
      </c>
      <c r="Q44" s="9"/>
      <c r="R44" s="9"/>
      <c r="S44" s="14"/>
      <c r="T44" s="14"/>
      <c r="U44" s="14"/>
      <c r="V44" s="14"/>
      <c r="W44" s="14"/>
      <c r="X44" s="14"/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9" t="s">
        <v>53</v>
      </c>
      <c r="E46" s="9"/>
      <c r="F46" s="9"/>
      <c r="G46" s="13"/>
      <c r="H46" s="13"/>
      <c r="I46" s="13"/>
      <c r="J46" s="13"/>
      <c r="K46" s="13"/>
      <c r="L46" s="13"/>
      <c r="M46" s="13"/>
      <c r="P46" s="9" t="s">
        <v>53</v>
      </c>
      <c r="Q46" s="9"/>
      <c r="R46" s="9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8" t="s">
        <v>54</v>
      </c>
      <c r="E47" s="18"/>
      <c r="F47" s="18"/>
      <c r="G47" s="13"/>
      <c r="H47" s="13"/>
      <c r="I47" s="13"/>
      <c r="J47" s="13"/>
      <c r="K47" s="13"/>
      <c r="L47" s="13"/>
      <c r="M47" s="13"/>
      <c r="P47" s="18" t="s">
        <v>54</v>
      </c>
      <c r="Q47" s="18"/>
      <c r="R47" s="18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9" t="s">
        <v>55</v>
      </c>
      <c r="E48" s="9"/>
      <c r="F48" s="9"/>
      <c r="G48" s="13"/>
      <c r="H48" s="13"/>
      <c r="I48" s="13"/>
      <c r="J48" s="13"/>
      <c r="K48" s="13"/>
      <c r="L48" s="13"/>
      <c r="M48" s="13"/>
      <c r="P48" s="9" t="s">
        <v>55</v>
      </c>
      <c r="Q48" s="9"/>
      <c r="R48" s="9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9" t="s">
        <v>59</v>
      </c>
      <c r="E52" s="9"/>
      <c r="F52" s="9"/>
      <c r="G52" s="13"/>
      <c r="H52" s="13"/>
      <c r="I52" s="13"/>
      <c r="J52" s="13"/>
      <c r="K52" s="13"/>
      <c r="L52" s="13"/>
      <c r="M52" s="13"/>
      <c r="P52" s="9" t="s">
        <v>59</v>
      </c>
      <c r="Q52" s="9"/>
      <c r="R52" s="9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23" t="s">
        <v>60</v>
      </c>
      <c r="E53" s="23"/>
      <c r="F53" s="23"/>
      <c r="G53" s="54"/>
      <c r="H53" s="54"/>
      <c r="I53" s="54"/>
      <c r="J53" s="54"/>
      <c r="K53" s="54"/>
      <c r="L53" s="54"/>
      <c r="M53" s="54"/>
      <c r="P53" s="23" t="s">
        <v>60</v>
      </c>
      <c r="Q53" s="23"/>
      <c r="R53" s="23"/>
      <c r="S53" s="123"/>
      <c r="T53" s="123"/>
      <c r="U53" s="123"/>
      <c r="V53" s="123"/>
      <c r="W53" s="123"/>
      <c r="X53" s="123"/>
      <c r="Y53" s="123"/>
    </row>
    <row r="57" customFormat="false" ht="15" hidden="false" customHeight="false" outlineLevel="0" collapsed="false">
      <c r="D57" s="124" t="s">
        <v>61</v>
      </c>
      <c r="E57" s="124"/>
      <c r="F57" s="124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124" t="s">
        <v>61</v>
      </c>
      <c r="Q57" s="124"/>
      <c r="R57" s="124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17" t="s">
        <v>62</v>
      </c>
      <c r="E58" s="17"/>
      <c r="F58" s="17"/>
      <c r="G58" s="37"/>
      <c r="H58" s="26"/>
      <c r="I58" s="26"/>
      <c r="J58" s="26"/>
      <c r="K58" s="26"/>
      <c r="L58" s="26"/>
      <c r="M58" s="26"/>
      <c r="P58" s="17" t="s">
        <v>62</v>
      </c>
      <c r="Q58" s="17"/>
      <c r="R58" s="17"/>
      <c r="S58" s="57"/>
      <c r="T58" s="57"/>
      <c r="U58" s="57"/>
      <c r="V58" s="57"/>
      <c r="W58" s="27"/>
      <c r="X58" s="27"/>
      <c r="Y58" s="27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/>
      <c r="T62" s="57"/>
      <c r="U62" s="57"/>
      <c r="V62" s="57"/>
      <c r="W62" s="27"/>
      <c r="X62" s="27"/>
      <c r="Y62" s="27"/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/>
      <c r="K63" s="26"/>
      <c r="L63" s="26"/>
      <c r="M63" s="26"/>
      <c r="P63" s="9" t="s">
        <v>67</v>
      </c>
      <c r="Q63" s="9"/>
      <c r="R63" s="9"/>
      <c r="S63" s="57"/>
      <c r="T63" s="27"/>
      <c r="U63" s="27"/>
      <c r="V63" s="27"/>
      <c r="W63" s="27"/>
      <c r="X63" s="2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27"/>
      <c r="U64" s="27"/>
      <c r="V64" s="27"/>
      <c r="W64" s="27"/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/>
      <c r="J65" s="26"/>
      <c r="K65" s="26"/>
      <c r="L65" s="26"/>
      <c r="M65" s="26"/>
      <c r="P65" s="9" t="s">
        <v>69</v>
      </c>
      <c r="Q65" s="9"/>
      <c r="R65" s="9"/>
      <c r="S65" s="57"/>
      <c r="T65" s="27"/>
      <c r="U65" s="27"/>
      <c r="V65" s="27"/>
      <c r="W65" s="27"/>
      <c r="X65" s="2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/>
      <c r="H67" s="26"/>
      <c r="I67" s="26"/>
      <c r="J67" s="26"/>
      <c r="K67" s="26"/>
      <c r="L67" s="26"/>
      <c r="M67" s="26"/>
      <c r="P67" s="9" t="s">
        <v>71</v>
      </c>
      <c r="Q67" s="9"/>
      <c r="R67" s="9"/>
      <c r="S67" s="57"/>
      <c r="T67" s="57"/>
      <c r="U67" s="57"/>
      <c r="V67" s="57"/>
      <c r="W67" s="27"/>
      <c r="X67" s="27"/>
      <c r="Y67" s="2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9"/>
      <c r="T68" s="59"/>
      <c r="U68" s="59"/>
      <c r="V68" s="59"/>
      <c r="W68" s="31"/>
      <c r="X68" s="31"/>
      <c r="Y68" s="31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9"/>
      <c r="T69" s="31"/>
      <c r="U69" s="31"/>
      <c r="V69" s="31"/>
      <c r="W69" s="31"/>
      <c r="X69" s="31"/>
      <c r="Y69" s="31"/>
    </row>
    <row r="70" customFormat="false" ht="15" hidden="false" customHeight="false" outlineLevel="0" collapsed="false">
      <c r="D70" s="12" t="s">
        <v>60</v>
      </c>
      <c r="E70" s="12"/>
      <c r="F70" s="12"/>
      <c r="G70" s="37"/>
      <c r="H70" s="37"/>
      <c r="I70" s="37"/>
      <c r="J70" s="37"/>
      <c r="K70" s="26"/>
      <c r="L70" s="26"/>
      <c r="M70" s="26"/>
      <c r="P70" s="12" t="s">
        <v>60</v>
      </c>
      <c r="Q70" s="12"/>
      <c r="R70" s="12"/>
      <c r="S70" s="57"/>
      <c r="T70" s="57"/>
      <c r="U70" s="57"/>
      <c r="V70" s="57"/>
      <c r="W70" s="27"/>
      <c r="X70" s="27"/>
      <c r="Y70" s="27"/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 t="n">
        <v>44977</v>
      </c>
      <c r="G77" s="75"/>
      <c r="H77" s="113" t="n">
        <v>6.4</v>
      </c>
      <c r="I77" s="113" t="n">
        <v>14</v>
      </c>
      <c r="J77" s="113" t="n">
        <v>12</v>
      </c>
      <c r="K77" s="113" t="n">
        <v>15.5</v>
      </c>
      <c r="L77" s="113" t="n">
        <v>6.1</v>
      </c>
      <c r="M77" s="113" t="n">
        <v>10.8</v>
      </c>
      <c r="N77" s="113"/>
      <c r="O77" s="113" t="n">
        <v>84</v>
      </c>
      <c r="P77" s="113" t="n">
        <v>55</v>
      </c>
      <c r="Q77" s="113" t="n">
        <v>66</v>
      </c>
      <c r="R77" s="113" t="n">
        <v>68.3</v>
      </c>
      <c r="S77" s="113" t="n">
        <v>90</v>
      </c>
      <c r="T77" s="113" t="n">
        <v>49</v>
      </c>
      <c r="U77" s="113"/>
      <c r="V77" s="114" t="n">
        <v>0</v>
      </c>
    </row>
    <row r="78" customFormat="false" ht="15" hidden="false" customHeight="false" outlineLevel="0" collapsed="false">
      <c r="F78" s="38" t="n">
        <v>44978</v>
      </c>
      <c r="G78" s="38"/>
      <c r="H78" s="115" t="n">
        <v>5.9</v>
      </c>
      <c r="I78" s="115" t="n">
        <v>15.8</v>
      </c>
      <c r="J78" s="115" t="n">
        <v>12.8</v>
      </c>
      <c r="K78" s="115" t="n">
        <v>16.7</v>
      </c>
      <c r="L78" s="115" t="n">
        <v>5.4</v>
      </c>
      <c r="M78" s="115" t="n">
        <v>11.05</v>
      </c>
      <c r="N78" s="115"/>
      <c r="O78" s="115" t="n">
        <v>90</v>
      </c>
      <c r="P78" s="115" t="n">
        <v>53</v>
      </c>
      <c r="Q78" s="115" t="n">
        <v>65</v>
      </c>
      <c r="R78" s="115" t="n">
        <v>69.3</v>
      </c>
      <c r="S78" s="115" t="n">
        <v>90</v>
      </c>
      <c r="T78" s="115" t="n">
        <v>48</v>
      </c>
      <c r="U78" s="115"/>
      <c r="V78" s="116" t="n">
        <v>0</v>
      </c>
    </row>
    <row r="79" customFormat="false" ht="15" hidden="false" customHeight="false" outlineLevel="0" collapsed="false">
      <c r="F79" s="38" t="n">
        <v>44979</v>
      </c>
      <c r="G79" s="38"/>
      <c r="H79" s="115" t="n">
        <v>9.5</v>
      </c>
      <c r="I79" s="115" t="n">
        <v>12.7</v>
      </c>
      <c r="J79" s="115" t="n">
        <v>11.9</v>
      </c>
      <c r="K79" s="115" t="n">
        <v>12.9</v>
      </c>
      <c r="L79" s="115" t="n">
        <v>9.3</v>
      </c>
      <c r="M79" s="115" t="n">
        <v>11.1</v>
      </c>
      <c r="N79" s="115"/>
      <c r="O79" s="115" t="n">
        <v>85</v>
      </c>
      <c r="P79" s="115" t="n">
        <v>70</v>
      </c>
      <c r="Q79" s="115" t="n">
        <v>78</v>
      </c>
      <c r="R79" s="115" t="n">
        <v>77.7</v>
      </c>
      <c r="S79" s="115" t="n">
        <v>88</v>
      </c>
      <c r="T79" s="115" t="n">
        <v>70</v>
      </c>
      <c r="U79" s="115"/>
      <c r="V79" s="116" t="n">
        <v>0</v>
      </c>
    </row>
    <row r="80" customFormat="false" ht="15" hidden="false" customHeight="false" outlineLevel="0" collapsed="false">
      <c r="F80" s="38" t="n">
        <v>44980</v>
      </c>
      <c r="G80" s="38"/>
      <c r="H80" s="115" t="n">
        <v>9.6</v>
      </c>
      <c r="I80" s="115" t="n">
        <v>13.2</v>
      </c>
      <c r="J80" s="115" t="n">
        <v>12.4</v>
      </c>
      <c r="K80" s="115" t="n">
        <v>13.4</v>
      </c>
      <c r="L80" s="115" t="n">
        <v>9</v>
      </c>
      <c r="M80" s="115" t="n">
        <v>11.2</v>
      </c>
      <c r="N80" s="115"/>
      <c r="O80" s="115" t="n">
        <v>94</v>
      </c>
      <c r="P80" s="115" t="n">
        <v>70</v>
      </c>
      <c r="Q80" s="115" t="n">
        <v>73</v>
      </c>
      <c r="R80" s="115" t="n">
        <v>79</v>
      </c>
      <c r="S80" s="115" t="n">
        <v>94</v>
      </c>
      <c r="T80" s="115" t="n">
        <v>68</v>
      </c>
      <c r="U80" s="115"/>
      <c r="V80" s="116" t="n">
        <v>0.8</v>
      </c>
    </row>
    <row r="81" customFormat="false" ht="15" hidden="false" customHeight="false" outlineLevel="0" collapsed="false">
      <c r="F81" s="38" t="n">
        <v>44981</v>
      </c>
      <c r="G81" s="38"/>
      <c r="H81" s="115" t="n">
        <v>6.9</v>
      </c>
      <c r="I81" s="115" t="n">
        <v>14.6</v>
      </c>
      <c r="J81" s="115" t="n">
        <v>13.3</v>
      </c>
      <c r="K81" s="115" t="n">
        <v>15</v>
      </c>
      <c r="L81" s="115" t="n">
        <v>6.4</v>
      </c>
      <c r="M81" s="115" t="n">
        <v>10.7</v>
      </c>
      <c r="N81" s="115"/>
      <c r="O81" s="115" t="n">
        <v>92</v>
      </c>
      <c r="P81" s="115" t="n">
        <v>59</v>
      </c>
      <c r="Q81" s="115" t="n">
        <v>65</v>
      </c>
      <c r="R81" s="115" t="n">
        <v>72</v>
      </c>
      <c r="S81" s="115" t="n">
        <v>92</v>
      </c>
      <c r="T81" s="115" t="n">
        <v>57</v>
      </c>
      <c r="U81" s="115"/>
      <c r="V81" s="116" t="n">
        <v>0</v>
      </c>
    </row>
    <row r="82" customFormat="false" ht="15" hidden="false" customHeight="false" outlineLevel="0" collapsed="false">
      <c r="F82" s="38" t="n">
        <v>44982</v>
      </c>
      <c r="G82" s="38"/>
      <c r="H82" s="115" t="n">
        <v>9.3</v>
      </c>
      <c r="I82" s="115" t="n">
        <v>15</v>
      </c>
      <c r="J82" s="115" t="n">
        <v>13.9</v>
      </c>
      <c r="K82" s="115" t="n">
        <v>15.6</v>
      </c>
      <c r="L82" s="115" t="n">
        <v>8.7</v>
      </c>
      <c r="M82" s="115" t="n">
        <v>12.15</v>
      </c>
      <c r="N82" s="115"/>
      <c r="O82" s="115" t="n">
        <v>87</v>
      </c>
      <c r="P82" s="115" t="n">
        <v>63</v>
      </c>
      <c r="Q82" s="115" t="n">
        <v>75</v>
      </c>
      <c r="R82" s="115" t="n">
        <v>75</v>
      </c>
      <c r="S82" s="115" t="n">
        <v>91</v>
      </c>
      <c r="T82" s="115" t="n">
        <v>62</v>
      </c>
      <c r="U82" s="115"/>
      <c r="V82" s="116" t="n">
        <v>0</v>
      </c>
    </row>
    <row r="83" customFormat="false" ht="15" hidden="false" customHeight="false" outlineLevel="0" collapsed="false">
      <c r="F83" s="45" t="n">
        <v>44983</v>
      </c>
      <c r="G83" s="45"/>
      <c r="H83" s="117" t="n">
        <v>5.1</v>
      </c>
      <c r="I83" s="117" t="n">
        <v>6.5</v>
      </c>
      <c r="J83" s="117" t="n">
        <v>5.6</v>
      </c>
      <c r="K83" s="117" t="n">
        <v>12.1</v>
      </c>
      <c r="L83" s="117" t="n">
        <v>4.1</v>
      </c>
      <c r="M83" s="117" t="n">
        <v>8.1</v>
      </c>
      <c r="N83" s="117"/>
      <c r="O83" s="117" t="n">
        <v>86</v>
      </c>
      <c r="P83" s="117" t="n">
        <v>60</v>
      </c>
      <c r="Q83" s="117" t="n">
        <v>57</v>
      </c>
      <c r="R83" s="117" t="n">
        <v>67.7</v>
      </c>
      <c r="S83" s="117" t="n">
        <v>94</v>
      </c>
      <c r="T83" s="117" t="n">
        <v>54</v>
      </c>
      <c r="U83" s="117"/>
      <c r="V83" s="118" t="n">
        <v>8.4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J43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44984</v>
      </c>
      <c r="K3" s="5" t="n">
        <v>44990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44984</v>
      </c>
      <c r="W3" s="5" t="n">
        <v>44990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35</v>
      </c>
      <c r="H9" s="13" t="n">
        <v>6</v>
      </c>
      <c r="I9" s="13" t="n">
        <v>2</v>
      </c>
      <c r="J9" s="13" t="n">
        <v>1</v>
      </c>
      <c r="K9" s="13" t="n">
        <v>7</v>
      </c>
      <c r="L9" s="13" t="n">
        <v>6</v>
      </c>
      <c r="M9" s="13" t="n">
        <v>16</v>
      </c>
      <c r="P9" s="12" t="s">
        <v>16</v>
      </c>
      <c r="Q9" s="12"/>
      <c r="R9" s="12"/>
      <c r="S9" s="14" t="n">
        <f aca="false">Tabella5279112479161820222426283032[[#This Row],[Colonna1]]*$Q3</f>
        <v>14</v>
      </c>
      <c r="T9" s="14" t="n">
        <f aca="false">Tabella5279112479161820222426283032[[#This Row],[Colonna2]]*$Q3</f>
        <v>2.4</v>
      </c>
      <c r="U9" s="14" t="n">
        <f aca="false">Tabella5279112479161820222426283032[[#This Row],[Colonna3]]*$Q3</f>
        <v>0.8</v>
      </c>
      <c r="V9" s="14" t="n">
        <f aca="false">Tabella5279112479161820222426283032[[#This Row],[Colonna4]]*$Q3</f>
        <v>0.4</v>
      </c>
      <c r="W9" s="14" t="n">
        <f aca="false">Tabella5279112479161820222426283032[[#This Row],[Colonna5]]*$Q3</f>
        <v>2.8</v>
      </c>
      <c r="X9" s="14" t="n">
        <f aca="false">Tabella5279112479161820222426283032[[#This Row],[Colonna6]]*$Q3</f>
        <v>2.4</v>
      </c>
      <c r="Y9" s="14" t="n">
        <f aca="false">Tabella5279112479161820222426283032[[#This Row],[Colonna7]]*$Q3</f>
        <v>6.4</v>
      </c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55</v>
      </c>
      <c r="H21" s="13" t="n">
        <v>10</v>
      </c>
      <c r="I21" s="13" t="n">
        <v>5</v>
      </c>
      <c r="J21" s="13" t="n">
        <v>1</v>
      </c>
      <c r="K21" s="13" t="n">
        <v>3</v>
      </c>
      <c r="L21" s="13" t="n">
        <v>13</v>
      </c>
      <c r="M21" s="13" t="n">
        <v>31</v>
      </c>
      <c r="P21" s="16" t="s">
        <v>28</v>
      </c>
      <c r="Q21" s="16"/>
      <c r="R21" s="16"/>
      <c r="S21" s="14" t="n">
        <f aca="false">Tabella5279112479161820222426283032[[#This Row],[Colonna1]]*$Q3</f>
        <v>22</v>
      </c>
      <c r="T21" s="14" t="n">
        <f aca="false">Tabella5279112479161820222426283032[[#This Row],[Colonna2]]*$Q3</f>
        <v>4</v>
      </c>
      <c r="U21" s="14" t="n">
        <f aca="false">Tabella5279112479161820222426283032[[#This Row],[Colonna3]]*$Q3</f>
        <v>2</v>
      </c>
      <c r="V21" s="14" t="n">
        <f aca="false">Tabella5279112479161820222426283032[[#This Row],[Colonna4]]*$Q3</f>
        <v>0.4</v>
      </c>
      <c r="W21" s="14" t="n">
        <f aca="false">Tabella5279112479161820222426283032[[#This Row],[Colonna5]]*$Q3</f>
        <v>1.2</v>
      </c>
      <c r="X21" s="14" t="n">
        <f aca="false">Tabella5279112479161820222426283032[[#This Row],[Colonna6]]*$Q3</f>
        <v>5.2</v>
      </c>
      <c r="Y21" s="14" t="n">
        <f aca="false">Tabella5279112479161820222426283032[[#This Row],[Colonna7]]*$Q3</f>
        <v>12.4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27</v>
      </c>
      <c r="H22" s="13" t="n">
        <v>12</v>
      </c>
      <c r="I22" s="13" t="n">
        <v>14</v>
      </c>
      <c r="J22" s="13" t="n">
        <v>4</v>
      </c>
      <c r="K22" s="13" t="n">
        <v>34</v>
      </c>
      <c r="L22" s="13" t="n">
        <v>125</v>
      </c>
      <c r="M22" s="13" t="n">
        <v>664</v>
      </c>
      <c r="P22" s="12" t="s">
        <v>29</v>
      </c>
      <c r="Q22" s="12"/>
      <c r="R22" s="12"/>
      <c r="S22" s="14" t="n">
        <f aca="false">Tabella5279112479161820222426283032[[#This Row],[Colonna1]]*$Q3</f>
        <v>10.8</v>
      </c>
      <c r="T22" s="14" t="n">
        <f aca="false">Tabella5279112479161820222426283032[[#This Row],[Colonna2]]*$Q3</f>
        <v>4.8</v>
      </c>
      <c r="U22" s="14" t="n">
        <f aca="false">Tabella5279112479161820222426283032[[#This Row],[Colonna3]]*$Q3</f>
        <v>5.6</v>
      </c>
      <c r="V22" s="14" t="n">
        <f aca="false">Tabella5279112479161820222426283032[[#This Row],[Colonna4]]*$Q3</f>
        <v>1.6</v>
      </c>
      <c r="W22" s="14" t="n">
        <f aca="false">Tabella5279112479161820222426283032[[#This Row],[Colonna5]]*$Q3</f>
        <v>13.6</v>
      </c>
      <c r="X22" s="14" t="n">
        <f aca="false">Tabella5279112479161820222426283032[[#This Row],[Colonna6]]*$Q3</f>
        <v>50</v>
      </c>
      <c r="Y22" s="14" t="n">
        <f aca="false">Tabella5279112479161820222426283032[[#This Row],[Colonna7]]*$Q3</f>
        <v>265.6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 t="n">
        <v>1</v>
      </c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 t="n">
        <f aca="false">Tabella5279112479161820222426283032[[#This Row],[Colonna6]]*$Q3</f>
        <v>0.4</v>
      </c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 t="n">
        <v>4</v>
      </c>
      <c r="I38" s="13" t="n">
        <v>5</v>
      </c>
      <c r="J38" s="13" t="n">
        <v>1</v>
      </c>
      <c r="K38" s="13" t="n">
        <v>5</v>
      </c>
      <c r="L38" s="13" t="n">
        <v>6</v>
      </c>
      <c r="M38" s="13" t="n">
        <v>11</v>
      </c>
      <c r="P38" s="16" t="s">
        <v>45</v>
      </c>
      <c r="Q38" s="16"/>
      <c r="R38" s="16"/>
      <c r="S38" s="14"/>
      <c r="T38" s="14" t="n">
        <f aca="false">Tabella5279112479161820222426283032[[#This Row],[Colonna2]]*$Q3</f>
        <v>1.6</v>
      </c>
      <c r="U38" s="14" t="n">
        <f aca="false">Tabella5279112479161820222426283032[[#This Row],[Colonna3]]*$Q3</f>
        <v>2</v>
      </c>
      <c r="V38" s="14" t="n">
        <f aca="false">Tabella5279112479161820222426283032[[#This Row],[Colonna4]]*$Q3</f>
        <v>0.4</v>
      </c>
      <c r="W38" s="14" t="n">
        <f aca="false">Tabella5279112479161820222426283032[[#This Row],[Colonna5]]*$Q3</f>
        <v>2</v>
      </c>
      <c r="X38" s="14" t="n">
        <f aca="false">Tabella5279112479161820222426283032[[#This Row],[Colonna6]]*$Q3</f>
        <v>2.4</v>
      </c>
      <c r="Y38" s="14" t="n">
        <f aca="false">Tabella5279112479161820222426283032[[#This Row],[Colonna7]]*$Q3</f>
        <v>4.4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 t="n">
        <v>2</v>
      </c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 t="n">
        <f aca="false">Tabella5279112479161820222426283032[[#This Row],[Colonna6]]*$Q3</f>
        <v>0.8</v>
      </c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</v>
      </c>
      <c r="H44" s="13" t="n">
        <v>1</v>
      </c>
      <c r="I44" s="13" t="n">
        <v>1</v>
      </c>
      <c r="J44" s="13" t="n">
        <v>1</v>
      </c>
      <c r="K44" s="13"/>
      <c r="L44" s="13"/>
      <c r="M44" s="13" t="n">
        <v>1</v>
      </c>
      <c r="P44" s="12" t="s">
        <v>51</v>
      </c>
      <c r="Q44" s="12"/>
      <c r="R44" s="12"/>
      <c r="S44" s="14" t="n">
        <f aca="false">Tabella5279112479161820222426283032[[#This Row],[Colonna1]]*$Q3</f>
        <v>0.8</v>
      </c>
      <c r="T44" s="14" t="n">
        <f aca="false">Tabella5279112479161820222426283032[[#This Row],[Colonna2]]*$Q3</f>
        <v>0.4</v>
      </c>
      <c r="U44" s="14" t="n">
        <f aca="false">Tabella5279112479161820222426283032[[#This Row],[Colonna3]]*$Q3</f>
        <v>0.4</v>
      </c>
      <c r="V44" s="14" t="n">
        <f aca="false">Tabella5279112479161820222426283032[[#This Row],[Colonna4]]*$Q3</f>
        <v>0.4</v>
      </c>
      <c r="W44" s="14"/>
      <c r="X44" s="14"/>
      <c r="Y44" s="14" t="n">
        <f aca="false">Tabella5279112479161820222426283032[[#This Row],[Colonna7]]*$Q3</f>
        <v>0.4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24</v>
      </c>
      <c r="H47" s="13" t="n">
        <v>3</v>
      </c>
      <c r="I47" s="13" t="n">
        <v>1</v>
      </c>
      <c r="J47" s="13"/>
      <c r="K47" s="13" t="n">
        <v>11</v>
      </c>
      <c r="L47" s="13" t="n">
        <v>26</v>
      </c>
      <c r="M47" s="13" t="n">
        <v>36</v>
      </c>
      <c r="P47" s="16" t="s">
        <v>54</v>
      </c>
      <c r="Q47" s="16"/>
      <c r="R47" s="16"/>
      <c r="S47" s="14" t="n">
        <f aca="false">Tabella5279112479161820222426283032[[#This Row],[Colonna1]]*$Q3</f>
        <v>9.6</v>
      </c>
      <c r="T47" s="14" t="n">
        <f aca="false">Tabella5279112479161820222426283032[[#This Row],[Colonna2]]*$Q3</f>
        <v>1.2</v>
      </c>
      <c r="U47" s="14" t="n">
        <f aca="false">Tabella5279112479161820222426283032[[#This Row],[Colonna3]]*$Q3</f>
        <v>0.4</v>
      </c>
      <c r="V47" s="14" t="n">
        <v>0</v>
      </c>
      <c r="W47" s="14" t="n">
        <f aca="false">Tabella5279112479161820222426283032[[#This Row],[Colonna5]]*$Q3</f>
        <v>4.4</v>
      </c>
      <c r="X47" s="14" t="n">
        <f aca="false">Tabella5279112479161820222426283032[[#This Row],[Colonna6]]*$Q3</f>
        <v>10.4</v>
      </c>
      <c r="Y47" s="14" t="n">
        <f aca="false">Tabella5279112479161820222426283032[[#This Row],[Colonna7]]*$Q3</f>
        <v>14.4</v>
      </c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 t="n">
        <v>75</v>
      </c>
      <c r="H50" s="13" t="n">
        <v>25</v>
      </c>
      <c r="I50" s="13" t="n">
        <v>27</v>
      </c>
      <c r="J50" s="13" t="n">
        <v>2</v>
      </c>
      <c r="K50" s="13" t="n">
        <v>71</v>
      </c>
      <c r="L50" s="13" t="n">
        <v>63</v>
      </c>
      <c r="M50" s="13" t="n">
        <v>80</v>
      </c>
      <c r="P50" s="9" t="s">
        <v>57</v>
      </c>
      <c r="Q50" s="9"/>
      <c r="R50" s="9"/>
      <c r="S50" s="14" t="n">
        <f aca="false">Tabella5279112479161820222426283032[[#This Row],[Colonna1]]*$Q3</f>
        <v>30</v>
      </c>
      <c r="T50" s="14" t="n">
        <f aca="false">Tabella5279112479161820222426283032[[#This Row],[Colonna2]]*$Q3</f>
        <v>10</v>
      </c>
      <c r="U50" s="14" t="n">
        <f aca="false">Tabella5279112479161820222426283032[[#This Row],[Colonna3]]*$Q3</f>
        <v>10.8</v>
      </c>
      <c r="V50" s="14" t="n">
        <f aca="false">Tabella5279112479161820222426283032[[#This Row],[Colonna4]]*$Q3</f>
        <v>0.8</v>
      </c>
      <c r="W50" s="14" t="n">
        <f aca="false">Tabella5279112479161820222426283032[[#This Row],[Colonna5]]*$Q3</f>
        <v>28.4</v>
      </c>
      <c r="X50" s="14" t="n">
        <f aca="false">Tabella5279112479161820222426283032[[#This Row],[Colonna6]]*$Q3</f>
        <v>25.2</v>
      </c>
      <c r="Y50" s="14" t="n">
        <f aca="false">Tabella5279112479161820222426283032[[#This Row],[Colonna7]]*$Q3</f>
        <v>32</v>
      </c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 t="n">
        <v>1</v>
      </c>
      <c r="K52" s="13"/>
      <c r="L52" s="13" t="n">
        <v>1</v>
      </c>
      <c r="M52" s="13"/>
      <c r="P52" s="12" t="s">
        <v>59</v>
      </c>
      <c r="Q52" s="12"/>
      <c r="R52" s="12"/>
      <c r="S52" s="14"/>
      <c r="T52" s="14"/>
      <c r="U52" s="14"/>
      <c r="V52" s="14" t="n">
        <f aca="false">Tabella5279112479161820222426283032[[#This Row],[Colonna4]]*$Q3</f>
        <v>0.4</v>
      </c>
      <c r="W52" s="14"/>
      <c r="X52" s="14" t="n">
        <f aca="false">Tabella5279112479161820222426283032[[#This Row],[Colonna6]]*$Q3</f>
        <v>0.4</v>
      </c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SUM(G50,G47,G44,G22,G21,G9)</f>
        <v>218</v>
      </c>
      <c r="H53" s="55" t="n">
        <f aca="false">SUM(H50,H47,H44,H38,H22,H21,H9)</f>
        <v>61</v>
      </c>
      <c r="I53" s="55" t="n">
        <f aca="false">SUM(I50,I47,I44,I38,I22,I21,I9)</f>
        <v>55</v>
      </c>
      <c r="J53" s="55" t="n">
        <f aca="false">SUM(J52,J50,J44,J38,J22,J21,J9)</f>
        <v>11</v>
      </c>
      <c r="K53" s="55" t="n">
        <f aca="false">SUM(K50,K47,K38,K22,K21,K9)</f>
        <v>131</v>
      </c>
      <c r="L53" s="55" t="n">
        <f aca="false">SUM(L52,L50,L47,L41,L38,L22,L21,L9)</f>
        <v>242</v>
      </c>
      <c r="M53" s="55" t="n">
        <f aca="false">SUM(M50,M47,M44,M38,M22,M21,M9)</f>
        <v>839</v>
      </c>
      <c r="P53" s="17" t="s">
        <v>60</v>
      </c>
      <c r="Q53" s="17"/>
      <c r="R53" s="17"/>
      <c r="S53" s="56" t="n">
        <f aca="false">Tabella5279112479161820222426283032[[#This Row],[Colonna1]]*$Q3</f>
        <v>87.2</v>
      </c>
      <c r="T53" s="56" t="n">
        <f aca="false">Tabella5279112479161820222426283032[[#This Row],[Colonna2]]*$Q3</f>
        <v>24.4</v>
      </c>
      <c r="U53" s="56" t="n">
        <f aca="false">Tabella5279112479161820222426283032[[#This Row],[Colonna3]]*$Q3</f>
        <v>22</v>
      </c>
      <c r="V53" s="56" t="n">
        <f aca="false">Tabella5279112479161820222426283032[[#This Row],[Colonna4]]*$Q3</f>
        <v>4.4</v>
      </c>
      <c r="W53" s="56" t="n">
        <f aca="false">Tabella5279112479161820222426283032[[#This Row],[Colonna5]]*$Q3</f>
        <v>52.4</v>
      </c>
      <c r="X53" s="56" t="n">
        <f aca="false">Tabella5279112479161820222426283032[[#This Row],[Colonna6]]*$Q3</f>
        <v>96.8</v>
      </c>
      <c r="Y53" s="56" t="n">
        <f aca="false">Tabella5279112479161820222426283032[[#This Row],[Colonna7]]*$Q3</f>
        <v>335.6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11</v>
      </c>
      <c r="H58" s="26" t="n">
        <v>13</v>
      </c>
      <c r="I58" s="26" t="n">
        <v>6</v>
      </c>
      <c r="J58" s="26" t="n">
        <v>6</v>
      </c>
      <c r="K58" s="26" t="n">
        <v>15</v>
      </c>
      <c r="L58" s="26" t="n">
        <v>6</v>
      </c>
      <c r="M58" s="26" t="n">
        <v>14</v>
      </c>
      <c r="P58" s="23" t="s">
        <v>62</v>
      </c>
      <c r="Q58" s="23"/>
      <c r="R58" s="23"/>
      <c r="S58" s="57" t="n">
        <f aca="false">G58*$Q3</f>
        <v>4.4</v>
      </c>
      <c r="T58" s="57" t="n">
        <f aca="false">H58*$Q3</f>
        <v>5.2</v>
      </c>
      <c r="U58" s="57" t="n">
        <f aca="false">I58*$Q3</f>
        <v>2.4</v>
      </c>
      <c r="V58" s="57" t="n">
        <f aca="false">J58*$Q3</f>
        <v>2.4</v>
      </c>
      <c r="W58" s="57" t="n">
        <f aca="false">K58*$Q3</f>
        <v>6</v>
      </c>
      <c r="X58" s="57" t="n">
        <f aca="false">L58*$Q3</f>
        <v>2.4</v>
      </c>
      <c r="Y58" s="57" t="n">
        <f aca="false">M58*$Q3</f>
        <v>5.6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1</v>
      </c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0.4</v>
      </c>
      <c r="T62" s="57"/>
      <c r="U62" s="57"/>
      <c r="V62" s="57"/>
      <c r="W62" s="27"/>
      <c r="X62" s="27"/>
      <c r="Y62" s="27"/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/>
      <c r="K63" s="26"/>
      <c r="L63" s="26"/>
      <c r="M63" s="26" t="n">
        <v>1</v>
      </c>
      <c r="P63" s="9" t="s">
        <v>67</v>
      </c>
      <c r="Q63" s="9"/>
      <c r="R63" s="9"/>
      <c r="S63" s="57"/>
      <c r="T63" s="27"/>
      <c r="U63" s="27"/>
      <c r="V63" s="27"/>
      <c r="W63" s="27"/>
      <c r="X63" s="27"/>
      <c r="Y63" s="27" t="n">
        <f aca="false">M63*$Q3</f>
        <v>0.4</v>
      </c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 t="n">
        <v>1</v>
      </c>
      <c r="P64" s="9" t="s">
        <v>68</v>
      </c>
      <c r="Q64" s="9"/>
      <c r="R64" s="9"/>
      <c r="S64" s="57"/>
      <c r="T64" s="27"/>
      <c r="U64" s="27"/>
      <c r="V64" s="27"/>
      <c r="W64" s="27"/>
      <c r="X64" s="27"/>
      <c r="Y64" s="27" t="n">
        <f aca="false">M64*$Q3</f>
        <v>0.4</v>
      </c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3</v>
      </c>
      <c r="H65" s="26" t="n">
        <v>2</v>
      </c>
      <c r="I65" s="26"/>
      <c r="J65" s="26" t="n">
        <v>19</v>
      </c>
      <c r="K65" s="26" t="n">
        <v>8</v>
      </c>
      <c r="L65" s="26" t="n">
        <v>3</v>
      </c>
      <c r="M65" s="26" t="n">
        <v>1</v>
      </c>
      <c r="P65" s="9" t="s">
        <v>69</v>
      </c>
      <c r="Q65" s="9"/>
      <c r="R65" s="9"/>
      <c r="S65" s="27" t="n">
        <f aca="false">G65*$Q3</f>
        <v>1.2</v>
      </c>
      <c r="T65" s="27" t="n">
        <f aca="false">H65*$Q3</f>
        <v>0.8</v>
      </c>
      <c r="U65" s="27"/>
      <c r="V65" s="27" t="n">
        <f aca="false">J65*$Q3</f>
        <v>7.6</v>
      </c>
      <c r="W65" s="27" t="n">
        <f aca="false">K65*$Q3</f>
        <v>3.2</v>
      </c>
      <c r="X65" s="27" t="n">
        <f aca="false">L65*$Q3</f>
        <v>1.2</v>
      </c>
      <c r="Y65" s="27" t="n">
        <f aca="false">M65*$Q3</f>
        <v>0.4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1</v>
      </c>
      <c r="H67" s="26"/>
      <c r="I67" s="26"/>
      <c r="J67" s="26" t="n">
        <v>1</v>
      </c>
      <c r="K67" s="26" t="n">
        <v>5</v>
      </c>
      <c r="L67" s="26" t="n">
        <v>7</v>
      </c>
      <c r="M67" s="26" t="n">
        <v>3</v>
      </c>
      <c r="P67" s="9" t="s">
        <v>71</v>
      </c>
      <c r="Q67" s="9"/>
      <c r="R67" s="9"/>
      <c r="S67" s="57" t="n">
        <f aca="false">G67*$Q3</f>
        <v>0.4</v>
      </c>
      <c r="T67" s="57"/>
      <c r="U67" s="57"/>
      <c r="V67" s="57" t="n">
        <f aca="false">J67*$Q3</f>
        <v>0.4</v>
      </c>
      <c r="W67" s="57" t="n">
        <f aca="false">K67*$Q3</f>
        <v>2</v>
      </c>
      <c r="X67" s="57" t="n">
        <f aca="false">L67*$Q3</f>
        <v>2.8</v>
      </c>
      <c r="Y67" s="57" t="n">
        <f aca="false">M67*$Q3</f>
        <v>1.2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2</v>
      </c>
      <c r="H68" s="30"/>
      <c r="I68" s="30"/>
      <c r="J68" s="30"/>
      <c r="K68" s="30"/>
      <c r="L68" s="30"/>
      <c r="M68" s="30" t="n">
        <v>1</v>
      </c>
      <c r="P68" s="9" t="s">
        <v>72</v>
      </c>
      <c r="Q68" s="9"/>
      <c r="R68" s="9"/>
      <c r="S68" s="59" t="n">
        <f aca="false">G68*$Q3</f>
        <v>0.8</v>
      </c>
      <c r="T68" s="59"/>
      <c r="U68" s="59"/>
      <c r="V68" s="59"/>
      <c r="W68" s="31"/>
      <c r="X68" s="31"/>
      <c r="Y68" s="31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7</v>
      </c>
      <c r="H69" s="30" t="n">
        <v>5</v>
      </c>
      <c r="I69" s="30"/>
      <c r="J69" s="30"/>
      <c r="K69" s="30"/>
      <c r="L69" s="30"/>
      <c r="M69" s="30" t="n">
        <v>1</v>
      </c>
      <c r="P69" s="9" t="s">
        <v>73</v>
      </c>
      <c r="Q69" s="9"/>
      <c r="R69" s="9"/>
      <c r="S69" s="31" t="n">
        <f aca="false">G69*$Q3</f>
        <v>2.8</v>
      </c>
      <c r="T69" s="31" t="n">
        <f aca="false">H69*$Q3</f>
        <v>2</v>
      </c>
      <c r="U69" s="31"/>
      <c r="V69" s="31"/>
      <c r="W69" s="31"/>
      <c r="X69" s="31"/>
      <c r="Y69" s="31" t="n">
        <f aca="false">M69*$Q3</f>
        <v>0.4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SUM(G69,G68,G67,G65,G62,G58)</f>
        <v>25</v>
      </c>
      <c r="H70" s="60" t="n">
        <f aca="false">SUM(H69,H65,H58)</f>
        <v>20</v>
      </c>
      <c r="I70" s="60" t="n">
        <v>6</v>
      </c>
      <c r="J70" s="60" t="n">
        <f aca="false">SUM(J67,J65,J58)</f>
        <v>26</v>
      </c>
      <c r="K70" s="12" t="n">
        <f aca="false">SUM(K67,K65,K58)</f>
        <v>28</v>
      </c>
      <c r="L70" s="12" t="n">
        <f aca="false">SUM(L58,L65,L67)</f>
        <v>16</v>
      </c>
      <c r="M70" s="12" t="n">
        <f aca="false">SUM(M69,M68,M67,M65,M64,M63,M58)</f>
        <v>22</v>
      </c>
      <c r="P70" s="9" t="s">
        <v>60</v>
      </c>
      <c r="Q70" s="9"/>
      <c r="R70" s="9"/>
      <c r="S70" s="61" t="n">
        <f aca="false">G70*$Q3</f>
        <v>10</v>
      </c>
      <c r="T70" s="61" t="n">
        <f aca="false">H70*$Q3</f>
        <v>8</v>
      </c>
      <c r="U70" s="61" t="n">
        <f aca="false">I70*$Q3</f>
        <v>2.4</v>
      </c>
      <c r="V70" s="61" t="n">
        <f aca="false">J70*$Q3</f>
        <v>10.4</v>
      </c>
      <c r="W70" s="61" t="n">
        <f aca="false">K70*$Q3</f>
        <v>11.2</v>
      </c>
      <c r="X70" s="61" t="n">
        <f aca="false">L70*$Q3</f>
        <v>6.4</v>
      </c>
      <c r="Y70" s="61" t="n">
        <f aca="false">M70*$Q3</f>
        <v>8.8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 t="n">
        <v>44984</v>
      </c>
      <c r="G77" s="75"/>
      <c r="H77" s="103" t="n">
        <v>3.5</v>
      </c>
      <c r="I77" s="103" t="n">
        <v>6.5</v>
      </c>
      <c r="J77" s="103" t="n">
        <v>6</v>
      </c>
      <c r="K77" s="113" t="n">
        <v>7.4</v>
      </c>
      <c r="L77" s="113" t="n">
        <v>3.2</v>
      </c>
      <c r="M77" s="113" t="n">
        <v>5.3</v>
      </c>
      <c r="N77" s="104"/>
      <c r="O77" s="103" t="n">
        <v>82</v>
      </c>
      <c r="P77" s="103" t="n">
        <v>62</v>
      </c>
      <c r="Q77" s="103" t="n">
        <v>65</v>
      </c>
      <c r="R77" s="103" t="n">
        <v>69.7</v>
      </c>
      <c r="S77" s="104" t="n">
        <v>81</v>
      </c>
      <c r="T77" s="104" t="n">
        <v>48</v>
      </c>
      <c r="U77" s="104"/>
      <c r="V77" s="105" t="n">
        <v>0</v>
      </c>
    </row>
    <row r="78" customFormat="false" ht="15" hidden="false" customHeight="false" outlineLevel="0" collapsed="false">
      <c r="F78" s="38" t="n">
        <v>44985</v>
      </c>
      <c r="G78" s="38"/>
      <c r="H78" s="107" t="n">
        <v>3.1</v>
      </c>
      <c r="I78" s="107" t="n">
        <v>7</v>
      </c>
      <c r="J78" s="107" t="n">
        <v>6.4</v>
      </c>
      <c r="K78" s="115" t="n">
        <v>8.4</v>
      </c>
      <c r="L78" s="115" t="n">
        <v>3.1</v>
      </c>
      <c r="M78" s="115" t="n">
        <v>5.75</v>
      </c>
      <c r="N78" s="107"/>
      <c r="O78" s="107" t="n">
        <v>71</v>
      </c>
      <c r="P78" s="107" t="n">
        <v>52</v>
      </c>
      <c r="Q78" s="107" t="n">
        <v>58</v>
      </c>
      <c r="R78" s="107" t="n">
        <v>60.3</v>
      </c>
      <c r="S78" s="107" t="n">
        <v>72</v>
      </c>
      <c r="T78" s="107" t="n">
        <v>50</v>
      </c>
      <c r="U78" s="107"/>
      <c r="V78" s="125" t="n">
        <v>0</v>
      </c>
    </row>
    <row r="79" customFormat="false" ht="15" hidden="false" customHeight="false" outlineLevel="0" collapsed="false">
      <c r="F79" s="38" t="n">
        <v>44986</v>
      </c>
      <c r="G79" s="38"/>
      <c r="H79" s="106" t="n">
        <v>4.2</v>
      </c>
      <c r="I79" s="126" t="n">
        <v>4.9</v>
      </c>
      <c r="J79" s="126" t="n">
        <v>3</v>
      </c>
      <c r="K79" s="127" t="n">
        <v>6</v>
      </c>
      <c r="L79" s="127" t="n">
        <v>2.3</v>
      </c>
      <c r="M79" s="127" t="n">
        <v>4.15</v>
      </c>
      <c r="N79" s="126"/>
      <c r="O79" s="126" t="n">
        <v>68</v>
      </c>
      <c r="P79" s="126" t="n">
        <v>86</v>
      </c>
      <c r="Q79" s="126" t="n">
        <v>92</v>
      </c>
      <c r="R79" s="106" t="n">
        <v>82</v>
      </c>
      <c r="S79" s="126" t="n">
        <v>94</v>
      </c>
      <c r="T79" s="126" t="n">
        <v>60</v>
      </c>
      <c r="U79" s="126"/>
      <c r="V79" s="128" t="n">
        <v>9.6</v>
      </c>
    </row>
    <row r="80" customFormat="false" ht="15" hidden="false" customHeight="false" outlineLevel="0" collapsed="false">
      <c r="F80" s="38" t="n">
        <v>44987</v>
      </c>
      <c r="G80" s="38"/>
      <c r="H80" s="126" t="n">
        <v>4.4</v>
      </c>
      <c r="I80" s="126" t="n">
        <v>9</v>
      </c>
      <c r="J80" s="126" t="n">
        <v>8.2</v>
      </c>
      <c r="K80" s="127" t="n">
        <v>9.2</v>
      </c>
      <c r="L80" s="127" t="n">
        <v>2.6</v>
      </c>
      <c r="M80" s="127" t="n">
        <v>5.9</v>
      </c>
      <c r="N80" s="126"/>
      <c r="O80" s="126" t="n">
        <v>93</v>
      </c>
      <c r="P80" s="126" t="n">
        <v>75</v>
      </c>
      <c r="Q80" s="126" t="n">
        <v>82</v>
      </c>
      <c r="R80" s="126" t="n">
        <v>83.3</v>
      </c>
      <c r="S80" s="126" t="n">
        <v>94</v>
      </c>
      <c r="T80" s="126" t="n">
        <v>67</v>
      </c>
      <c r="U80" s="126"/>
      <c r="V80" s="128" t="n">
        <v>0.8</v>
      </c>
    </row>
    <row r="81" customFormat="false" ht="15" hidden="false" customHeight="false" outlineLevel="0" collapsed="false">
      <c r="F81" s="38" t="n">
        <v>44988</v>
      </c>
      <c r="G81" s="38"/>
      <c r="H81" s="126" t="n">
        <v>5.3</v>
      </c>
      <c r="I81" s="126" t="n">
        <v>14.4</v>
      </c>
      <c r="J81" s="126" t="n">
        <v>12</v>
      </c>
      <c r="K81" s="127" t="n">
        <v>15</v>
      </c>
      <c r="L81" s="127" t="n">
        <v>4.9</v>
      </c>
      <c r="M81" s="127" t="n">
        <v>9.95</v>
      </c>
      <c r="N81" s="126"/>
      <c r="O81" s="126" t="n">
        <v>85</v>
      </c>
      <c r="P81" s="107" t="n">
        <v>46</v>
      </c>
      <c r="Q81" s="107" t="n">
        <v>57</v>
      </c>
      <c r="R81" s="106" t="n">
        <v>62.7</v>
      </c>
      <c r="S81" s="107" t="n">
        <v>89</v>
      </c>
      <c r="T81" s="107" t="n">
        <v>46</v>
      </c>
      <c r="U81" s="107"/>
      <c r="V81" s="125" t="n">
        <v>0</v>
      </c>
    </row>
    <row r="82" customFormat="false" ht="15" hidden="false" customHeight="false" outlineLevel="0" collapsed="false">
      <c r="F82" s="38" t="n">
        <v>44989</v>
      </c>
      <c r="G82" s="38"/>
      <c r="H82" s="126" t="n">
        <v>5.2</v>
      </c>
      <c r="I82" s="126" t="n">
        <v>15.4</v>
      </c>
      <c r="J82" s="126" t="n">
        <v>12.2</v>
      </c>
      <c r="K82" s="127" t="n">
        <v>16.3</v>
      </c>
      <c r="L82" s="127" t="n">
        <v>4.6</v>
      </c>
      <c r="M82" s="127" t="n">
        <v>10.45</v>
      </c>
      <c r="N82" s="126"/>
      <c r="O82" s="107" t="n">
        <v>84</v>
      </c>
      <c r="P82" s="107" t="n">
        <v>39</v>
      </c>
      <c r="Q82" s="107" t="n">
        <v>50</v>
      </c>
      <c r="R82" s="106" t="n">
        <v>57.7</v>
      </c>
      <c r="S82" s="107" t="n">
        <v>87</v>
      </c>
      <c r="T82" s="107" t="n">
        <v>38</v>
      </c>
      <c r="U82" s="107"/>
      <c r="V82" s="125" t="n">
        <v>0</v>
      </c>
    </row>
    <row r="83" customFormat="false" ht="15" hidden="false" customHeight="false" outlineLevel="0" collapsed="false">
      <c r="F83" s="45" t="n">
        <v>44990</v>
      </c>
      <c r="G83" s="45"/>
      <c r="H83" s="129" t="n">
        <v>5</v>
      </c>
      <c r="I83" s="129" t="n">
        <v>15.7</v>
      </c>
      <c r="J83" s="129" t="n">
        <v>14</v>
      </c>
      <c r="K83" s="130" t="n">
        <v>16.9</v>
      </c>
      <c r="L83" s="130" t="n">
        <v>4.2</v>
      </c>
      <c r="M83" s="130" t="n">
        <v>10.55</v>
      </c>
      <c r="N83" s="129"/>
      <c r="O83" s="110" t="n">
        <v>70</v>
      </c>
      <c r="P83" s="110" t="n">
        <v>44</v>
      </c>
      <c r="Q83" s="110" t="n">
        <v>43</v>
      </c>
      <c r="R83" s="109" t="n">
        <v>52.3</v>
      </c>
      <c r="S83" s="110" t="n">
        <v>80</v>
      </c>
      <c r="T83" s="110" t="n">
        <v>39</v>
      </c>
      <c r="U83" s="110"/>
      <c r="V83" s="131" t="n">
        <v>0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J46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44991</v>
      </c>
      <c r="K3" s="5" t="n">
        <v>44997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44991</v>
      </c>
      <c r="W3" s="5" t="n">
        <v>44997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10</v>
      </c>
      <c r="H9" s="13" t="n">
        <v>10</v>
      </c>
      <c r="I9" s="13" t="n">
        <v>18</v>
      </c>
      <c r="J9" s="13" t="n">
        <v>26</v>
      </c>
      <c r="K9" s="13" t="n">
        <v>18</v>
      </c>
      <c r="L9" s="13" t="n">
        <v>15</v>
      </c>
      <c r="M9" s="13" t="n">
        <v>0</v>
      </c>
      <c r="P9" s="12" t="s">
        <v>16</v>
      </c>
      <c r="Q9" s="12"/>
      <c r="R9" s="12"/>
      <c r="S9" s="14" t="n">
        <f aca="false">Tabella527911247916182022242628303234[[#This Row],[Colonna1]]*$Q3</f>
        <v>4</v>
      </c>
      <c r="T9" s="14" t="n">
        <f aca="false">Tabella527911247916182022242628303234[[#This Row],[Colonna2]]*$Q3</f>
        <v>4</v>
      </c>
      <c r="U9" s="14" t="n">
        <f aca="false">Tabella527911247916182022242628303234[[#This Row],[Colonna3]]*$Q3</f>
        <v>7.2</v>
      </c>
      <c r="V9" s="14" t="n">
        <f aca="false">Tabella527911247916182022242628303234[[#This Row],[Colonna4]]*$Q3</f>
        <v>10.4</v>
      </c>
      <c r="W9" s="14" t="n">
        <f aca="false">Tabella527911247916182022242628303234[[#This Row],[Colonna5]]*$Q3</f>
        <v>7.2</v>
      </c>
      <c r="X9" s="14" t="n">
        <f aca="false">Tabella527911247916182022242628303234[[#This Row],[Colonna6]]*$Q3</f>
        <v>6</v>
      </c>
      <c r="Y9" s="14" t="n">
        <f aca="false">Tabella527911247916182022242628303234[[#This Row],[Colonna7]]*$Q3</f>
        <v>0</v>
      </c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 t="n">
        <v>1</v>
      </c>
      <c r="L19" s="13" t="n">
        <v>9</v>
      </c>
      <c r="M19" s="13" t="n">
        <v>8</v>
      </c>
      <c r="P19" s="9" t="s">
        <v>26</v>
      </c>
      <c r="Q19" s="9"/>
      <c r="R19" s="9"/>
      <c r="S19" s="14"/>
      <c r="T19" s="14"/>
      <c r="U19" s="14"/>
      <c r="V19" s="14"/>
      <c r="W19" s="14" t="n">
        <f aca="false">Tabella527911247916182022242628303234[[#This Row],[Colonna5]]*Q3</f>
        <v>0.4</v>
      </c>
      <c r="X19" s="14" t="n">
        <f aca="false">Tabella527911247916182022242628303234[[#This Row],[Colonna6]]*$Q3</f>
        <v>3.6</v>
      </c>
      <c r="Y19" s="14" t="n">
        <f aca="false">Tabella527911247916182022242628303234[[#This Row],[Colonna7]]*$Q3</f>
        <v>3.2</v>
      </c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7</v>
      </c>
      <c r="H21" s="13" t="n">
        <v>8</v>
      </c>
      <c r="I21" s="13" t="n">
        <v>23</v>
      </c>
      <c r="J21" s="13" t="n">
        <v>17</v>
      </c>
      <c r="K21" s="13" t="n">
        <v>36</v>
      </c>
      <c r="L21" s="13" t="n">
        <v>36</v>
      </c>
      <c r="M21" s="13" t="n">
        <v>25</v>
      </c>
      <c r="P21" s="16" t="s">
        <v>28</v>
      </c>
      <c r="Q21" s="16"/>
      <c r="R21" s="16"/>
      <c r="S21" s="14" t="n">
        <f aca="false">Tabella527911247916182022242628303234[[#This Row],[Colonna1]]*$Q3</f>
        <v>2.8</v>
      </c>
      <c r="T21" s="14" t="n">
        <f aca="false">Tabella527911247916182022242628303234[[#This Row],[Colonna2]]*$Q3</f>
        <v>3.2</v>
      </c>
      <c r="U21" s="14" t="n">
        <f aca="false">Tabella527911247916182022242628303234[[#This Row],[Colonna3]]*$Q3</f>
        <v>9.2</v>
      </c>
      <c r="V21" s="14" t="n">
        <f aca="false">Tabella527911247916182022242628303234[[#This Row],[Colonna4]]*$Q3</f>
        <v>6.8</v>
      </c>
      <c r="W21" s="14" t="n">
        <f aca="false">Tabella527911247916182022242628303234[[#This Row],[Colonna5]]*$Q3</f>
        <v>14.4</v>
      </c>
      <c r="X21" s="14" t="n">
        <f aca="false">Tabella527911247916182022242628303234[[#This Row],[Colonna6]]*$Q3</f>
        <v>14.4</v>
      </c>
      <c r="Y21" s="14" t="n">
        <f aca="false">Tabella527911247916182022242628303234[[#This Row],[Colonna7]]*$Q3</f>
        <v>10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456</v>
      </c>
      <c r="H22" s="13" t="n">
        <v>72</v>
      </c>
      <c r="I22" s="13" t="n">
        <v>58</v>
      </c>
      <c r="J22" s="13" t="n">
        <v>145</v>
      </c>
      <c r="K22" s="13" t="n">
        <v>118</v>
      </c>
      <c r="L22" s="13" t="n">
        <v>45</v>
      </c>
      <c r="M22" s="13" t="n">
        <v>117</v>
      </c>
      <c r="P22" s="12" t="s">
        <v>29</v>
      </c>
      <c r="Q22" s="12"/>
      <c r="R22" s="12"/>
      <c r="S22" s="14" t="n">
        <f aca="false">Tabella527911247916182022242628303234[[#This Row],[Colonna1]]*$Q3</f>
        <v>182.4</v>
      </c>
      <c r="T22" s="14" t="n">
        <f aca="false">Tabella527911247916182022242628303234[[#This Row],[Colonna2]]*$Q3</f>
        <v>28.8</v>
      </c>
      <c r="U22" s="14" t="n">
        <f aca="false">Tabella527911247916182022242628303234[[#This Row],[Colonna3]]*$Q3</f>
        <v>23.2</v>
      </c>
      <c r="V22" s="14" t="n">
        <f aca="false">Tabella527911247916182022242628303234[[#This Row],[Colonna4]]*$Q3</f>
        <v>58</v>
      </c>
      <c r="W22" s="14" t="n">
        <f aca="false">Tabella527911247916182022242628303234[[#This Row],[Colonna5]]*$Q3</f>
        <v>47.2</v>
      </c>
      <c r="X22" s="14" t="n">
        <f aca="false">Tabella527911247916182022242628303234[[#This Row],[Colonna6]]*$Q3</f>
        <v>18</v>
      </c>
      <c r="Y22" s="14" t="n">
        <f aca="false">Tabella527911247916182022242628303234[[#This Row],[Colonna7]]*$Q3</f>
        <v>46.8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 t="n">
        <v>1</v>
      </c>
      <c r="K23" s="13"/>
      <c r="L23" s="13"/>
      <c r="M23" s="13" t="n">
        <v>1</v>
      </c>
      <c r="P23" s="17" t="s">
        <v>30</v>
      </c>
      <c r="Q23" s="17"/>
      <c r="R23" s="17"/>
      <c r="S23" s="14"/>
      <c r="T23" s="14"/>
      <c r="U23" s="14"/>
      <c r="V23" s="14" t="n">
        <f aca="false">Tabella527911247916182022242628303234[[#This Row],[Colonna4]]*Q3</f>
        <v>0.4</v>
      </c>
      <c r="W23" s="14"/>
      <c r="X23" s="14"/>
      <c r="Y23" s="14" t="n">
        <f aca="false">Tabella527911247916182022242628303234[[#This Row],[Colonna7]]*Q3</f>
        <v>0.4</v>
      </c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 t="n">
        <v>1</v>
      </c>
      <c r="J28" s="13" t="n">
        <v>4</v>
      </c>
      <c r="K28" s="13" t="n">
        <v>3</v>
      </c>
      <c r="L28" s="13" t="n">
        <v>33</v>
      </c>
      <c r="M28" s="13"/>
      <c r="P28" s="12" t="s">
        <v>35</v>
      </c>
      <c r="Q28" s="12"/>
      <c r="R28" s="12"/>
      <c r="S28" s="14"/>
      <c r="T28" s="14"/>
      <c r="U28" s="14" t="n">
        <f aca="false">Tabella527911247916182022242628303234[[#This Row],[Colonna3]]*$Q3</f>
        <v>0.4</v>
      </c>
      <c r="V28" s="14" t="n">
        <f aca="false">Tabella527911247916182022242628303234[[#This Row],[Colonna4]]*$Q3</f>
        <v>1.6</v>
      </c>
      <c r="W28" s="14" t="n">
        <f aca="false">Tabella527911247916182022242628303234[[#This Row],[Colonna5]]*$Q3</f>
        <v>1.2</v>
      </c>
      <c r="X28" s="14" t="n">
        <f aca="false">Tabella527911247916182022242628303234[[#This Row],[Colonna6]]*$Q3</f>
        <v>13.2</v>
      </c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 t="n">
        <v>1</v>
      </c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 t="n">
        <f aca="false">Tabella527911247916182022242628303234[[#This Row],[Colonna5]]*Q3</f>
        <v>0.4</v>
      </c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 t="n">
        <v>1</v>
      </c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 t="n">
        <f aca="false">Tabella527911247916182022242628303234[[#This Row],[Colonna4]]*Q3</f>
        <v>0.4</v>
      </c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4</v>
      </c>
      <c r="H38" s="13" t="n">
        <v>3</v>
      </c>
      <c r="I38" s="13" t="n">
        <v>7</v>
      </c>
      <c r="J38" s="13" t="n">
        <v>32</v>
      </c>
      <c r="K38" s="13" t="n">
        <v>30</v>
      </c>
      <c r="L38" s="13" t="n">
        <v>33</v>
      </c>
      <c r="M38" s="13" t="n">
        <v>43</v>
      </c>
      <c r="P38" s="16" t="s">
        <v>45</v>
      </c>
      <c r="Q38" s="16"/>
      <c r="R38" s="16"/>
      <c r="S38" s="14" t="n">
        <f aca="false">Tabella527911247916182022242628303234[[#This Row],[Colonna1]]*$Q3</f>
        <v>1.6</v>
      </c>
      <c r="T38" s="14" t="n">
        <f aca="false">Tabella527911247916182022242628303234[[#This Row],[Colonna2]]*$Q3</f>
        <v>1.2</v>
      </c>
      <c r="U38" s="14" t="n">
        <f aca="false">Tabella527911247916182022242628303234[[#This Row],[Colonna3]]*$Q3</f>
        <v>2.8</v>
      </c>
      <c r="V38" s="14" t="n">
        <f aca="false">Tabella527911247916182022242628303234[[#This Row],[Colonna4]]*$Q3</f>
        <v>12.8</v>
      </c>
      <c r="W38" s="14" t="n">
        <f aca="false">Tabella527911247916182022242628303234[[#This Row],[Colonna5]]*$Q3</f>
        <v>12</v>
      </c>
      <c r="X38" s="14" t="n">
        <f aca="false">Tabella527911247916182022242628303234[[#This Row],[Colonna6]]*$Q3</f>
        <v>13.2</v>
      </c>
      <c r="Y38" s="14" t="n">
        <f aca="false">Tabella527911247916182022242628303234[[#This Row],[Colonna7]]*$Q3</f>
        <v>17.2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 t="n">
        <v>1</v>
      </c>
      <c r="J41" s="13" t="n">
        <v>1</v>
      </c>
      <c r="K41" s="13" t="n">
        <v>1</v>
      </c>
      <c r="L41" s="13"/>
      <c r="M41" s="13"/>
      <c r="P41" s="18" t="s">
        <v>48</v>
      </c>
      <c r="Q41" s="18"/>
      <c r="R41" s="18"/>
      <c r="S41" s="14"/>
      <c r="T41" s="14"/>
      <c r="U41" s="14" t="n">
        <f aca="false">Tabella527911247916182022242628303234[[#This Row],[Colonna3]]*$Q3</f>
        <v>0.4</v>
      </c>
      <c r="V41" s="14" t="n">
        <f aca="false">Tabella527911247916182022242628303234[[#This Row],[Colonna4]]*$Q3</f>
        <v>0.4</v>
      </c>
      <c r="W41" s="14" t="n">
        <f aca="false">Tabella527911247916182022242628303234[[#This Row],[Colonna5]]*$Q3</f>
        <v>0.4</v>
      </c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</v>
      </c>
      <c r="H44" s="13" t="n">
        <v>1</v>
      </c>
      <c r="I44" s="13" t="n">
        <v>1</v>
      </c>
      <c r="J44" s="13" t="n">
        <v>2</v>
      </c>
      <c r="K44" s="13"/>
      <c r="L44" s="13" t="n">
        <v>3</v>
      </c>
      <c r="M44" s="13"/>
      <c r="P44" s="12" t="s">
        <v>51</v>
      </c>
      <c r="Q44" s="12"/>
      <c r="R44" s="12"/>
      <c r="S44" s="14" t="n">
        <f aca="false">Tabella527911247916182022242628303234[[#This Row],[Colonna1]]*$Q3</f>
        <v>0.8</v>
      </c>
      <c r="T44" s="14" t="n">
        <f aca="false">Tabella527911247916182022242628303234[[#This Row],[Colonna2]]*$Q3</f>
        <v>0.4</v>
      </c>
      <c r="U44" s="14" t="n">
        <f aca="false">Tabella527911247916182022242628303234[[#This Row],[Colonna3]]*$Q3</f>
        <v>0.4</v>
      </c>
      <c r="V44" s="14" t="n">
        <f aca="false">Tabella527911247916182022242628303234[[#This Row],[Colonna4]]*$Q3</f>
        <v>0.8</v>
      </c>
      <c r="W44" s="14"/>
      <c r="X44" s="14" t="n">
        <f aca="false">Tabella527911247916182022242628303234[[#This Row],[Colonna6]]*$Q3</f>
        <v>1.2</v>
      </c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26</v>
      </c>
      <c r="H47" s="13" t="n">
        <v>19</v>
      </c>
      <c r="I47" s="13" t="n">
        <v>50</v>
      </c>
      <c r="J47" s="13" t="n">
        <v>110</v>
      </c>
      <c r="K47" s="13" t="n">
        <v>100</v>
      </c>
      <c r="L47" s="13" t="n">
        <v>380</v>
      </c>
      <c r="M47" s="13" t="n">
        <v>299</v>
      </c>
      <c r="P47" s="16" t="s">
        <v>54</v>
      </c>
      <c r="Q47" s="16"/>
      <c r="R47" s="16"/>
      <c r="S47" s="14" t="n">
        <f aca="false">Tabella527911247916182022242628303234[[#This Row],[Colonna1]]*$Q3</f>
        <v>10.4</v>
      </c>
      <c r="T47" s="14" t="n">
        <f aca="false">Tabella527911247916182022242628303234[[#This Row],[Colonna2]]*$Q3</f>
        <v>7.6</v>
      </c>
      <c r="U47" s="14" t="n">
        <f aca="false">Tabella527911247916182022242628303234[[#This Row],[Colonna3]]*$Q3</f>
        <v>20</v>
      </c>
      <c r="V47" s="14" t="n">
        <f aca="false">Tabella527911247916182022242628303234[[#This Row],[Colonna4]]*$Q3</f>
        <v>44</v>
      </c>
      <c r="W47" s="14" t="n">
        <f aca="false">Tabella527911247916182022242628303234[[#This Row],[Colonna5]]*$Q3</f>
        <v>40</v>
      </c>
      <c r="X47" s="14" t="n">
        <f aca="false">Tabella527911247916182022242628303234[[#This Row],[Colonna6]]*$Q3</f>
        <v>152</v>
      </c>
      <c r="Y47" s="14" t="n">
        <f aca="false">Tabella527911247916182022242628303234[[#This Row],[Colonna7]]*$Q3</f>
        <v>119.6</v>
      </c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 t="n">
        <v>2</v>
      </c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 t="n">
        <f aca="false">Tabella527911247916182022242628303234[[#This Row],[Colonna4]]*Q3</f>
        <v>0.8</v>
      </c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 t="n">
        <v>23</v>
      </c>
      <c r="H50" s="13" t="n">
        <v>19</v>
      </c>
      <c r="I50" s="13" t="n">
        <v>19</v>
      </c>
      <c r="J50" s="13" t="n">
        <v>46</v>
      </c>
      <c r="K50" s="13" t="n">
        <v>18</v>
      </c>
      <c r="L50" s="13" t="n">
        <v>23</v>
      </c>
      <c r="M50" s="13" t="n">
        <v>9</v>
      </c>
      <c r="P50" s="9" t="s">
        <v>57</v>
      </c>
      <c r="Q50" s="9"/>
      <c r="R50" s="9"/>
      <c r="S50" s="14" t="n">
        <f aca="false">Tabella527911247916182022242628303234[[#This Row],[Colonna1]]*$Q3</f>
        <v>9.2</v>
      </c>
      <c r="T50" s="14" t="n">
        <f aca="false">Tabella527911247916182022242628303234[[#This Row],[Colonna2]]*$Q3</f>
        <v>7.6</v>
      </c>
      <c r="U50" s="14" t="n">
        <f aca="false">Tabella527911247916182022242628303234[[#This Row],[Colonna3]]*$Q3</f>
        <v>7.6</v>
      </c>
      <c r="V50" s="14" t="n">
        <f aca="false">Tabella527911247916182022242628303234[[#This Row],[Colonna4]]*$Q3</f>
        <v>18.4</v>
      </c>
      <c r="W50" s="14" t="n">
        <f aca="false">Tabella527911247916182022242628303234[[#This Row],[Colonna5]]*$Q3</f>
        <v>7.2</v>
      </c>
      <c r="X50" s="14" t="n">
        <f aca="false">Tabella527911247916182022242628303234[[#This Row],[Colonna6]]*$Q3</f>
        <v>9.2</v>
      </c>
      <c r="Y50" s="14" t="n">
        <f aca="false">Tabella527911247916182022242628303234[[#This Row],[Colonna7]]*$Q3</f>
        <v>3.6</v>
      </c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28</v>
      </c>
      <c r="H52" s="13" t="n">
        <v>8</v>
      </c>
      <c r="I52" s="13" t="n">
        <v>7</v>
      </c>
      <c r="J52" s="13"/>
      <c r="K52" s="13"/>
      <c r="L52" s="13"/>
      <c r="M52" s="13"/>
      <c r="P52" s="12" t="s">
        <v>59</v>
      </c>
      <c r="Q52" s="12"/>
      <c r="R52" s="12"/>
      <c r="S52" s="14" t="n">
        <f aca="false">Tabella527911247916182022242628303234[[#This Row],[Colonna1]]*$Q3</f>
        <v>11.2</v>
      </c>
      <c r="T52" s="14" t="n">
        <f aca="false">Tabella527911247916182022242628303234[[#This Row],[Colonna2]]*$Q3</f>
        <v>3.2</v>
      </c>
      <c r="U52" s="14" t="n">
        <f aca="false">Tabella527911247916182022242628303234[[#This Row],[Colonna3]]*$Q3</f>
        <v>2.8</v>
      </c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SUM(G52,G50,G47,G44,G38,G22,G21,G9)</f>
        <v>556</v>
      </c>
      <c r="H53" s="55" t="n">
        <f aca="false">SUM(H52,H50,H47,H44,H38,H22,H21,H9)</f>
        <v>140</v>
      </c>
      <c r="I53" s="55" t="n">
        <f aca="false">SUM(I52,I50,I47,I44,I41,I38,I28,I22,I21,I9)</f>
        <v>185</v>
      </c>
      <c r="J53" s="55" t="n">
        <f aca="false">SUM(J50,J48,J47,J44,J41,J38,J31,J28,J22,J21,J9)</f>
        <v>386</v>
      </c>
      <c r="K53" s="55" t="n">
        <f aca="false">SUM(K50,K47,K41,K38,K29,K28,K22,K21,K19,K9)</f>
        <v>326</v>
      </c>
      <c r="L53" s="55" t="n">
        <f aca="false">SUM(L50,L47,L44,L38,L28,L22,L21,L19,L9)</f>
        <v>577</v>
      </c>
      <c r="M53" s="55" t="n">
        <f aca="false">SUM(M50,M47,M38,M23,M22,M21,M19,M9)</f>
        <v>502</v>
      </c>
      <c r="P53" s="17" t="s">
        <v>60</v>
      </c>
      <c r="Q53" s="17"/>
      <c r="R53" s="17"/>
      <c r="S53" s="56" t="n">
        <f aca="false">Tabella527911247916182022242628303234[[#This Row],[Colonna1]]*$Q3</f>
        <v>222.4</v>
      </c>
      <c r="T53" s="56" t="n">
        <f aca="false">Tabella527911247916182022242628303234[[#This Row],[Colonna2]]*Q3</f>
        <v>56</v>
      </c>
      <c r="U53" s="56" t="n">
        <f aca="false">Tabella527911247916182022242628303234[[#This Row],[Colonna3]]*$Q3</f>
        <v>74</v>
      </c>
      <c r="V53" s="56" t="n">
        <f aca="false">Tabella527911247916182022242628303234[[#This Row],[Colonna4]]*$Q3</f>
        <v>154.4</v>
      </c>
      <c r="W53" s="56" t="n">
        <f aca="false">Tabella527911247916182022242628303234[[#This Row],[Colonna5]]*$Q3</f>
        <v>130.4</v>
      </c>
      <c r="X53" s="56" t="n">
        <f aca="false">Tabella527911247916182022242628303234[[#This Row],[Colonna6]]*$Q3</f>
        <v>230.8</v>
      </c>
      <c r="Y53" s="56" t="n">
        <f aca="false">Tabella527911247916182022242628303234[[#This Row],[Colonna7]]*$Q3</f>
        <v>200.8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12</v>
      </c>
      <c r="H58" s="26" t="n">
        <v>13</v>
      </c>
      <c r="I58" s="26" t="n">
        <v>15</v>
      </c>
      <c r="J58" s="26" t="n">
        <v>16</v>
      </c>
      <c r="K58" s="26" t="n">
        <v>14</v>
      </c>
      <c r="L58" s="26" t="n">
        <v>32</v>
      </c>
      <c r="M58" s="26" t="n">
        <v>17</v>
      </c>
      <c r="P58" s="23" t="s">
        <v>62</v>
      </c>
      <c r="Q58" s="23"/>
      <c r="R58" s="23"/>
      <c r="S58" s="57" t="n">
        <f aca="false">G58*$Q3</f>
        <v>4.8</v>
      </c>
      <c r="T58" s="57" t="n">
        <f aca="false">H58*$Q3</f>
        <v>5.2</v>
      </c>
      <c r="U58" s="57" t="n">
        <f aca="false">I58*$Q3</f>
        <v>6</v>
      </c>
      <c r="V58" s="57" t="n">
        <f aca="false">J58*$Q3</f>
        <v>6.4</v>
      </c>
      <c r="W58" s="57" t="n">
        <f aca="false">K58*$Q3</f>
        <v>5.6</v>
      </c>
      <c r="X58" s="57" t="n">
        <f aca="false">L58*$Q3</f>
        <v>12.8</v>
      </c>
      <c r="Y58" s="57" t="n">
        <f aca="false">M58*$Q3</f>
        <v>6.8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 t="n">
        <v>1</v>
      </c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 t="n">
        <f aca="false">I61*$Q3</f>
        <v>0.4</v>
      </c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 t="n">
        <v>2</v>
      </c>
      <c r="L62" s="26"/>
      <c r="M62" s="26"/>
      <c r="P62" s="9" t="s">
        <v>66</v>
      </c>
      <c r="Q62" s="9"/>
      <c r="R62" s="9"/>
      <c r="S62" s="57"/>
      <c r="T62" s="57"/>
      <c r="U62" s="57"/>
      <c r="V62" s="57"/>
      <c r="W62" s="27" t="n">
        <f aca="false">K62*Q3</f>
        <v>0.8</v>
      </c>
      <c r="X62" s="27"/>
      <c r="Y62" s="27"/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/>
      <c r="K63" s="26" t="n">
        <v>1</v>
      </c>
      <c r="L63" s="26" t="n">
        <v>1</v>
      </c>
      <c r="M63" s="26"/>
      <c r="P63" s="9" t="s">
        <v>67</v>
      </c>
      <c r="Q63" s="9"/>
      <c r="R63" s="9"/>
      <c r="S63" s="57"/>
      <c r="T63" s="27"/>
      <c r="U63" s="27"/>
      <c r="V63" s="27"/>
      <c r="W63" s="27" t="n">
        <f aca="false">K63*Q3</f>
        <v>0.4</v>
      </c>
      <c r="X63" s="27" t="n">
        <f aca="false">L63*$Q3</f>
        <v>0.4</v>
      </c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 t="n">
        <v>1</v>
      </c>
      <c r="L64" s="26"/>
      <c r="M64" s="26"/>
      <c r="P64" s="9" t="s">
        <v>68</v>
      </c>
      <c r="Q64" s="9"/>
      <c r="R64" s="9"/>
      <c r="S64" s="57"/>
      <c r="T64" s="27"/>
      <c r="U64" s="27"/>
      <c r="V64" s="27"/>
      <c r="W64" s="27" t="n">
        <f aca="false">K64*Q3</f>
        <v>0.4</v>
      </c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1</v>
      </c>
      <c r="H65" s="26"/>
      <c r="I65" s="26" t="n">
        <v>1</v>
      </c>
      <c r="J65" s="26"/>
      <c r="K65" s="26" t="n">
        <v>3</v>
      </c>
      <c r="L65" s="26" t="n">
        <v>1</v>
      </c>
      <c r="M65" s="26" t="n">
        <v>11</v>
      </c>
      <c r="P65" s="9" t="s">
        <v>69</v>
      </c>
      <c r="Q65" s="9"/>
      <c r="R65" s="9"/>
      <c r="S65" s="57" t="n">
        <f aca="false">G65*$Q3</f>
        <v>0.4</v>
      </c>
      <c r="T65" s="57"/>
      <c r="U65" s="57" t="n">
        <f aca="false">I65*$Q3</f>
        <v>0.4</v>
      </c>
      <c r="V65" s="27"/>
      <c r="W65" s="27" t="n">
        <f aca="false">K65*Q3</f>
        <v>1.2</v>
      </c>
      <c r="X65" s="27" t="n">
        <f aca="false">L65*$Q3</f>
        <v>0.4</v>
      </c>
      <c r="Y65" s="27" t="n">
        <f aca="false">M65*$Q3</f>
        <v>4.4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4</v>
      </c>
      <c r="H67" s="26" t="n">
        <v>3</v>
      </c>
      <c r="I67" s="26" t="n">
        <v>5</v>
      </c>
      <c r="J67" s="26" t="n">
        <v>7</v>
      </c>
      <c r="K67" s="26" t="n">
        <v>3</v>
      </c>
      <c r="L67" s="26" t="n">
        <v>2</v>
      </c>
      <c r="M67" s="26" t="n">
        <v>15</v>
      </c>
      <c r="P67" s="9" t="s">
        <v>71</v>
      </c>
      <c r="Q67" s="9"/>
      <c r="R67" s="9"/>
      <c r="S67" s="57" t="n">
        <f aca="false">G67*$Q3</f>
        <v>1.6</v>
      </c>
      <c r="T67" s="57" t="n">
        <f aca="false">H67*$Q3</f>
        <v>1.2</v>
      </c>
      <c r="U67" s="57" t="n">
        <f aca="false">I67*$Q3</f>
        <v>2</v>
      </c>
      <c r="V67" s="57" t="n">
        <f aca="false">J67*$Q3</f>
        <v>2.8</v>
      </c>
      <c r="W67" s="57" t="n">
        <f aca="false">K67*$Q3</f>
        <v>1.2</v>
      </c>
      <c r="X67" s="57" t="n">
        <f aca="false">L67*$Q3</f>
        <v>0.8</v>
      </c>
      <c r="Y67" s="57" t="n">
        <f aca="false">M67*$Q3</f>
        <v>6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</v>
      </c>
      <c r="H68" s="30"/>
      <c r="I68" s="30"/>
      <c r="J68" s="30" t="n">
        <v>2</v>
      </c>
      <c r="K68" s="30" t="n">
        <v>2</v>
      </c>
      <c r="L68" s="30" t="n">
        <v>1</v>
      </c>
      <c r="M68" s="30"/>
      <c r="P68" s="9" t="s">
        <v>72</v>
      </c>
      <c r="Q68" s="9"/>
      <c r="R68" s="9"/>
      <c r="S68" s="59" t="n">
        <f aca="false">G68*$Q3</f>
        <v>0.4</v>
      </c>
      <c r="T68" s="59"/>
      <c r="U68" s="59"/>
      <c r="V68" s="59" t="n">
        <f aca="false">J68*Q3</f>
        <v>0.8</v>
      </c>
      <c r="W68" s="31" t="n">
        <f aca="false">K68*$Q3</f>
        <v>0.8</v>
      </c>
      <c r="X68" s="31" t="n">
        <f aca="false">L68*$Q3</f>
        <v>0.4</v>
      </c>
      <c r="Y68" s="31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2</v>
      </c>
      <c r="H69" s="30" t="n">
        <v>1</v>
      </c>
      <c r="I69" s="30"/>
      <c r="J69" s="30" t="n">
        <v>8</v>
      </c>
      <c r="K69" s="30" t="n">
        <v>21</v>
      </c>
      <c r="L69" s="30" t="n">
        <v>19</v>
      </c>
      <c r="M69" s="30" t="n">
        <v>3</v>
      </c>
      <c r="P69" s="9" t="s">
        <v>73</v>
      </c>
      <c r="Q69" s="9"/>
      <c r="R69" s="9"/>
      <c r="S69" s="59" t="n">
        <f aca="false">G69*$Q3</f>
        <v>0.8</v>
      </c>
      <c r="T69" s="59" t="n">
        <f aca="false">H69*$Q3</f>
        <v>0.4</v>
      </c>
      <c r="U69" s="59"/>
      <c r="V69" s="59" t="n">
        <f aca="false">J69*$Q3</f>
        <v>3.2</v>
      </c>
      <c r="W69" s="59" t="n">
        <f aca="false">K69*$Q3</f>
        <v>8.4</v>
      </c>
      <c r="X69" s="59" t="n">
        <f aca="false">L69*$Q3</f>
        <v>7.6</v>
      </c>
      <c r="Y69" s="59" t="n">
        <f aca="false">M69*$Q3</f>
        <v>1.2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SUM(G58,G65,G67,G68,G69)</f>
        <v>20</v>
      </c>
      <c r="H70" s="60" t="n">
        <f aca="false">SUM(H58,H69,H67)</f>
        <v>17</v>
      </c>
      <c r="I70" s="60" t="n">
        <f aca="false">SUM(I58,I61,I65,I67)</f>
        <v>22</v>
      </c>
      <c r="J70" s="60" t="n">
        <f aca="false">SUM(J69,J68,J67,J58)</f>
        <v>33</v>
      </c>
      <c r="K70" s="12" t="n">
        <f aca="false">SUM(K58,K62,K63,K64,K65,K67,K68,K69)</f>
        <v>47</v>
      </c>
      <c r="L70" s="12" t="n">
        <f aca="false">SUM(L69,L68,L67,L65,L63,L58)</f>
        <v>56</v>
      </c>
      <c r="M70" s="12" t="n">
        <f aca="false">SUM(M69,M67,M65,M58)</f>
        <v>46</v>
      </c>
      <c r="P70" s="9" t="s">
        <v>60</v>
      </c>
      <c r="Q70" s="9"/>
      <c r="R70" s="9"/>
      <c r="S70" s="61" t="n">
        <f aca="false">G70*$Q3</f>
        <v>8</v>
      </c>
      <c r="T70" s="61" t="n">
        <f aca="false">H70*$Q3</f>
        <v>6.8</v>
      </c>
      <c r="U70" s="61" t="n">
        <f aca="false">I70*$Q3</f>
        <v>8.8</v>
      </c>
      <c r="V70" s="61" t="n">
        <f aca="false">J70*$Q3</f>
        <v>13.2</v>
      </c>
      <c r="W70" s="61" t="n">
        <f aca="false">K70*$Q3</f>
        <v>18.8</v>
      </c>
      <c r="X70" s="61" t="n">
        <f aca="false">L70*$Q3</f>
        <v>22.4</v>
      </c>
      <c r="Y70" s="61" t="n">
        <f aca="false">M70*$Q3</f>
        <v>18.4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 t="n">
        <v>44991</v>
      </c>
      <c r="G77" s="75"/>
      <c r="H77" s="132" t="n">
        <v>8.6</v>
      </c>
      <c r="I77" s="132" t="n">
        <v>15.5</v>
      </c>
      <c r="J77" s="132" t="n">
        <v>12.9</v>
      </c>
      <c r="K77" s="132" t="n">
        <v>17</v>
      </c>
      <c r="L77" s="132" t="n">
        <v>8</v>
      </c>
      <c r="M77" s="132" t="n">
        <v>12.5</v>
      </c>
      <c r="N77" s="133"/>
      <c r="O77" s="113" t="n">
        <v>63</v>
      </c>
      <c r="P77" s="113" t="n">
        <v>44</v>
      </c>
      <c r="Q77" s="113" t="n">
        <v>50</v>
      </c>
      <c r="R77" s="113" t="n">
        <v>52.3</v>
      </c>
      <c r="S77" s="113" t="n">
        <v>68</v>
      </c>
      <c r="T77" s="113" t="n">
        <v>33</v>
      </c>
      <c r="U77" s="113"/>
      <c r="V77" s="114" t="n">
        <v>0</v>
      </c>
    </row>
    <row r="78" customFormat="false" ht="15" hidden="false" customHeight="false" outlineLevel="0" collapsed="false">
      <c r="F78" s="38" t="n">
        <v>44992</v>
      </c>
      <c r="G78" s="38"/>
      <c r="H78" s="127" t="n">
        <v>6.7</v>
      </c>
      <c r="I78" s="127" t="n">
        <v>16.7</v>
      </c>
      <c r="J78" s="127" t="n">
        <v>13</v>
      </c>
      <c r="K78" s="127" t="n">
        <v>17</v>
      </c>
      <c r="L78" s="127" t="n">
        <v>6</v>
      </c>
      <c r="M78" s="127" t="n">
        <v>11.5</v>
      </c>
      <c r="N78" s="126"/>
      <c r="O78" s="115" t="n">
        <v>70</v>
      </c>
      <c r="P78" s="115" t="n">
        <v>32</v>
      </c>
      <c r="Q78" s="115" t="n">
        <v>51</v>
      </c>
      <c r="R78" s="115" t="n">
        <v>51</v>
      </c>
      <c r="S78" s="115" t="n">
        <v>77</v>
      </c>
      <c r="T78" s="115" t="n">
        <v>32</v>
      </c>
      <c r="U78" s="115"/>
      <c r="V78" s="116" t="n">
        <v>0</v>
      </c>
    </row>
    <row r="79" customFormat="false" ht="15" hidden="false" customHeight="false" outlineLevel="0" collapsed="false">
      <c r="F79" s="38" t="n">
        <v>44993</v>
      </c>
      <c r="G79" s="38"/>
      <c r="H79" s="127" t="n">
        <v>7.5</v>
      </c>
      <c r="I79" s="127" t="n">
        <v>16.6</v>
      </c>
      <c r="J79" s="127" t="n">
        <v>14.9</v>
      </c>
      <c r="K79" s="127" t="n">
        <v>18</v>
      </c>
      <c r="L79" s="127" t="n">
        <v>7</v>
      </c>
      <c r="M79" s="127" t="n">
        <v>12.5</v>
      </c>
      <c r="N79" s="126"/>
      <c r="O79" s="115" t="n">
        <v>75</v>
      </c>
      <c r="P79" s="115" t="n">
        <v>48</v>
      </c>
      <c r="Q79" s="115" t="n">
        <v>57</v>
      </c>
      <c r="R79" s="115" t="n">
        <v>60</v>
      </c>
      <c r="S79" s="115" t="n">
        <v>80</v>
      </c>
      <c r="T79" s="115" t="n">
        <v>44</v>
      </c>
      <c r="U79" s="115"/>
      <c r="V79" s="116" t="n">
        <v>0</v>
      </c>
    </row>
    <row r="80" customFormat="false" ht="15" hidden="false" customHeight="false" outlineLevel="0" collapsed="false">
      <c r="F80" s="38" t="n">
        <v>44994</v>
      </c>
      <c r="G80" s="38"/>
      <c r="H80" s="127" t="n">
        <v>10.5</v>
      </c>
      <c r="I80" s="127" t="n">
        <v>19</v>
      </c>
      <c r="J80" s="127" t="n">
        <v>17</v>
      </c>
      <c r="K80" s="127" t="n">
        <v>20.5</v>
      </c>
      <c r="L80" s="127" t="n">
        <v>10.3</v>
      </c>
      <c r="M80" s="127" t="n">
        <v>15.4</v>
      </c>
      <c r="N80" s="126"/>
      <c r="O80" s="115" t="n">
        <v>78</v>
      </c>
      <c r="P80" s="115" t="n">
        <v>52</v>
      </c>
      <c r="Q80" s="115" t="n">
        <v>44</v>
      </c>
      <c r="R80" s="115" t="n">
        <v>58</v>
      </c>
      <c r="S80" s="115" t="n">
        <v>82</v>
      </c>
      <c r="T80" s="115" t="n">
        <v>42</v>
      </c>
      <c r="U80" s="115"/>
      <c r="V80" s="116" t="n">
        <v>0</v>
      </c>
    </row>
    <row r="81" customFormat="false" ht="15" hidden="false" customHeight="false" outlineLevel="0" collapsed="false">
      <c r="F81" s="38" t="n">
        <v>44995</v>
      </c>
      <c r="G81" s="38"/>
      <c r="H81" s="127" t="n">
        <v>9.8</v>
      </c>
      <c r="I81" s="127" t="n">
        <v>18.2</v>
      </c>
      <c r="J81" s="127" t="n">
        <v>16.3</v>
      </c>
      <c r="K81" s="127" t="n">
        <v>20.2</v>
      </c>
      <c r="L81" s="127" t="n">
        <v>9.1</v>
      </c>
      <c r="M81" s="127" t="n">
        <v>14.65</v>
      </c>
      <c r="N81" s="126"/>
      <c r="O81" s="115" t="n">
        <v>83</v>
      </c>
      <c r="P81" s="115" t="n">
        <v>51</v>
      </c>
      <c r="Q81" s="115" t="n">
        <v>49</v>
      </c>
      <c r="R81" s="115" t="n">
        <v>61</v>
      </c>
      <c r="S81" s="115" t="n">
        <v>92</v>
      </c>
      <c r="T81" s="115" t="n">
        <v>25</v>
      </c>
      <c r="U81" s="115"/>
      <c r="V81" s="116" t="n">
        <v>0</v>
      </c>
    </row>
    <row r="82" customFormat="false" ht="15" hidden="false" customHeight="false" outlineLevel="0" collapsed="false">
      <c r="F82" s="38" t="n">
        <v>44996</v>
      </c>
      <c r="G82" s="38"/>
      <c r="H82" s="127" t="n">
        <v>13.9</v>
      </c>
      <c r="I82" s="127" t="n">
        <v>22.6</v>
      </c>
      <c r="J82" s="127" t="n">
        <v>19.3</v>
      </c>
      <c r="K82" s="127" t="n">
        <v>23.8</v>
      </c>
      <c r="L82" s="127" t="n">
        <v>11</v>
      </c>
      <c r="M82" s="127" t="n">
        <v>17.4</v>
      </c>
      <c r="N82" s="126"/>
      <c r="O82" s="115" t="n">
        <v>38</v>
      </c>
      <c r="P82" s="115" t="n">
        <v>24</v>
      </c>
      <c r="Q82" s="115" t="n">
        <v>34</v>
      </c>
      <c r="R82" s="115" t="n">
        <v>32</v>
      </c>
      <c r="S82" s="115" t="n">
        <v>88</v>
      </c>
      <c r="T82" s="115" t="n">
        <v>23</v>
      </c>
      <c r="U82" s="115"/>
      <c r="V82" s="116" t="n">
        <v>0</v>
      </c>
    </row>
    <row r="83" customFormat="false" ht="15" hidden="false" customHeight="false" outlineLevel="0" collapsed="false">
      <c r="F83" s="45" t="n">
        <v>44997</v>
      </c>
      <c r="G83" s="45"/>
      <c r="H83" s="130" t="n">
        <v>9.2</v>
      </c>
      <c r="I83" s="130" t="n">
        <v>15.4</v>
      </c>
      <c r="J83" s="130" t="n">
        <v>14.8</v>
      </c>
      <c r="K83" s="130" t="n">
        <v>17.1</v>
      </c>
      <c r="L83" s="130" t="n">
        <v>9.2</v>
      </c>
      <c r="M83" s="130" t="n">
        <v>13.15</v>
      </c>
      <c r="N83" s="129"/>
      <c r="O83" s="117" t="n">
        <v>80</v>
      </c>
      <c r="P83" s="117" t="n">
        <v>59</v>
      </c>
      <c r="Q83" s="117" t="n">
        <v>63</v>
      </c>
      <c r="R83" s="117" t="n">
        <v>67.3</v>
      </c>
      <c r="S83" s="117" t="n">
        <v>93</v>
      </c>
      <c r="T83" s="117" t="n">
        <v>54</v>
      </c>
      <c r="U83" s="117"/>
      <c r="V83" s="118" t="n">
        <v>0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L43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44998</v>
      </c>
      <c r="K3" s="5" t="n">
        <v>45004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44998</v>
      </c>
      <c r="W3" s="5" t="n">
        <v>45004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 t="n">
        <v>28</v>
      </c>
      <c r="I7" s="13" t="n">
        <v>222</v>
      </c>
      <c r="J7" s="13" t="n">
        <v>50</v>
      </c>
      <c r="K7" s="13" t="n">
        <v>31</v>
      </c>
      <c r="L7" s="13" t="n">
        <v>23</v>
      </c>
      <c r="M7" s="13" t="n">
        <v>9</v>
      </c>
      <c r="P7" s="12" t="s">
        <v>14</v>
      </c>
      <c r="Q7" s="12"/>
      <c r="R7" s="12"/>
      <c r="S7" s="14"/>
      <c r="T7" s="14" t="n">
        <f aca="false">Tabella52791124791618202224262830323436[[#This Row],[Colonna2]]*$Q3</f>
        <v>11.2</v>
      </c>
      <c r="U7" s="14" t="n">
        <f aca="false">Tabella52791124791618202224262830323436[[#This Row],[Colonna3]]*$Q3</f>
        <v>88.8</v>
      </c>
      <c r="V7" s="14" t="n">
        <f aca="false">Tabella52791124791618202224262830323436[[#This Row],[Colonna4]]*$Q3</f>
        <v>20</v>
      </c>
      <c r="W7" s="14" t="n">
        <f aca="false">Tabella52791124791618202224262830323436[[#This Row],[Colonna5]]*$Q3</f>
        <v>12.4</v>
      </c>
      <c r="X7" s="14" t="n">
        <f aca="false">Tabella52791124791618202224262830323436[[#This Row],[Colonna6]]*$Q3</f>
        <v>9.2</v>
      </c>
      <c r="Y7" s="14" t="n">
        <f aca="false">Tabella52791124791618202224262830323436[[#This Row],[Colonna7]]*$Q3</f>
        <v>3.6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 t="n">
        <v>2</v>
      </c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 t="n">
        <f aca="false">Tabella52791124791618202224262830323436[[#This Row],[Colonna3]]*$Q3</f>
        <v>0.8</v>
      </c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17</v>
      </c>
      <c r="H9" s="13" t="n">
        <v>3</v>
      </c>
      <c r="I9" s="13" t="n">
        <v>3</v>
      </c>
      <c r="J9" s="13" t="n">
        <v>5</v>
      </c>
      <c r="K9" s="13" t="n">
        <v>1</v>
      </c>
      <c r="L9" s="13" t="n">
        <v>2</v>
      </c>
      <c r="M9" s="13" t="n">
        <v>1</v>
      </c>
      <c r="P9" s="12" t="s">
        <v>16</v>
      </c>
      <c r="Q9" s="12"/>
      <c r="R9" s="12"/>
      <c r="S9" s="14" t="n">
        <f aca="false">Tabella52791124791618202224262830323436[[#This Row],[Colonna1]]*$Q3</f>
        <v>6.8</v>
      </c>
      <c r="T9" s="14" t="n">
        <f aca="false">Tabella52791124791618202224262830323436[[#This Row],[Colonna2]]*$Q3</f>
        <v>1.2</v>
      </c>
      <c r="U9" s="14" t="n">
        <f aca="false">Tabella52791124791618202224262830323436[[#This Row],[Colonna3]]*$Q3</f>
        <v>1.2</v>
      </c>
      <c r="V9" s="14" t="n">
        <f aca="false">Tabella52791124791618202224262830323436[[#This Row],[Colonna4]]*$Q3</f>
        <v>2</v>
      </c>
      <c r="W9" s="14" t="n">
        <f aca="false">Tabella52791124791618202224262830323436[[#This Row],[Colonna5]]*$Q3</f>
        <v>0.4</v>
      </c>
      <c r="X9" s="14" t="n">
        <f aca="false">Tabella52791124791618202224262830323436[[#This Row],[Colonna6]]*$Q3</f>
        <v>0.8</v>
      </c>
      <c r="Y9" s="14" t="n">
        <f aca="false">Tabella52791124791618202224262830323436[[#This Row],[Colonna7]]*$Q3</f>
        <v>0.4</v>
      </c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1</v>
      </c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 t="n">
        <f aca="false">Tabella52791124791618202224262830323436[[#This Row],[Colonna1]]*$Q3</f>
        <v>0.4</v>
      </c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 t="n">
        <v>30</v>
      </c>
      <c r="H19" s="13" t="n">
        <v>13</v>
      </c>
      <c r="I19" s="13" t="n">
        <v>70</v>
      </c>
      <c r="J19" s="13" t="n">
        <v>37</v>
      </c>
      <c r="K19" s="13" t="n">
        <v>11</v>
      </c>
      <c r="L19" s="13" t="n">
        <v>3</v>
      </c>
      <c r="M19" s="13" t="n">
        <v>1</v>
      </c>
      <c r="P19" s="9" t="s">
        <v>26</v>
      </c>
      <c r="Q19" s="9"/>
      <c r="R19" s="9"/>
      <c r="S19" s="14" t="n">
        <f aca="false">Tabella52791124791618202224262830323436[[#This Row],[Colonna1]]*$Q3</f>
        <v>12</v>
      </c>
      <c r="T19" s="14" t="n">
        <f aca="false">Tabella52791124791618202224262830323436[[#This Row],[Colonna2]]*$Q3</f>
        <v>5.2</v>
      </c>
      <c r="U19" s="14" t="n">
        <f aca="false">Tabella52791124791618202224262830323436[[#This Row],[Colonna3]]*$Q3</f>
        <v>28</v>
      </c>
      <c r="V19" s="14" t="n">
        <f aca="false">Tabella52791124791618202224262830323436[[#This Row],[Colonna4]]*$Q3</f>
        <v>14.8</v>
      </c>
      <c r="W19" s="14" t="n">
        <f aca="false">Tabella52791124791618202224262830323436[[#This Row],[Colonna5]]*$Q3</f>
        <v>4.4</v>
      </c>
      <c r="X19" s="14" t="n">
        <f aca="false">Tabella52791124791618202224262830323436[[#This Row],[Colonna6]]*$Q3</f>
        <v>1.2</v>
      </c>
      <c r="Y19" s="14" t="n">
        <f aca="false">Tabella52791124791618202224262830323436[[#This Row],[Colonna7]]*$Q3</f>
        <v>0.4</v>
      </c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19</v>
      </c>
      <c r="H21" s="13" t="n">
        <v>8</v>
      </c>
      <c r="I21" s="13" t="n">
        <v>43</v>
      </c>
      <c r="J21" s="13" t="n">
        <v>30</v>
      </c>
      <c r="K21" s="13" t="n">
        <v>3</v>
      </c>
      <c r="L21" s="13" t="n">
        <v>6</v>
      </c>
      <c r="M21" s="13" t="n">
        <v>2</v>
      </c>
      <c r="P21" s="16" t="s">
        <v>28</v>
      </c>
      <c r="Q21" s="16"/>
      <c r="R21" s="16"/>
      <c r="S21" s="14" t="n">
        <f aca="false">Tabella52791124791618202224262830323436[[#This Row],[Colonna1]]*$Q3</f>
        <v>7.6</v>
      </c>
      <c r="T21" s="14" t="n">
        <f aca="false">Tabella52791124791618202224262830323436[[#This Row],[Colonna2]]*$Q3</f>
        <v>3.2</v>
      </c>
      <c r="U21" s="14" t="n">
        <f aca="false">Tabella52791124791618202224262830323436[[#This Row],[Colonna3]]*$Q3</f>
        <v>17.2</v>
      </c>
      <c r="V21" s="14" t="n">
        <f aca="false">Tabella52791124791618202224262830323436[[#This Row],[Colonna4]]*$Q3</f>
        <v>12</v>
      </c>
      <c r="W21" s="14" t="n">
        <f aca="false">Tabella52791124791618202224262830323436[[#This Row],[Colonna5]]*$Q3</f>
        <v>1.2</v>
      </c>
      <c r="X21" s="14" t="n">
        <f aca="false">Tabella52791124791618202224262830323436[[#This Row],[Colonna6]]*$Q3</f>
        <v>2.4</v>
      </c>
      <c r="Y21" s="14" t="n">
        <f aca="false">Tabella52791124791618202224262830323436[[#This Row],[Colonna7]]*$Q3</f>
        <v>0.8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130</v>
      </c>
      <c r="H22" s="13" t="n">
        <v>136</v>
      </c>
      <c r="I22" s="13" t="n">
        <v>123</v>
      </c>
      <c r="J22" s="13" t="n">
        <v>30</v>
      </c>
      <c r="K22" s="13" t="n">
        <v>10</v>
      </c>
      <c r="L22" s="13" t="n">
        <v>10</v>
      </c>
      <c r="M22" s="13" t="n">
        <v>17</v>
      </c>
      <c r="P22" s="12" t="s">
        <v>29</v>
      </c>
      <c r="Q22" s="12"/>
      <c r="R22" s="12"/>
      <c r="S22" s="14" t="n">
        <f aca="false">Tabella52791124791618202224262830323436[[#This Row],[Colonna1]]*$Q3</f>
        <v>52</v>
      </c>
      <c r="T22" s="14" t="n">
        <f aca="false">Tabella52791124791618202224262830323436[[#This Row],[Colonna2]]*$Q3</f>
        <v>54.4</v>
      </c>
      <c r="U22" s="14" t="n">
        <f aca="false">Tabella52791124791618202224262830323436[[#This Row],[Colonna3]]*$Q3</f>
        <v>49.2</v>
      </c>
      <c r="V22" s="14" t="n">
        <f aca="false">Tabella52791124791618202224262830323436[[#This Row],[Colonna4]]*$Q3</f>
        <v>12</v>
      </c>
      <c r="W22" s="14" t="n">
        <f aca="false">Tabella52791124791618202224262830323436[[#This Row],[Colonna5]]*$Q3</f>
        <v>4</v>
      </c>
      <c r="X22" s="14" t="n">
        <f aca="false">Tabella52791124791618202224262830323436[[#This Row],[Colonna6]]*$Q3</f>
        <v>4</v>
      </c>
      <c r="Y22" s="14" t="n">
        <f aca="false">Tabella52791124791618202224262830323436[[#This Row],[Colonna7]]*$Q3</f>
        <v>6.8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 t="n">
        <v>1</v>
      </c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 t="n">
        <f aca="false">Tabella52791124791618202224262830323436[[#This Row],[Colonna2]]*$Q3</f>
        <v>0.4</v>
      </c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 t="n">
        <v>1</v>
      </c>
      <c r="J27" s="13" t="n">
        <v>4</v>
      </c>
      <c r="K27" s="13" t="n">
        <v>2</v>
      </c>
      <c r="L27" s="13" t="n">
        <v>3</v>
      </c>
      <c r="M27" s="13"/>
      <c r="P27" s="12" t="s">
        <v>34</v>
      </c>
      <c r="Q27" s="12"/>
      <c r="R27" s="12"/>
      <c r="S27" s="14"/>
      <c r="T27" s="14"/>
      <c r="U27" s="14" t="n">
        <f aca="false">Tabella52791124791618202224262830323436[[#This Row],[Colonna3]]*$Q3</f>
        <v>0.4</v>
      </c>
      <c r="V27" s="14" t="n">
        <f aca="false">Tabella52791124791618202224262830323436[[#This Row],[Colonna4]]*$Q3</f>
        <v>1.6</v>
      </c>
      <c r="W27" s="14" t="n">
        <f aca="false">Tabella52791124791618202224262830323436[[#This Row],[Colonna5]]*$Q3</f>
        <v>0.8</v>
      </c>
      <c r="X27" s="14" t="n">
        <f aca="false">Tabella52791124791618202224262830323436[[#This Row],[Colonna6]]*$Q3</f>
        <v>1.2</v>
      </c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11</v>
      </c>
      <c r="H28" s="13" t="n">
        <v>1</v>
      </c>
      <c r="I28" s="13"/>
      <c r="J28" s="13"/>
      <c r="K28" s="13"/>
      <c r="L28" s="13"/>
      <c r="M28" s="13"/>
      <c r="P28" s="12" t="s">
        <v>35</v>
      </c>
      <c r="Q28" s="12"/>
      <c r="R28" s="12"/>
      <c r="S28" s="14" t="n">
        <f aca="false">Tabella52791124791618202224262830323436[[#This Row],[Colonna1]]*$Q3</f>
        <v>4.4</v>
      </c>
      <c r="T28" s="14" t="n">
        <f aca="false">Tabella52791124791618202224262830323436[[#This Row],[Colonna2]]*$Q3</f>
        <v>0.4</v>
      </c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</v>
      </c>
      <c r="H29" s="13" t="n">
        <v>0</v>
      </c>
      <c r="I29" s="13" t="n">
        <v>3</v>
      </c>
      <c r="J29" s="13" t="n">
        <v>5</v>
      </c>
      <c r="K29" s="13" t="n">
        <v>0</v>
      </c>
      <c r="L29" s="13" t="n">
        <v>2</v>
      </c>
      <c r="M29" s="13" t="n">
        <v>2</v>
      </c>
      <c r="P29" s="12" t="s">
        <v>36</v>
      </c>
      <c r="Q29" s="12"/>
      <c r="R29" s="12"/>
      <c r="S29" s="14" t="n">
        <f aca="false">Tabella52791124791618202224262830323436[[#This Row],[Colonna1]]*$Q3</f>
        <v>0.4</v>
      </c>
      <c r="T29" s="14" t="n">
        <f aca="false">Tabella52791124791618202224262830323436[[#This Row],[Colonna2]]*$Q3</f>
        <v>0</v>
      </c>
      <c r="U29" s="14" t="n">
        <f aca="false">Tabella52791124791618202224262830323436[[#This Row],[Colonna3]]*$Q3</f>
        <v>1.2</v>
      </c>
      <c r="V29" s="14" t="n">
        <f aca="false">Tabella52791124791618202224262830323436[[#This Row],[Colonna4]]*$Q3</f>
        <v>2</v>
      </c>
      <c r="W29" s="14" t="n">
        <f aca="false">Tabella52791124791618202224262830323436[[#This Row],[Colonna5]]*$Q3</f>
        <v>0</v>
      </c>
      <c r="X29" s="14" t="n">
        <f aca="false">Tabella52791124791618202224262830323436[[#This Row],[Colonna6]]*$Q3</f>
        <v>0.8</v>
      </c>
      <c r="Y29" s="14" t="n">
        <f aca="false">Tabella52791124791618202224262830323436[[#This Row],[Colonna7]]*$Q3</f>
        <v>0.8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 t="n">
        <v>1</v>
      </c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 t="n">
        <f aca="false">Tabella52791124791618202224262830323436[[#This Row],[Colonna3]]*$Q3</f>
        <v>0.4</v>
      </c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 t="n">
        <v>1</v>
      </c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 t="n">
        <f aca="false">Tabella52791124791618202224262830323436[[#This Row],[Colonna5]]*$Q3</f>
        <v>0.4</v>
      </c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50</v>
      </c>
      <c r="H38" s="13" t="n">
        <v>37</v>
      </c>
      <c r="I38" s="13" t="n">
        <v>80</v>
      </c>
      <c r="J38" s="13" t="n">
        <v>18</v>
      </c>
      <c r="K38" s="13" t="n">
        <v>16</v>
      </c>
      <c r="L38" s="13" t="n">
        <v>9</v>
      </c>
      <c r="M38" s="13" t="n">
        <v>6</v>
      </c>
      <c r="P38" s="16" t="s">
        <v>45</v>
      </c>
      <c r="Q38" s="16"/>
      <c r="R38" s="16"/>
      <c r="S38" s="14" t="n">
        <f aca="false">Tabella52791124791618202224262830323436[[#This Row],[Colonna1]]*$Q3</f>
        <v>20</v>
      </c>
      <c r="T38" s="14" t="n">
        <f aca="false">Tabella52791124791618202224262830323436[[#This Row],[Colonna2]]*$Q3</f>
        <v>14.8</v>
      </c>
      <c r="U38" s="14" t="n">
        <f aca="false">Tabella52791124791618202224262830323436[[#This Row],[Colonna3]]*$Q3</f>
        <v>32</v>
      </c>
      <c r="V38" s="14" t="n">
        <f aca="false">Tabella52791124791618202224262830323436[[#This Row],[Colonna4]]*$Q3</f>
        <v>7.2</v>
      </c>
      <c r="W38" s="14" t="n">
        <f aca="false">Tabella52791124791618202224262830323436[[#This Row],[Colonna5]]*$Q3</f>
        <v>6.4</v>
      </c>
      <c r="X38" s="14" t="n">
        <f aca="false">Tabella52791124791618202224262830323436[[#This Row],[Colonna6]]*$Q3</f>
        <v>3.6</v>
      </c>
      <c r="Y38" s="14" t="n">
        <f aca="false">Tabella52791124791618202224262830323436[[#This Row],[Colonna7]]*$Q3</f>
        <v>2.4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 t="n">
        <v>1</v>
      </c>
      <c r="I41" s="13" t="n">
        <v>1</v>
      </c>
      <c r="J41" s="13" t="n">
        <v>1</v>
      </c>
      <c r="K41" s="13"/>
      <c r="L41" s="13"/>
      <c r="M41" s="13"/>
      <c r="P41" s="18" t="s">
        <v>48</v>
      </c>
      <c r="Q41" s="18"/>
      <c r="R41" s="18"/>
      <c r="S41" s="14"/>
      <c r="T41" s="14" t="n">
        <f aca="false">Tabella52791124791618202224262830323436[[#This Row],[Colonna2]]*$Q3</f>
        <v>0.4</v>
      </c>
      <c r="U41" s="14" t="n">
        <f aca="false">Tabella52791124791618202224262830323436[[#This Row],[Colonna3]]*$Q3</f>
        <v>0.4</v>
      </c>
      <c r="V41" s="14" t="n">
        <f aca="false">Tabella52791124791618202224262830323436[[#This Row],[Colonna4]]*$Q3</f>
        <v>0.4</v>
      </c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</v>
      </c>
      <c r="H44" s="13" t="n">
        <v>2</v>
      </c>
      <c r="I44" s="13" t="n">
        <v>17</v>
      </c>
      <c r="J44" s="13" t="n">
        <v>4</v>
      </c>
      <c r="K44" s="13"/>
      <c r="L44" s="13" t="n">
        <v>1</v>
      </c>
      <c r="M44" s="13" t="n">
        <v>3</v>
      </c>
      <c r="P44" s="12" t="s">
        <v>51</v>
      </c>
      <c r="Q44" s="12"/>
      <c r="R44" s="12"/>
      <c r="S44" s="14" t="n">
        <f aca="false">Tabella52791124791618202224262830323436[[#This Row],[Colonna1]]*$Q3</f>
        <v>0.8</v>
      </c>
      <c r="T44" s="14" t="n">
        <f aca="false">Tabella52791124791618202224262830323436[[#This Row],[Colonna2]]*$Q3</f>
        <v>0.8</v>
      </c>
      <c r="U44" s="14" t="n">
        <f aca="false">Tabella52791124791618202224262830323436[[#This Row],[Colonna3]]*$Q3</f>
        <v>6.8</v>
      </c>
      <c r="V44" s="14" t="n">
        <f aca="false">Tabella52791124791618202224262830323436[[#This Row],[Colonna4]]*$Q3</f>
        <v>1.6</v>
      </c>
      <c r="W44" s="14"/>
      <c r="X44" s="14" t="n">
        <f aca="false">Tabella52791124791618202224262830323436[[#This Row],[Colonna6]]*$Q3</f>
        <v>0.4</v>
      </c>
      <c r="Y44" s="14" t="n">
        <f aca="false">Tabella52791124791618202224262830323436[[#This Row],[Colonna7]]*$Q3</f>
        <v>1.2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382</v>
      </c>
      <c r="H47" s="13" t="n">
        <v>261</v>
      </c>
      <c r="I47" s="13" t="n">
        <v>172</v>
      </c>
      <c r="J47" s="13" t="n">
        <v>61</v>
      </c>
      <c r="K47" s="13" t="n">
        <v>23</v>
      </c>
      <c r="L47" s="13" t="n">
        <v>46</v>
      </c>
      <c r="M47" s="13" t="n">
        <v>14</v>
      </c>
      <c r="P47" s="16" t="s">
        <v>54</v>
      </c>
      <c r="Q47" s="16"/>
      <c r="R47" s="16"/>
      <c r="S47" s="14" t="n">
        <f aca="false">Tabella52791124791618202224262830323436[[#This Row],[Colonna1]]*$Q3</f>
        <v>152.8</v>
      </c>
      <c r="T47" s="14" t="n">
        <f aca="false">Tabella52791124791618202224262830323436[[#This Row],[Colonna2]]*$Q3</f>
        <v>104.4</v>
      </c>
      <c r="U47" s="14" t="n">
        <f aca="false">Tabella52791124791618202224262830323436[[#This Row],[Colonna3]]*$Q3</f>
        <v>68.8</v>
      </c>
      <c r="V47" s="14" t="n">
        <f aca="false">Tabella52791124791618202224262830323436[[#This Row],[Colonna4]]*$Q3</f>
        <v>24.4</v>
      </c>
      <c r="W47" s="14" t="n">
        <f aca="false">Tabella52791124791618202224262830323436[[#This Row],[Colonna5]]*$Q3</f>
        <v>9.2</v>
      </c>
      <c r="X47" s="14" t="n">
        <f aca="false">Tabella52791124791618202224262830323436[[#This Row],[Colonna6]]*$Q3</f>
        <v>18.4</v>
      </c>
      <c r="Y47" s="14" t="n">
        <f aca="false">Tabella52791124791618202224262830323436[[#This Row],[Colonna7]]*$Q3</f>
        <v>5.6</v>
      </c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1</v>
      </c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 t="n">
        <f aca="false">Tabella52791124791618202224262830323436[[#This Row],[Colonna1]]*$Q3</f>
        <v>0.4</v>
      </c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 t="n">
        <v>10</v>
      </c>
      <c r="H50" s="13" t="n">
        <v>3</v>
      </c>
      <c r="I50" s="13" t="n">
        <v>36</v>
      </c>
      <c r="J50" s="13" t="n">
        <v>12</v>
      </c>
      <c r="K50" s="13" t="n">
        <v>6</v>
      </c>
      <c r="L50" s="13" t="n">
        <v>10</v>
      </c>
      <c r="M50" s="13" t="n">
        <v>2</v>
      </c>
      <c r="P50" s="9" t="s">
        <v>57</v>
      </c>
      <c r="Q50" s="9"/>
      <c r="R50" s="9"/>
      <c r="S50" s="14" t="n">
        <f aca="false">Tabella52791124791618202224262830323436[[#This Row],[Colonna1]]*$Q3</f>
        <v>4</v>
      </c>
      <c r="T50" s="14" t="n">
        <f aca="false">Tabella52791124791618202224262830323436[[#This Row],[Colonna2]]*$Q3</f>
        <v>1.2</v>
      </c>
      <c r="U50" s="14" t="n">
        <f aca="false">Tabella52791124791618202224262830323436[[#This Row],[Colonna3]]*$Q3</f>
        <v>14.4</v>
      </c>
      <c r="V50" s="14" t="n">
        <f aca="false">Tabella52791124791618202224262830323436[[#This Row],[Colonna4]]*$Q3</f>
        <v>4.8</v>
      </c>
      <c r="W50" s="14" t="n">
        <f aca="false">Tabella52791124791618202224262830323436[[#This Row],[Colonna5]]*$Q3</f>
        <v>2.4</v>
      </c>
      <c r="X50" s="14" t="n">
        <f aca="false">Tabella52791124791618202224262830323436[[#This Row],[Colonna6]]*$Q3</f>
        <v>4</v>
      </c>
      <c r="Y50" s="14" t="n">
        <f aca="false">Tabella52791124791618202224262830323436[[#This Row],[Colonna7]]*$Q3</f>
        <v>0.8</v>
      </c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SUM(G9,G10,G19,G21,G22,G28,G29,G38,G44,G47,G49,G50)</f>
        <v>654</v>
      </c>
      <c r="H53" s="55" t="n">
        <f aca="false">SUM(H50,H47,H44,H41,H38,H28,H23,H22,H21,H19,H9,H7)</f>
        <v>494</v>
      </c>
      <c r="I53" s="55" t="n">
        <f aca="false">SUM(I50,I47,I44,I41,I38,I35,I29,I27,I22,I21,I19,I9,I8,I7)</f>
        <v>774</v>
      </c>
      <c r="J53" s="55" t="n">
        <f aca="false">SUM(J50,J47,J44,J41,J38,J29,J27,J22,J21,J19,J9,J7)</f>
        <v>257</v>
      </c>
      <c r="K53" s="55" t="n">
        <f aca="false">SUM(K50,K47,K38,K36,K27,K22,K21,K19,K9,K7)</f>
        <v>104</v>
      </c>
      <c r="L53" s="55" t="n">
        <f aca="false">SUM(L50,L47,L44,L38,L29,L27,L22,L21,L19,L9,L7)</f>
        <v>115</v>
      </c>
      <c r="M53" s="55" t="n">
        <f aca="false">SUM(M50,M47,M44,M38,M29,M22,M21,M19,M9,M7)</f>
        <v>57</v>
      </c>
      <c r="P53" s="17" t="s">
        <v>60</v>
      </c>
      <c r="Q53" s="17"/>
      <c r="R53" s="17"/>
      <c r="S53" s="56" t="n">
        <f aca="false">Tabella52791124791618202224262830323436[[#This Row],[Colonna1]]*$Q3</f>
        <v>261.6</v>
      </c>
      <c r="T53" s="56" t="n">
        <f aca="false">Tabella52791124791618202224262830323436[[#This Row],[Colonna2]]*$Q3</f>
        <v>197.6</v>
      </c>
      <c r="U53" s="56" t="n">
        <f aca="false">Tabella52791124791618202224262830323436[[#This Row],[Colonna3]]*$Q3</f>
        <v>309.6</v>
      </c>
      <c r="V53" s="56" t="n">
        <f aca="false">Tabella52791124791618202224262830323436[[#This Row],[Colonna4]]*$Q3</f>
        <v>102.8</v>
      </c>
      <c r="W53" s="56" t="n">
        <f aca="false">Tabella52791124791618202224262830323436[[#This Row],[Colonna5]]*$Q3</f>
        <v>41.6</v>
      </c>
      <c r="X53" s="56" t="n">
        <f aca="false">Tabella52791124791618202224262830323436[[#This Row],[Colonna6]]*$Q3</f>
        <v>46</v>
      </c>
      <c r="Y53" s="56" t="n">
        <f aca="false">Tabella52791124791618202224262830323436[[#This Row],[Colonna7]]*$Q3</f>
        <v>22.8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32</v>
      </c>
      <c r="H58" s="26" t="n">
        <v>18</v>
      </c>
      <c r="I58" s="26" t="n">
        <v>28</v>
      </c>
      <c r="J58" s="26" t="n">
        <v>20</v>
      </c>
      <c r="K58" s="26" t="n">
        <v>16</v>
      </c>
      <c r="L58" s="26" t="n">
        <v>6</v>
      </c>
      <c r="M58" s="26" t="n">
        <v>11</v>
      </c>
      <c r="P58" s="23" t="s">
        <v>62</v>
      </c>
      <c r="Q58" s="23"/>
      <c r="R58" s="23"/>
      <c r="S58" s="57" t="n">
        <f aca="false">G58*$Q3</f>
        <v>12.8</v>
      </c>
      <c r="T58" s="57" t="n">
        <f aca="false">H58*$Q3</f>
        <v>7.2</v>
      </c>
      <c r="U58" s="57" t="n">
        <f aca="false">I58*$Q3</f>
        <v>11.2</v>
      </c>
      <c r="V58" s="57" t="n">
        <f aca="false">J58*$Q3</f>
        <v>8</v>
      </c>
      <c r="W58" s="57" t="n">
        <f aca="false">K58*$Q3</f>
        <v>6.4</v>
      </c>
      <c r="X58" s="57" t="n">
        <f aca="false">L58*$Q3</f>
        <v>2.4</v>
      </c>
      <c r="Y58" s="57" t="n">
        <f aca="false">M58*$Q3</f>
        <v>4.4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1</v>
      </c>
      <c r="H62" s="26"/>
      <c r="I62" s="26" t="n">
        <v>1</v>
      </c>
      <c r="J62" s="26" t="n">
        <v>1</v>
      </c>
      <c r="K62" s="26"/>
      <c r="L62" s="26"/>
      <c r="M62" s="26"/>
      <c r="P62" s="9" t="s">
        <v>66</v>
      </c>
      <c r="Q62" s="9"/>
      <c r="R62" s="9"/>
      <c r="S62" s="57" t="n">
        <f aca="false">G62*$Q3</f>
        <v>0.4</v>
      </c>
      <c r="T62" s="57"/>
      <c r="U62" s="57" t="n">
        <f aca="false">I62*$Q3</f>
        <v>0.4</v>
      </c>
      <c r="V62" s="57" t="n">
        <f aca="false">J62*$Q3</f>
        <v>0.4</v>
      </c>
      <c r="W62" s="27"/>
      <c r="X62" s="27"/>
      <c r="Y62" s="27"/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 t="n">
        <v>1</v>
      </c>
      <c r="K63" s="26"/>
      <c r="L63" s="26"/>
      <c r="M63" s="26"/>
      <c r="P63" s="9" t="s">
        <v>67</v>
      </c>
      <c r="Q63" s="9"/>
      <c r="R63" s="9"/>
      <c r="S63" s="57"/>
      <c r="T63" s="27"/>
      <c r="U63" s="27"/>
      <c r="V63" s="27" t="n">
        <f aca="false">J63*$Q3</f>
        <v>0.4</v>
      </c>
      <c r="W63" s="27"/>
      <c r="X63" s="2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 t="n">
        <v>1</v>
      </c>
      <c r="P64" s="9" t="s">
        <v>68</v>
      </c>
      <c r="Q64" s="9"/>
      <c r="R64" s="9"/>
      <c r="S64" s="57"/>
      <c r="T64" s="27"/>
      <c r="U64" s="27"/>
      <c r="V64" s="27"/>
      <c r="W64" s="27"/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2</v>
      </c>
      <c r="H65" s="26" t="n">
        <v>184</v>
      </c>
      <c r="I65" s="26" t="n">
        <v>29</v>
      </c>
      <c r="J65" s="26" t="n">
        <v>3</v>
      </c>
      <c r="K65" s="26" t="n">
        <v>2</v>
      </c>
      <c r="L65" s="26"/>
      <c r="M65" s="26" t="n">
        <v>3</v>
      </c>
      <c r="P65" s="9" t="s">
        <v>69</v>
      </c>
      <c r="Q65" s="9"/>
      <c r="R65" s="9"/>
      <c r="S65" s="57" t="n">
        <f aca="false">G65*$Q3</f>
        <v>0.8</v>
      </c>
      <c r="T65" s="57" t="n">
        <f aca="false">H65*$Q3</f>
        <v>73.6</v>
      </c>
      <c r="U65" s="57" t="n">
        <f aca="false">I65*$Q3</f>
        <v>11.6</v>
      </c>
      <c r="V65" s="57" t="n">
        <f aca="false">J65*$Q3</f>
        <v>1.2</v>
      </c>
      <c r="W65" s="57" t="n">
        <f aca="false">K65*$Q3</f>
        <v>0.8</v>
      </c>
      <c r="X65" s="57"/>
      <c r="Y65" s="57" t="n">
        <f aca="false">M65*$Q3</f>
        <v>1.2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13</v>
      </c>
      <c r="H67" s="26" t="n">
        <v>3</v>
      </c>
      <c r="I67" s="26" t="n">
        <v>24</v>
      </c>
      <c r="J67" s="26" t="n">
        <v>8</v>
      </c>
      <c r="K67" s="26" t="n">
        <v>3</v>
      </c>
      <c r="L67" s="26" t="n">
        <v>1</v>
      </c>
      <c r="M67" s="26" t="n">
        <v>2</v>
      </c>
      <c r="P67" s="9" t="s">
        <v>71</v>
      </c>
      <c r="Q67" s="9"/>
      <c r="R67" s="9"/>
      <c r="S67" s="57" t="n">
        <f aca="false">G67*$Q3</f>
        <v>5.2</v>
      </c>
      <c r="T67" s="57" t="n">
        <f aca="false">H67*$Q3</f>
        <v>1.2</v>
      </c>
      <c r="U67" s="57" t="n">
        <f aca="false">I67*$Q3</f>
        <v>9.6</v>
      </c>
      <c r="V67" s="57" t="n">
        <f aca="false">J67*$Q3</f>
        <v>3.2</v>
      </c>
      <c r="W67" s="57" t="n">
        <f aca="false">K67*$Q3</f>
        <v>1.2</v>
      </c>
      <c r="X67" s="57" t="n">
        <f aca="false">L67*$Q3</f>
        <v>0.4</v>
      </c>
      <c r="Y67" s="57" t="n">
        <f aca="false">M67*$Q3</f>
        <v>0.8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</v>
      </c>
      <c r="H68" s="30"/>
      <c r="I68" s="30"/>
      <c r="J68" s="30"/>
      <c r="K68" s="30" t="n">
        <v>2</v>
      </c>
      <c r="L68" s="30" t="n">
        <v>1</v>
      </c>
      <c r="M68" s="30" t="n">
        <v>1</v>
      </c>
      <c r="P68" s="9" t="s">
        <v>72</v>
      </c>
      <c r="Q68" s="9"/>
      <c r="R68" s="9"/>
      <c r="S68" s="59" t="n">
        <f aca="false">G68*$Q3</f>
        <v>0.4</v>
      </c>
      <c r="T68" s="59"/>
      <c r="U68" s="59"/>
      <c r="V68" s="59"/>
      <c r="W68" s="59" t="n">
        <f aca="false">K68*$Q3</f>
        <v>0.8</v>
      </c>
      <c r="X68" s="59" t="n">
        <f aca="false">L68*$Q3</f>
        <v>0.4</v>
      </c>
      <c r="Y68" s="59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3</v>
      </c>
      <c r="H69" s="30" t="n">
        <v>9</v>
      </c>
      <c r="I69" s="30" t="n">
        <v>9</v>
      </c>
      <c r="J69" s="30" t="n">
        <v>6</v>
      </c>
      <c r="K69" s="30"/>
      <c r="L69" s="30" t="n">
        <v>1</v>
      </c>
      <c r="M69" s="30" t="n">
        <v>3</v>
      </c>
      <c r="P69" s="9" t="s">
        <v>73</v>
      </c>
      <c r="Q69" s="9"/>
      <c r="R69" s="9"/>
      <c r="S69" s="59" t="n">
        <f aca="false">G69*$Q3</f>
        <v>1.2</v>
      </c>
      <c r="T69" s="59" t="n">
        <f aca="false">H69*$Q3</f>
        <v>3.6</v>
      </c>
      <c r="U69" s="59" t="n">
        <f aca="false">I69*$Q3</f>
        <v>3.6</v>
      </c>
      <c r="V69" s="59" t="n">
        <f aca="false">J69*$Q3</f>
        <v>2.4</v>
      </c>
      <c r="W69" s="59"/>
      <c r="X69" s="31"/>
      <c r="Y69" s="31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SUM(G58,G62,G65,G67,G68,G69)</f>
        <v>52</v>
      </c>
      <c r="H70" s="60" t="n">
        <f aca="false">SUM(H69,H67,H65,H58)</f>
        <v>214</v>
      </c>
      <c r="I70" s="60" t="n">
        <f aca="false">SUM(I69,I67,I65,I62,I58)</f>
        <v>91</v>
      </c>
      <c r="J70" s="60" t="n">
        <f aca="false">SUM(J69,J67,J65,J63,J62,J58)</f>
        <v>39</v>
      </c>
      <c r="K70" s="12" t="n">
        <f aca="false">SUM(K68,K67,K65,K58)</f>
        <v>23</v>
      </c>
      <c r="L70" s="12" t="n">
        <f aca="false">SUM(L69,L68,L67,L58)</f>
        <v>9</v>
      </c>
      <c r="M70" s="12" t="n">
        <f aca="false">SUM(M69,M68,M67,M65,M64,M58)</f>
        <v>21</v>
      </c>
      <c r="P70" s="9" t="s">
        <v>60</v>
      </c>
      <c r="Q70" s="9"/>
      <c r="R70" s="9"/>
      <c r="S70" s="61" t="n">
        <f aca="false">G70*$Q3</f>
        <v>20.8</v>
      </c>
      <c r="T70" s="61" t="n">
        <f aca="false">H70*$Q3</f>
        <v>85.6</v>
      </c>
      <c r="U70" s="61" t="n">
        <f aca="false">I70*$Q3</f>
        <v>36.4</v>
      </c>
      <c r="V70" s="61" t="n">
        <f aca="false">J70*$Q3</f>
        <v>15.6</v>
      </c>
      <c r="W70" s="61" t="n">
        <f aca="false">K70*$Q3</f>
        <v>9.2</v>
      </c>
      <c r="X70" s="61" t="n">
        <f aca="false">L70*$Q3</f>
        <v>3.6</v>
      </c>
      <c r="Y70" s="61" t="n">
        <f aca="false">M70*$Q3</f>
        <v>8.4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 t="n">
        <v>44998</v>
      </c>
      <c r="G77" s="75"/>
      <c r="H77" s="133" t="n">
        <v>7.7</v>
      </c>
      <c r="I77" s="133" t="n">
        <v>15.1</v>
      </c>
      <c r="J77" s="133" t="n">
        <v>14.9</v>
      </c>
      <c r="K77" s="132" t="n">
        <v>16.6</v>
      </c>
      <c r="L77" s="132" t="n">
        <v>6.8</v>
      </c>
      <c r="M77" s="132" t="n">
        <v>11.7</v>
      </c>
      <c r="N77" s="133"/>
      <c r="O77" s="104" t="n">
        <v>84</v>
      </c>
      <c r="P77" s="104" t="n">
        <v>65</v>
      </c>
      <c r="Q77" s="104" t="n">
        <v>62</v>
      </c>
      <c r="R77" s="103" t="n">
        <v>70.3</v>
      </c>
      <c r="S77" s="104" t="n">
        <v>95</v>
      </c>
      <c r="T77" s="104" t="n">
        <v>58</v>
      </c>
      <c r="U77" s="104"/>
      <c r="V77" s="134" t="n">
        <v>0</v>
      </c>
    </row>
    <row r="78" customFormat="false" ht="15" hidden="false" customHeight="false" outlineLevel="0" collapsed="false">
      <c r="F78" s="38" t="n">
        <v>44999</v>
      </c>
      <c r="G78" s="38"/>
      <c r="H78" s="126" t="n">
        <v>9.8</v>
      </c>
      <c r="I78" s="126" t="n">
        <v>15</v>
      </c>
      <c r="J78" s="126" t="n">
        <v>13.7</v>
      </c>
      <c r="K78" s="127" t="n">
        <v>16.2</v>
      </c>
      <c r="L78" s="127" t="n">
        <v>9.5</v>
      </c>
      <c r="M78" s="127" t="n">
        <v>12.85</v>
      </c>
      <c r="N78" s="126"/>
      <c r="O78" s="107" t="n">
        <v>96</v>
      </c>
      <c r="P78" s="107" t="n">
        <v>67</v>
      </c>
      <c r="Q78" s="107" t="n">
        <v>76</v>
      </c>
      <c r="R78" s="106" t="n">
        <v>79.7</v>
      </c>
      <c r="S78" s="107" t="n">
        <v>96</v>
      </c>
      <c r="T78" s="107" t="n">
        <v>61</v>
      </c>
      <c r="U78" s="107"/>
      <c r="V78" s="125" t="n">
        <v>1.4</v>
      </c>
    </row>
    <row r="79" customFormat="false" ht="15" hidden="false" customHeight="false" outlineLevel="0" collapsed="false">
      <c r="F79" s="38" t="n">
        <v>45000</v>
      </c>
      <c r="G79" s="38"/>
      <c r="H79" s="126" t="n">
        <v>8.3</v>
      </c>
      <c r="I79" s="126" t="n">
        <v>16</v>
      </c>
      <c r="J79" s="126" t="n">
        <v>12.8</v>
      </c>
      <c r="K79" s="127" t="n">
        <v>17.4</v>
      </c>
      <c r="L79" s="127" t="n">
        <v>7.1</v>
      </c>
      <c r="M79" s="127" t="n">
        <v>12.25</v>
      </c>
      <c r="N79" s="126"/>
      <c r="O79" s="107" t="n">
        <v>40</v>
      </c>
      <c r="P79" s="107" t="n">
        <v>31</v>
      </c>
      <c r="Q79" s="107" t="n">
        <v>56</v>
      </c>
      <c r="R79" s="106" t="n">
        <v>42.3</v>
      </c>
      <c r="S79" s="107" t="n">
        <v>89</v>
      </c>
      <c r="T79" s="107" t="n">
        <v>18</v>
      </c>
      <c r="U79" s="107"/>
      <c r="V79" s="125" t="n">
        <v>0</v>
      </c>
    </row>
    <row r="80" customFormat="false" ht="15" hidden="false" customHeight="false" outlineLevel="0" collapsed="false">
      <c r="F80" s="38" t="n">
        <v>45001</v>
      </c>
      <c r="G80" s="38"/>
      <c r="H80" s="126" t="n">
        <v>4.9</v>
      </c>
      <c r="I80" s="126" t="n">
        <v>15.5</v>
      </c>
      <c r="J80" s="126" t="n">
        <v>12.3</v>
      </c>
      <c r="K80" s="127" t="n">
        <v>15.9</v>
      </c>
      <c r="L80" s="127" t="n">
        <v>4.1</v>
      </c>
      <c r="M80" s="127" t="n">
        <v>10</v>
      </c>
      <c r="N80" s="126"/>
      <c r="O80" s="107" t="n">
        <v>58</v>
      </c>
      <c r="P80" s="107" t="n">
        <v>28</v>
      </c>
      <c r="Q80" s="107" t="n">
        <v>41</v>
      </c>
      <c r="R80" s="106" t="n">
        <v>42.3</v>
      </c>
      <c r="S80" s="107" t="n">
        <v>72</v>
      </c>
      <c r="T80" s="107" t="n">
        <v>28</v>
      </c>
      <c r="U80" s="107"/>
      <c r="V80" s="125" t="n">
        <v>0</v>
      </c>
    </row>
    <row r="81" customFormat="false" ht="15" hidden="false" customHeight="false" outlineLevel="0" collapsed="false">
      <c r="F81" s="38" t="n">
        <v>45002</v>
      </c>
      <c r="G81" s="38"/>
      <c r="H81" s="107" t="n">
        <v>4.5</v>
      </c>
      <c r="I81" s="107" t="n">
        <v>14.8</v>
      </c>
      <c r="J81" s="107" t="n">
        <v>12.8</v>
      </c>
      <c r="K81" s="115" t="n">
        <v>15.5</v>
      </c>
      <c r="L81" s="115" t="n">
        <v>3.5</v>
      </c>
      <c r="M81" s="115" t="n">
        <v>9.5</v>
      </c>
      <c r="N81" s="107"/>
      <c r="O81" s="107" t="n">
        <v>75</v>
      </c>
      <c r="P81" s="107" t="n">
        <v>33</v>
      </c>
      <c r="Q81" s="107" t="n">
        <v>44</v>
      </c>
      <c r="R81" s="106" t="n">
        <v>50.7</v>
      </c>
      <c r="S81" s="107" t="n">
        <v>82</v>
      </c>
      <c r="T81" s="107" t="n">
        <v>33</v>
      </c>
      <c r="U81" s="107"/>
      <c r="V81" s="125" t="n">
        <v>0</v>
      </c>
    </row>
    <row r="82" customFormat="false" ht="15" hidden="false" customHeight="false" outlineLevel="0" collapsed="false">
      <c r="F82" s="38" t="n">
        <v>45003</v>
      </c>
      <c r="G82" s="38"/>
      <c r="H82" s="107" t="n">
        <v>5.7</v>
      </c>
      <c r="I82" s="107" t="n">
        <v>16.2</v>
      </c>
      <c r="J82" s="107" t="n">
        <v>14.4</v>
      </c>
      <c r="K82" s="115" t="n">
        <v>17.7</v>
      </c>
      <c r="L82" s="115" t="n">
        <v>5</v>
      </c>
      <c r="M82" s="115" t="n">
        <v>11.35</v>
      </c>
      <c r="N82" s="107"/>
      <c r="O82" s="107" t="n">
        <v>71</v>
      </c>
      <c r="P82" s="107" t="n">
        <v>42</v>
      </c>
      <c r="Q82" s="107" t="n">
        <v>49</v>
      </c>
      <c r="R82" s="106" t="n">
        <v>54</v>
      </c>
      <c r="S82" s="107" t="n">
        <v>73</v>
      </c>
      <c r="T82" s="107" t="n">
        <v>41</v>
      </c>
      <c r="U82" s="107"/>
      <c r="V82" s="125" t="n">
        <v>0</v>
      </c>
    </row>
    <row r="83" customFormat="false" ht="15" hidden="false" customHeight="false" outlineLevel="0" collapsed="false">
      <c r="F83" s="45" t="n">
        <v>45004</v>
      </c>
      <c r="G83" s="45"/>
      <c r="H83" s="129" t="n">
        <v>8.4</v>
      </c>
      <c r="I83" s="129" t="n">
        <v>14.8</v>
      </c>
      <c r="J83" s="129" t="n">
        <v>12.5</v>
      </c>
      <c r="K83" s="130" t="n">
        <v>15.5</v>
      </c>
      <c r="L83" s="130" t="n">
        <v>7.8</v>
      </c>
      <c r="M83" s="117" t="n">
        <v>11.65</v>
      </c>
      <c r="N83" s="110"/>
      <c r="O83" s="110" t="n">
        <v>87</v>
      </c>
      <c r="P83" s="110" t="n">
        <v>52</v>
      </c>
      <c r="Q83" s="110" t="n">
        <v>73</v>
      </c>
      <c r="R83" s="109" t="n">
        <v>70.7</v>
      </c>
      <c r="S83" s="110" t="n">
        <v>91</v>
      </c>
      <c r="T83" s="110" t="n">
        <v>52</v>
      </c>
      <c r="U83" s="110"/>
      <c r="V83" s="131" t="n">
        <v>0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43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45005</v>
      </c>
      <c r="K3" s="5" t="n">
        <v>45011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45005</v>
      </c>
      <c r="W3" s="5" t="n">
        <v>45011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 t="n">
        <v>9</v>
      </c>
      <c r="H6" s="13" t="n">
        <v>15</v>
      </c>
      <c r="I6" s="13" t="n">
        <v>1</v>
      </c>
      <c r="J6" s="13" t="n">
        <v>18</v>
      </c>
      <c r="K6" s="13" t="n">
        <v>6</v>
      </c>
      <c r="L6" s="13" t="n">
        <v>10</v>
      </c>
      <c r="M6" s="13" t="n">
        <v>28</v>
      </c>
      <c r="P6" s="9" t="s">
        <v>13</v>
      </c>
      <c r="Q6" s="9"/>
      <c r="R6" s="9"/>
      <c r="S6" s="14" t="n">
        <f aca="false">Tabella5279112479161820222426283032343638[[#This Row],[Colonna1]]*$Q3</f>
        <v>3.6</v>
      </c>
      <c r="T6" s="14" t="n">
        <f aca="false">Tabella5279112479161820222426283032343638[[#This Row],[Colonna2]]*$Q3</f>
        <v>6</v>
      </c>
      <c r="U6" s="14" t="n">
        <f aca="false">Tabella5279112479161820222426283032343638[[#This Row],[Colonna3]]*$Q3</f>
        <v>0.4</v>
      </c>
      <c r="V6" s="14" t="n">
        <f aca="false">Tabella5279112479161820222426283032343638[[#This Row],[Colonna4]]*$Q3</f>
        <v>7.2</v>
      </c>
      <c r="W6" s="14" t="n">
        <f aca="false">Tabella5279112479161820222426283032343638[[#This Row],[Colonna5]]*$Q3</f>
        <v>2.4</v>
      </c>
      <c r="X6" s="14" t="n">
        <f aca="false">Tabella5279112479161820222426283032343638[[#This Row],[Colonna6]]*$Q3</f>
        <v>4</v>
      </c>
      <c r="Y6" s="14" t="n">
        <f aca="false">Tabella5279112479161820222426283032343638[[#This Row],[Colonna7]]*$Q3</f>
        <v>11.2</v>
      </c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18</v>
      </c>
      <c r="H7" s="13" t="n">
        <v>73</v>
      </c>
      <c r="I7" s="13" t="n">
        <v>54</v>
      </c>
      <c r="J7" s="13" t="n">
        <v>20</v>
      </c>
      <c r="K7" s="13" t="n">
        <v>8</v>
      </c>
      <c r="L7" s="13" t="n">
        <v>2</v>
      </c>
      <c r="M7" s="13" t="n">
        <v>45</v>
      </c>
      <c r="P7" s="12" t="s">
        <v>14</v>
      </c>
      <c r="Q7" s="12"/>
      <c r="R7" s="12"/>
      <c r="S7" s="14" t="n">
        <f aca="false">Tabella5279112479161820222426283032343638[[#This Row],[Colonna1]]*$Q3</f>
        <v>7.2</v>
      </c>
      <c r="T7" s="14" t="n">
        <f aca="false">Tabella5279112479161820222426283032343638[[#This Row],[Colonna2]]*$Q3</f>
        <v>29.2</v>
      </c>
      <c r="U7" s="14" t="n">
        <f aca="false">Tabella5279112479161820222426283032343638[[#This Row],[Colonna3]]*$Q3</f>
        <v>21.6</v>
      </c>
      <c r="V7" s="14" t="n">
        <f aca="false">Tabella5279112479161820222426283032343638[[#This Row],[Colonna4]]*$Q3</f>
        <v>8</v>
      </c>
      <c r="W7" s="14" t="n">
        <f aca="false">Tabella5279112479161820222426283032343638[[#This Row],[Colonna5]]*$Q3</f>
        <v>3.2</v>
      </c>
      <c r="X7" s="14" t="n">
        <f aca="false">Tabella5279112479161820222426283032343638[[#This Row],[Colonna6]]*$Q3</f>
        <v>0.8</v>
      </c>
      <c r="Y7" s="14" t="n">
        <f aca="false">Tabella5279112479161820222426283032343638[[#This Row],[Colonna7]]*$Q3</f>
        <v>18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 t="n">
        <v>5</v>
      </c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 t="n">
        <f aca="false">Tabella5279112479161820222426283032343638[[#This Row],[Colonna6]]*$Q3</f>
        <v>2</v>
      </c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1</v>
      </c>
      <c r="H9" s="13" t="n">
        <v>1</v>
      </c>
      <c r="I9" s="13" t="n">
        <v>9</v>
      </c>
      <c r="J9" s="13" t="n">
        <v>1</v>
      </c>
      <c r="K9" s="13"/>
      <c r="L9" s="13" t="n">
        <v>1</v>
      </c>
      <c r="M9" s="13"/>
      <c r="P9" s="12" t="s">
        <v>16</v>
      </c>
      <c r="Q9" s="12"/>
      <c r="R9" s="12"/>
      <c r="S9" s="14" t="n">
        <f aca="false">Tabella5279112479161820222426283032343638[[#This Row],[Colonna1]]*$Q3</f>
        <v>0.4</v>
      </c>
      <c r="T9" s="14" t="n">
        <f aca="false">Tabella5279112479161820222426283032343638[[#This Row],[Colonna2]]*$Q3</f>
        <v>0.4</v>
      </c>
      <c r="U9" s="14" t="n">
        <f aca="false">Tabella5279112479161820222426283032343638[[#This Row],[Colonna3]]*$Q3</f>
        <v>3.6</v>
      </c>
      <c r="V9" s="14" t="n">
        <f aca="false">Tabella5279112479161820222426283032343638[[#This Row],[Colonna4]]*$Q3</f>
        <v>0.4</v>
      </c>
      <c r="W9" s="14"/>
      <c r="X9" s="14" t="n">
        <f aca="false">Tabella5279112479161820222426283032343638[[#This Row],[Colonna6]]*$Q3</f>
        <v>0.4</v>
      </c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 t="n">
        <v>1</v>
      </c>
      <c r="I10" s="13" t="n">
        <v>5</v>
      </c>
      <c r="J10" s="13" t="n">
        <v>3</v>
      </c>
      <c r="K10" s="13"/>
      <c r="L10" s="13" t="n">
        <v>14</v>
      </c>
      <c r="M10" s="13" t="n">
        <v>2</v>
      </c>
      <c r="P10" s="12" t="s">
        <v>17</v>
      </c>
      <c r="Q10" s="12"/>
      <c r="R10" s="12"/>
      <c r="S10" s="14"/>
      <c r="T10" s="14" t="n">
        <f aca="false">Tabella5279112479161820222426283032343638[[#This Row],[Colonna2]]*$Q3</f>
        <v>0.4</v>
      </c>
      <c r="U10" s="14" t="n">
        <f aca="false">Tabella5279112479161820222426283032343638[[#This Row],[Colonna3]]*$Q3</f>
        <v>2</v>
      </c>
      <c r="V10" s="14" t="n">
        <f aca="false">Tabella5279112479161820222426283032343638[[#This Row],[Colonna4]]*$Q3</f>
        <v>1.2</v>
      </c>
      <c r="W10" s="14"/>
      <c r="X10" s="14" t="n">
        <f aca="false">Tabella5279112479161820222426283032343638[[#This Row],[Colonna6]]*$Q3</f>
        <v>5.6</v>
      </c>
      <c r="Y10" s="14" t="n">
        <f aca="false">Tabella5279112479161820222426283032343638[[#This Row],[Colonna7]]*$Q3</f>
        <v>0.8</v>
      </c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 t="n">
        <v>3</v>
      </c>
      <c r="H19" s="13" t="n">
        <v>24</v>
      </c>
      <c r="I19" s="13" t="n">
        <v>56</v>
      </c>
      <c r="J19" s="13" t="n">
        <v>53</v>
      </c>
      <c r="K19" s="13" t="n">
        <v>20</v>
      </c>
      <c r="L19" s="13" t="n">
        <v>28</v>
      </c>
      <c r="M19" s="13" t="n">
        <v>18</v>
      </c>
      <c r="P19" s="9" t="s">
        <v>26</v>
      </c>
      <c r="Q19" s="9"/>
      <c r="R19" s="9"/>
      <c r="S19" s="14" t="n">
        <f aca="false">Tabella5279112479161820222426283032343638[[#This Row],[Colonna1]]*$Q3</f>
        <v>1.2</v>
      </c>
      <c r="T19" s="14" t="n">
        <f aca="false">Tabella5279112479161820222426283032343638[[#This Row],[Colonna2]]*$Q3</f>
        <v>9.6</v>
      </c>
      <c r="U19" s="14" t="n">
        <f aca="false">Tabella5279112479161820222426283032343638[[#This Row],[Colonna3]]*$Q3</f>
        <v>22.4</v>
      </c>
      <c r="V19" s="14" t="n">
        <f aca="false">Tabella5279112479161820222426283032343638[[#This Row],[Colonna4]]*$Q3</f>
        <v>21.2</v>
      </c>
      <c r="W19" s="14" t="n">
        <f aca="false">Tabella5279112479161820222426283032343638[[#This Row],[Colonna5]]*$Q3</f>
        <v>8</v>
      </c>
      <c r="X19" s="14" t="n">
        <f aca="false">Tabella5279112479161820222426283032343638[[#This Row],[Colonna6]]*$Q3</f>
        <v>11.2</v>
      </c>
      <c r="Y19" s="14" t="n">
        <f aca="false">Tabella5279112479161820222426283032343638[[#This Row],[Colonna7]]*$Q3</f>
        <v>7.2</v>
      </c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 t="n">
        <v>3</v>
      </c>
      <c r="I21" s="13" t="n">
        <v>5</v>
      </c>
      <c r="J21" s="13" t="n">
        <v>3</v>
      </c>
      <c r="K21" s="13"/>
      <c r="L21" s="13" t="n">
        <v>5</v>
      </c>
      <c r="M21" s="13" t="n">
        <v>10</v>
      </c>
      <c r="P21" s="16" t="s">
        <v>28</v>
      </c>
      <c r="Q21" s="16"/>
      <c r="R21" s="16"/>
      <c r="S21" s="14"/>
      <c r="T21" s="14" t="n">
        <f aca="false">Tabella5279112479161820222426283032343638[[#This Row],[Colonna2]]*$Q3</f>
        <v>1.2</v>
      </c>
      <c r="U21" s="14" t="n">
        <f aca="false">Tabella5279112479161820222426283032343638[[#This Row],[Colonna3]]*$Q3</f>
        <v>2</v>
      </c>
      <c r="V21" s="14" t="n">
        <f aca="false">Tabella5279112479161820222426283032343638[[#This Row],[Colonna4]]*$Q3</f>
        <v>1.2</v>
      </c>
      <c r="W21" s="14"/>
      <c r="X21" s="14" t="n">
        <f aca="false">Tabella5279112479161820222426283032343638[[#This Row],[Colonna6]]*$Q3</f>
        <v>2</v>
      </c>
      <c r="Y21" s="14" t="n">
        <f aca="false">Tabella5279112479161820222426283032343638[[#This Row],[Colonna7]]*$Q3</f>
        <v>4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7</v>
      </c>
      <c r="H22" s="13" t="n">
        <v>22</v>
      </c>
      <c r="I22" s="13" t="n">
        <v>15</v>
      </c>
      <c r="J22" s="13" t="n">
        <v>18</v>
      </c>
      <c r="K22" s="13" t="n">
        <v>11</v>
      </c>
      <c r="L22" s="13" t="n">
        <v>12</v>
      </c>
      <c r="M22" s="13" t="n">
        <v>14</v>
      </c>
      <c r="P22" s="12" t="s">
        <v>29</v>
      </c>
      <c r="Q22" s="12"/>
      <c r="R22" s="12"/>
      <c r="S22" s="14" t="n">
        <f aca="false">Tabella5279112479161820222426283032343638[[#This Row],[Colonna1]]*$Q3</f>
        <v>2.8</v>
      </c>
      <c r="T22" s="14" t="n">
        <f aca="false">Tabella5279112479161820222426283032343638[[#This Row],[Colonna2]]*$Q3</f>
        <v>8.8</v>
      </c>
      <c r="U22" s="14" t="n">
        <f aca="false">Tabella5279112479161820222426283032343638[[#This Row],[Colonna3]]*$Q3</f>
        <v>6</v>
      </c>
      <c r="V22" s="14" t="n">
        <f aca="false">Tabella5279112479161820222426283032343638[[#This Row],[Colonna4]]*$Q3</f>
        <v>7.2</v>
      </c>
      <c r="W22" s="14" t="n">
        <f aca="false">Tabella5279112479161820222426283032343638[[#This Row],[Colonna5]]*$Q3</f>
        <v>4.4</v>
      </c>
      <c r="X22" s="14" t="n">
        <f aca="false">Tabella5279112479161820222426283032343638[[#This Row],[Colonna6]]*$Q3</f>
        <v>4.8</v>
      </c>
      <c r="Y22" s="14" t="n">
        <f aca="false">Tabella5279112479161820222426283032343638[[#This Row],[Colonna7]]*$Q3</f>
        <v>5.6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 t="n">
        <v>1</v>
      </c>
      <c r="J23" s="13"/>
      <c r="K23" s="13"/>
      <c r="L23" s="13" t="n">
        <v>2</v>
      </c>
      <c r="M23" s="13" t="n">
        <v>1</v>
      </c>
      <c r="P23" s="17" t="s">
        <v>30</v>
      </c>
      <c r="Q23" s="17"/>
      <c r="R23" s="17"/>
      <c r="S23" s="14"/>
      <c r="T23" s="14"/>
      <c r="U23" s="14" t="n">
        <f aca="false">Tabella5279112479161820222426283032343638[[#This Row],[Colonna3]]*$Q3</f>
        <v>0.4</v>
      </c>
      <c r="V23" s="14"/>
      <c r="W23" s="14"/>
      <c r="X23" s="14" t="n">
        <f aca="false">Tabella5279112479161820222426283032343638[[#This Row],[Colonna6]]*$Q3</f>
        <v>0.8</v>
      </c>
      <c r="Y23" s="14" t="n">
        <f aca="false">Tabella5279112479161820222426283032343638[[#This Row],[Colonna7]]*$Q3</f>
        <v>0.4</v>
      </c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2</v>
      </c>
      <c r="H27" s="13" t="n">
        <v>4</v>
      </c>
      <c r="I27" s="13" t="n">
        <v>2</v>
      </c>
      <c r="J27" s="13"/>
      <c r="K27" s="13"/>
      <c r="L27" s="13" t="n">
        <v>6</v>
      </c>
      <c r="M27" s="13" t="n">
        <v>1</v>
      </c>
      <c r="P27" s="12" t="s">
        <v>34</v>
      </c>
      <c r="Q27" s="12"/>
      <c r="R27" s="12"/>
      <c r="S27" s="14" t="n">
        <f aca="false">Tabella5279112479161820222426283032343638[[#This Row],[Colonna1]]*$Q3</f>
        <v>0.8</v>
      </c>
      <c r="T27" s="14" t="n">
        <f aca="false">Tabella5279112479161820222426283032343638[[#This Row],[Colonna2]]*$Q3</f>
        <v>1.6</v>
      </c>
      <c r="U27" s="14" t="n">
        <f aca="false">Tabella5279112479161820222426283032343638[[#This Row],[Colonna3]]*$Q3</f>
        <v>0.8</v>
      </c>
      <c r="V27" s="14"/>
      <c r="W27" s="14"/>
      <c r="X27" s="14" t="n">
        <f aca="false">Tabella5279112479161820222426283032343638[[#This Row],[Colonna6]]*$Q3</f>
        <v>2.4</v>
      </c>
      <c r="Y27" s="14" t="n">
        <f aca="false">Tabella5279112479161820222426283032343638[[#This Row],[Colonna7]]*$Q3</f>
        <v>0.4</v>
      </c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3</v>
      </c>
      <c r="H28" s="13" t="n">
        <v>7</v>
      </c>
      <c r="I28" s="13" t="n">
        <v>12</v>
      </c>
      <c r="J28" s="13" t="n">
        <v>6</v>
      </c>
      <c r="K28" s="13" t="n">
        <v>2</v>
      </c>
      <c r="L28" s="13" t="n">
        <v>22</v>
      </c>
      <c r="M28" s="13" t="n">
        <v>16</v>
      </c>
      <c r="P28" s="12" t="s">
        <v>35</v>
      </c>
      <c r="Q28" s="12"/>
      <c r="R28" s="12"/>
      <c r="S28" s="14" t="n">
        <f aca="false">Tabella5279112479161820222426283032343638[[#This Row],[Colonna1]]*$Q3</f>
        <v>1.2</v>
      </c>
      <c r="T28" s="14" t="n">
        <f aca="false">Tabella5279112479161820222426283032343638[[#This Row],[Colonna2]]*$Q3</f>
        <v>2.8</v>
      </c>
      <c r="U28" s="14" t="n">
        <f aca="false">Tabella5279112479161820222426283032343638[[#This Row],[Colonna3]]*$Q3</f>
        <v>4.8</v>
      </c>
      <c r="V28" s="14" t="n">
        <f aca="false">Tabella5279112479161820222426283032343638[[#This Row],[Colonna4]]*$Q3</f>
        <v>2.4</v>
      </c>
      <c r="W28" s="14" t="n">
        <f aca="false">Tabella5279112479161820222426283032343638[[#This Row],[Colonna5]]*$Q3</f>
        <v>0.8</v>
      </c>
      <c r="X28" s="14" t="n">
        <f aca="false">Tabella5279112479161820222426283032343638[[#This Row],[Colonna6]]*$Q3</f>
        <v>8.8</v>
      </c>
      <c r="Y28" s="14" t="n">
        <f aca="false">Tabella5279112479161820222426283032343638[[#This Row],[Colonna7]]*$Q3</f>
        <v>6.4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</v>
      </c>
      <c r="H29" s="13" t="n">
        <v>3</v>
      </c>
      <c r="I29" s="13" t="n">
        <v>10</v>
      </c>
      <c r="J29" s="13" t="n">
        <v>5</v>
      </c>
      <c r="K29" s="13" t="n">
        <v>1</v>
      </c>
      <c r="L29" s="13" t="n">
        <v>10</v>
      </c>
      <c r="M29" s="13" t="n">
        <v>12</v>
      </c>
      <c r="P29" s="12" t="s">
        <v>36</v>
      </c>
      <c r="Q29" s="12"/>
      <c r="R29" s="12"/>
      <c r="S29" s="14" t="n">
        <f aca="false">Tabella5279112479161820222426283032343638[[#This Row],[Colonna1]]*$Q3</f>
        <v>0.4</v>
      </c>
      <c r="T29" s="14" t="n">
        <f aca="false">Tabella5279112479161820222426283032343638[[#This Row],[Colonna2]]*$Q3</f>
        <v>1.2</v>
      </c>
      <c r="U29" s="14" t="n">
        <f aca="false">Tabella5279112479161820222426283032343638[[#This Row],[Colonna3]]*$Q3</f>
        <v>4</v>
      </c>
      <c r="V29" s="14" t="n">
        <f aca="false">Tabella5279112479161820222426283032343638[[#This Row],[Colonna4]]*$Q3</f>
        <v>2</v>
      </c>
      <c r="W29" s="14" t="n">
        <f aca="false">Tabella5279112479161820222426283032343638[[#This Row],[Colonna5]]*$Q3</f>
        <v>0.4</v>
      </c>
      <c r="X29" s="14" t="n">
        <f aca="false">Tabella5279112479161820222426283032343638[[#This Row],[Colonna6]]*$Q3</f>
        <v>4</v>
      </c>
      <c r="Y29" s="14" t="n">
        <f aca="false">Tabella5279112479161820222426283032343638[[#This Row],[Colonna7]]*$Q3</f>
        <v>4.8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 t="n">
        <v>1</v>
      </c>
      <c r="J31" s="13" t="n">
        <v>1</v>
      </c>
      <c r="K31" s="13"/>
      <c r="L31" s="13" t="n">
        <v>1</v>
      </c>
      <c r="M31" s="13" t="n">
        <v>2</v>
      </c>
      <c r="P31" s="9" t="s">
        <v>38</v>
      </c>
      <c r="Q31" s="9"/>
      <c r="R31" s="9"/>
      <c r="S31" s="14"/>
      <c r="T31" s="14"/>
      <c r="U31" s="14" t="n">
        <f aca="false">Tabella5279112479161820222426283032343638[[#This Row],[Colonna3]]*$Q3</f>
        <v>0.4</v>
      </c>
      <c r="V31" s="14" t="n">
        <f aca="false">Tabella5279112479161820222426283032343638[[#This Row],[Colonna4]]*$Q3</f>
        <v>0.4</v>
      </c>
      <c r="W31" s="14"/>
      <c r="X31" s="14" t="n">
        <f aca="false">Tabella5279112479161820222426283032343638[[#This Row],[Colonna6]]*$Q3</f>
        <v>0.4</v>
      </c>
      <c r="Y31" s="14" t="n">
        <f aca="false">Tabella5279112479161820222426283032343638[[#This Row],[Colonna7]]*$Q3</f>
        <v>0.8</v>
      </c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 t="n">
        <v>8</v>
      </c>
      <c r="J32" s="13"/>
      <c r="K32" s="13"/>
      <c r="L32" s="13"/>
      <c r="M32" s="13" t="n">
        <v>2</v>
      </c>
      <c r="P32" s="9" t="s">
        <v>39</v>
      </c>
      <c r="Q32" s="9"/>
      <c r="R32" s="9"/>
      <c r="S32" s="14"/>
      <c r="T32" s="14"/>
      <c r="U32" s="14" t="n">
        <f aca="false">Tabella5279112479161820222426283032343638[[#This Row],[Colonna3]]*$Q3</f>
        <v>3.2</v>
      </c>
      <c r="V32" s="14"/>
      <c r="W32" s="14"/>
      <c r="X32" s="14"/>
      <c r="Y32" s="14" t="n">
        <f aca="false">Tabella5279112479161820222426283032343638[[#This Row],[Colonna7]]*$Q3</f>
        <v>0.8</v>
      </c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 t="n">
        <v>2</v>
      </c>
      <c r="M34" s="13" t="n">
        <v>1</v>
      </c>
      <c r="P34" s="9" t="s">
        <v>41</v>
      </c>
      <c r="Q34" s="9"/>
      <c r="R34" s="9"/>
      <c r="S34" s="14"/>
      <c r="T34" s="14"/>
      <c r="U34" s="14"/>
      <c r="V34" s="14"/>
      <c r="W34" s="14"/>
      <c r="X34" s="14" t="n">
        <f aca="false">Tabella5279112479161820222426283032343638[[#This Row],[Colonna6]]*$Q3</f>
        <v>0.8</v>
      </c>
      <c r="Y34" s="14" t="n">
        <f aca="false">Tabella5279112479161820222426283032343638[[#This Row],[Colonna7]]*$Q3</f>
        <v>0.4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 t="n">
        <v>2</v>
      </c>
      <c r="H37" s="13" t="n">
        <v>1</v>
      </c>
      <c r="I37" s="13"/>
      <c r="J37" s="13"/>
      <c r="K37" s="13"/>
      <c r="L37" s="13" t="n">
        <v>1</v>
      </c>
      <c r="M37" s="13"/>
      <c r="P37" s="12" t="s">
        <v>44</v>
      </c>
      <c r="Q37" s="12"/>
      <c r="R37" s="12"/>
      <c r="S37" s="14" t="n">
        <f aca="false">Tabella5279112479161820222426283032343638[[#This Row],[Colonna1]]*$Q3</f>
        <v>0.8</v>
      </c>
      <c r="T37" s="14" t="n">
        <f aca="false">Tabella5279112479161820222426283032343638[[#This Row],[Colonna2]]*$Q3</f>
        <v>0.4</v>
      </c>
      <c r="U37" s="14"/>
      <c r="V37" s="14"/>
      <c r="W37" s="14"/>
      <c r="X37" s="14" t="n">
        <f aca="false">Tabella5279112479161820222426283032343638[[#This Row],[Colonna6]]*$Q3</f>
        <v>0.4</v>
      </c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13</v>
      </c>
      <c r="H38" s="13" t="n">
        <v>44</v>
      </c>
      <c r="I38" s="13" t="n">
        <v>31</v>
      </c>
      <c r="J38" s="13" t="n">
        <v>30</v>
      </c>
      <c r="K38" s="13" t="n">
        <v>8</v>
      </c>
      <c r="L38" s="13" t="n">
        <v>25</v>
      </c>
      <c r="M38" s="13"/>
      <c r="P38" s="16" t="s">
        <v>45</v>
      </c>
      <c r="Q38" s="16"/>
      <c r="R38" s="16"/>
      <c r="S38" s="14" t="n">
        <f aca="false">Tabella5279112479161820222426283032343638[[#This Row],[Colonna1]]*$Q3</f>
        <v>5.2</v>
      </c>
      <c r="T38" s="14" t="n">
        <f aca="false">Tabella5279112479161820222426283032343638[[#This Row],[Colonna2]]*$Q3</f>
        <v>17.6</v>
      </c>
      <c r="U38" s="14" t="n">
        <f aca="false">Tabella5279112479161820222426283032343638[[#This Row],[Colonna3]]*$Q3</f>
        <v>12.4</v>
      </c>
      <c r="V38" s="14" t="n">
        <f aca="false">Tabella5279112479161820222426283032343638[[#This Row],[Colonna4]]*$Q3</f>
        <v>12</v>
      </c>
      <c r="W38" s="14" t="n">
        <f aca="false">Tabella5279112479161820222426283032343638[[#This Row],[Colonna5]]*$Q3</f>
        <v>3.2</v>
      </c>
      <c r="X38" s="14" t="n">
        <f aca="false">Tabella5279112479161820222426283032343638[[#This Row],[Colonna6]]*$Q3</f>
        <v>10</v>
      </c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 t="n">
        <v>3</v>
      </c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3</v>
      </c>
      <c r="H41" s="13"/>
      <c r="I41" s="13" t="n">
        <v>3</v>
      </c>
      <c r="J41" s="13" t="n">
        <v>1</v>
      </c>
      <c r="K41" s="13"/>
      <c r="L41" s="13" t="n">
        <v>1</v>
      </c>
      <c r="M41" s="13"/>
      <c r="P41" s="18" t="s">
        <v>48</v>
      </c>
      <c r="Q41" s="18"/>
      <c r="R41" s="18"/>
      <c r="S41" s="14" t="n">
        <f aca="false">Tabella5279112479161820222426283032343638[[#This Row],[Colonna1]]*$Q3</f>
        <v>1.2</v>
      </c>
      <c r="T41" s="14"/>
      <c r="U41" s="14" t="n">
        <f aca="false">Tabella5279112479161820222426283032343638[[#This Row],[Colonna3]]*$Q3</f>
        <v>1.2</v>
      </c>
      <c r="V41" s="14" t="n">
        <f aca="false">Tabella5279112479161820222426283032343638[[#This Row],[Colonna4]]*$Q3</f>
        <v>0.4</v>
      </c>
      <c r="W41" s="14"/>
      <c r="X41" s="14" t="n">
        <f aca="false">Tabella5279112479161820222426283032343638[[#This Row],[Colonna6]]*$Q3</f>
        <v>0.4</v>
      </c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 t="n">
        <v>200</v>
      </c>
      <c r="J43" s="13" t="n">
        <v>1001</v>
      </c>
      <c r="K43" s="13" t="n">
        <v>210</v>
      </c>
      <c r="L43" s="13" t="n">
        <v>789</v>
      </c>
      <c r="M43" s="13" t="n">
        <v>499</v>
      </c>
      <c r="P43" s="18" t="s">
        <v>50</v>
      </c>
      <c r="Q43" s="18"/>
      <c r="R43" s="18"/>
      <c r="S43" s="14"/>
      <c r="T43" s="14"/>
      <c r="U43" s="14" t="n">
        <f aca="false">Tabella5279112479161820222426283032343638[[#This Row],[Colonna3]]*$Q3</f>
        <v>80</v>
      </c>
      <c r="V43" s="14" t="n">
        <f aca="false">Tabella5279112479161820222426283032343638[[#This Row],[Colonna4]]*$Q3</f>
        <v>400.4</v>
      </c>
      <c r="W43" s="14" t="n">
        <f aca="false">Tabella5279112479161820222426283032343638[[#This Row],[Colonna5]]*$Q3</f>
        <v>84</v>
      </c>
      <c r="X43" s="14" t="n">
        <f aca="false">Tabella5279112479161820222426283032343638[[#This Row],[Colonna6]]*$Q3</f>
        <v>315.6</v>
      </c>
      <c r="Y43" s="14" t="n">
        <f aca="false">Tabella5279112479161820222426283032343638[[#This Row],[Colonna7]]*$Q3</f>
        <v>199.6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5</v>
      </c>
      <c r="H44" s="13" t="n">
        <v>1</v>
      </c>
      <c r="I44" s="13" t="n">
        <v>32</v>
      </c>
      <c r="J44" s="13" t="n">
        <v>12</v>
      </c>
      <c r="K44" s="13" t="n">
        <v>4</v>
      </c>
      <c r="L44" s="13" t="n">
        <v>12</v>
      </c>
      <c r="M44" s="13" t="n">
        <v>4</v>
      </c>
      <c r="P44" s="12" t="s">
        <v>51</v>
      </c>
      <c r="Q44" s="12"/>
      <c r="R44" s="12"/>
      <c r="S44" s="14" t="n">
        <f aca="false">Tabella5279112479161820222426283032343638[[#This Row],[Colonna1]]*$Q3</f>
        <v>2</v>
      </c>
      <c r="T44" s="14" t="n">
        <f aca="false">Tabella5279112479161820222426283032343638[[#This Row],[Colonna2]]*$Q3</f>
        <v>0.4</v>
      </c>
      <c r="U44" s="14" t="n">
        <f aca="false">Tabella5279112479161820222426283032343638[[#This Row],[Colonna3]]*$Q3</f>
        <v>12.8</v>
      </c>
      <c r="V44" s="14" t="n">
        <f aca="false">Tabella5279112479161820222426283032343638[[#This Row],[Colonna4]]*$Q3</f>
        <v>4.8</v>
      </c>
      <c r="W44" s="14" t="n">
        <f aca="false">Tabella5279112479161820222426283032343638[[#This Row],[Colonna5]]*$Q3</f>
        <v>1.6</v>
      </c>
      <c r="X44" s="14" t="n">
        <f aca="false">Tabella5279112479161820222426283032343638[[#This Row],[Colonna6]]*$Q3</f>
        <v>4.8</v>
      </c>
      <c r="Y44" s="14" t="n">
        <f aca="false">Tabella5279112479161820222426283032343638[[#This Row],[Colonna7]]*$Q3</f>
        <v>1.6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6</v>
      </c>
      <c r="H47" s="13" t="n">
        <v>27</v>
      </c>
      <c r="I47" s="13" t="n">
        <v>48</v>
      </c>
      <c r="J47" s="13" t="n">
        <v>25</v>
      </c>
      <c r="K47" s="13" t="n">
        <v>9</v>
      </c>
      <c r="L47" s="13" t="n">
        <v>14</v>
      </c>
      <c r="M47" s="13" t="n">
        <v>1</v>
      </c>
      <c r="P47" s="16" t="s">
        <v>54</v>
      </c>
      <c r="Q47" s="16"/>
      <c r="R47" s="16"/>
      <c r="S47" s="14" t="n">
        <f aca="false">Tabella5279112479161820222426283032343638[[#This Row],[Colonna1]]*$Q3</f>
        <v>2.4</v>
      </c>
      <c r="T47" s="14" t="n">
        <f aca="false">Tabella5279112479161820222426283032343638[[#This Row],[Colonna2]]*$Q3</f>
        <v>10.8</v>
      </c>
      <c r="U47" s="14" t="n">
        <f aca="false">Tabella5279112479161820222426283032343638[[#This Row],[Colonna3]]*$Q3</f>
        <v>19.2</v>
      </c>
      <c r="V47" s="14" t="n">
        <f aca="false">Tabella5279112479161820222426283032343638[[#This Row],[Colonna4]]*$Q3</f>
        <v>10</v>
      </c>
      <c r="W47" s="14" t="n">
        <f aca="false">Tabella5279112479161820222426283032343638[[#This Row],[Colonna5]]*$Q3</f>
        <v>3.6</v>
      </c>
      <c r="X47" s="14" t="n">
        <f aca="false">Tabella5279112479161820222426283032343638[[#This Row],[Colonna6]]*$Q3</f>
        <v>5.6</v>
      </c>
      <c r="Y47" s="14" t="n">
        <f aca="false">Tabella5279112479161820222426283032343638[[#This Row],[Colonna7]]*$Q3</f>
        <v>0.4</v>
      </c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 t="n">
        <v>2</v>
      </c>
      <c r="M48" s="13" t="n">
        <v>1</v>
      </c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 t="n">
        <v>2</v>
      </c>
      <c r="H50" s="13"/>
      <c r="I50" s="13" t="n">
        <v>12</v>
      </c>
      <c r="J50" s="13" t="n">
        <v>2</v>
      </c>
      <c r="K50" s="13"/>
      <c r="L50" s="13" t="n">
        <v>2</v>
      </c>
      <c r="M50" s="13"/>
      <c r="P50" s="9" t="s">
        <v>57</v>
      </c>
      <c r="Q50" s="9"/>
      <c r="R50" s="9"/>
      <c r="S50" s="14" t="n">
        <f aca="false">Tabella5279112479161820222426283032343638[[#This Row],[Colonna1]]*$Q3</f>
        <v>0.8</v>
      </c>
      <c r="T50" s="14"/>
      <c r="U50" s="14" t="n">
        <f aca="false">Tabella5279112479161820222426283032343638[[#This Row],[Colonna3]]*$Q3</f>
        <v>4.8</v>
      </c>
      <c r="V50" s="14" t="n">
        <f aca="false">Tabella5279112479161820222426283032343638[[#This Row],[Colonna4]]*$Q3</f>
        <v>0.8</v>
      </c>
      <c r="W50" s="14"/>
      <c r="X50" s="14" t="n">
        <f aca="false">Tabella5279112479161820222426283032343638[[#This Row],[Colonna6]]*Q3</f>
        <v>0.8</v>
      </c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135" t="n">
        <f aca="false">SUM(G50,G47,G44,G41,G38,G37,G29,G28,G27,G22,G19,G9,G7,G6)</f>
        <v>75</v>
      </c>
      <c r="H53" s="135" t="n">
        <f aca="false">SUM(H47,H44,H38,H37,H29,H28,H27,H22,H21,H19,H10,H9,H7,H6)</f>
        <v>226</v>
      </c>
      <c r="I53" s="135" t="n">
        <f aca="false">SUM(I23,I50,I47,I44,I43,I41,I38,I32,I31,I29,I28,I27,I22,I21,I19,I10,I9,I7,I6)</f>
        <v>505</v>
      </c>
      <c r="J53" s="135" t="n">
        <f aca="false">SUM(J50,J47,J44,J43,J41,J38,J31,J29,J28,J22,J21,J19,J10,J9,J7,J6)</f>
        <v>1199</v>
      </c>
      <c r="K53" s="135" t="n">
        <f aca="false">SUM(K47,K44,K43,K38,K29,K28,K22,K19,K7,K6)</f>
        <v>279</v>
      </c>
      <c r="L53" s="135" t="n">
        <f aca="false">SUM(L50,L48,L47,L44,L43,L41,L40,L38,L37,L34,L31,L29,L28,L27,L23,L22,L21,L19,L10,L9,L8,L7,L6)</f>
        <v>969</v>
      </c>
      <c r="M53" s="135" t="n">
        <f aca="false">SUM(M52,M48,M47,M44,M43,M34,M32,M31,M29,M28,M27,M23,M22,M21,M19,M10,M7,M6)</f>
        <v>657</v>
      </c>
      <c r="P53" s="17" t="s">
        <v>60</v>
      </c>
      <c r="Q53" s="17"/>
      <c r="R53" s="17"/>
      <c r="S53" s="56" t="n">
        <f aca="false">Tabella5279112479161820222426283032343638[[#This Row],[Colonna1]]*$Q3</f>
        <v>30</v>
      </c>
      <c r="T53" s="56" t="n">
        <f aca="false">Tabella5279112479161820222426283032343638[[#This Row],[Colonna2]]*$Q3</f>
        <v>90.4</v>
      </c>
      <c r="U53" s="56" t="n">
        <f aca="false">Tabella5279112479161820222426283032343638[[#This Row],[Colonna3]]*$Q3</f>
        <v>202</v>
      </c>
      <c r="V53" s="56" t="n">
        <f aca="false">Tabella5279112479161820222426283032343638[[#This Row],[Colonna4]]*$Q3</f>
        <v>479.6</v>
      </c>
      <c r="W53" s="56" t="n">
        <f aca="false">Tabella5279112479161820222426283032343638[[#This Row],[Colonna5]]*$Q3</f>
        <v>111.6</v>
      </c>
      <c r="X53" s="56" t="n">
        <f aca="false">Tabella5279112479161820222426283032343638[[#This Row],[Colonna6]]*$Q3</f>
        <v>387.6</v>
      </c>
      <c r="Y53" s="56" t="n">
        <f aca="false">Tabella5279112479161820222426283032343638[[#This Row],[Colonna7]]*$Q3</f>
        <v>262.8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23</v>
      </c>
      <c r="H58" s="26" t="n">
        <v>24</v>
      </c>
      <c r="I58" s="26" t="n">
        <v>22</v>
      </c>
      <c r="J58" s="26" t="n">
        <v>13</v>
      </c>
      <c r="K58" s="26" t="n">
        <v>5</v>
      </c>
      <c r="L58" s="26" t="n">
        <v>12</v>
      </c>
      <c r="M58" s="26" t="n">
        <v>10</v>
      </c>
      <c r="P58" s="23" t="s">
        <v>62</v>
      </c>
      <c r="Q58" s="23"/>
      <c r="R58" s="23"/>
      <c r="S58" s="57" t="n">
        <f aca="false">G58*$Q3</f>
        <v>9.2</v>
      </c>
      <c r="T58" s="57" t="n">
        <f aca="false">H58*$Q3</f>
        <v>9.6</v>
      </c>
      <c r="U58" s="57" t="n">
        <f aca="false">I58*$Q3</f>
        <v>8.8</v>
      </c>
      <c r="V58" s="57" t="n">
        <f aca="false">J58*$Q3</f>
        <v>5.2</v>
      </c>
      <c r="W58" s="57" t="n">
        <f aca="false">K58*$Q3</f>
        <v>2</v>
      </c>
      <c r="X58" s="57" t="n">
        <f aca="false">L58*$Q3</f>
        <v>4.8</v>
      </c>
      <c r="Y58" s="57" t="n">
        <f aca="false">M58*$Q3</f>
        <v>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2</v>
      </c>
      <c r="H62" s="26" t="n">
        <v>1</v>
      </c>
      <c r="I62" s="26"/>
      <c r="J62" s="26" t="n">
        <v>2</v>
      </c>
      <c r="K62" s="26"/>
      <c r="L62" s="26" t="n">
        <v>1</v>
      </c>
      <c r="M62" s="26" t="n">
        <v>2</v>
      </c>
      <c r="P62" s="9" t="s">
        <v>66</v>
      </c>
      <c r="Q62" s="9"/>
      <c r="R62" s="9"/>
      <c r="S62" s="57" t="n">
        <f aca="false">G62*$Q3</f>
        <v>0.8</v>
      </c>
      <c r="T62" s="57" t="n">
        <f aca="false">H62*$Q3</f>
        <v>0.4</v>
      </c>
      <c r="U62" s="57"/>
      <c r="V62" s="57" t="n">
        <f aca="false">J62*$Q3</f>
        <v>0.8</v>
      </c>
      <c r="W62" s="57"/>
      <c r="X62" s="57" t="n">
        <f aca="false">L62*$Q3</f>
        <v>0.4</v>
      </c>
      <c r="Y62" s="57" t="n">
        <f aca="false">M62*$Q3</f>
        <v>0.8</v>
      </c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 t="n">
        <v>1</v>
      </c>
      <c r="J63" s="26"/>
      <c r="K63" s="26"/>
      <c r="L63" s="26" t="n">
        <v>2</v>
      </c>
      <c r="M63" s="26"/>
      <c r="P63" s="9" t="s">
        <v>67</v>
      </c>
      <c r="Q63" s="9"/>
      <c r="R63" s="9"/>
      <c r="S63" s="57"/>
      <c r="T63" s="27"/>
      <c r="U63" s="27" t="n">
        <f aca="false">I63*$Q3</f>
        <v>0.4</v>
      </c>
      <c r="V63" s="27"/>
      <c r="W63" s="27"/>
      <c r="X63" s="27" t="n">
        <f aca="false">L63*$Q3</f>
        <v>0.8</v>
      </c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 t="n">
        <v>1</v>
      </c>
      <c r="I64" s="26" t="n">
        <v>1</v>
      </c>
      <c r="J64" s="26"/>
      <c r="K64" s="26"/>
      <c r="L64" s="26" t="n">
        <v>1</v>
      </c>
      <c r="M64" s="26"/>
      <c r="P64" s="9" t="s">
        <v>68</v>
      </c>
      <c r="Q64" s="9"/>
      <c r="R64" s="9"/>
      <c r="S64" s="57"/>
      <c r="T64" s="27" t="n">
        <f aca="false">H64*$Q3</f>
        <v>0.4</v>
      </c>
      <c r="U64" s="27" t="n">
        <f aca="false">I64*$Q3</f>
        <v>0.4</v>
      </c>
      <c r="V64" s="27"/>
      <c r="W64" s="27"/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55</v>
      </c>
      <c r="H65" s="26" t="n">
        <v>8</v>
      </c>
      <c r="I65" s="26" t="n">
        <v>4</v>
      </c>
      <c r="J65" s="26" t="n">
        <v>1</v>
      </c>
      <c r="K65" s="26" t="n">
        <v>1</v>
      </c>
      <c r="L65" s="26" t="n">
        <v>4</v>
      </c>
      <c r="M65" s="26" t="n">
        <v>62</v>
      </c>
      <c r="P65" s="9" t="s">
        <v>69</v>
      </c>
      <c r="Q65" s="9"/>
      <c r="R65" s="9"/>
      <c r="S65" s="57" t="n">
        <f aca="false">G65*$Q3</f>
        <v>22</v>
      </c>
      <c r="T65" s="57" t="n">
        <f aca="false">H65*$Q3</f>
        <v>3.2</v>
      </c>
      <c r="U65" s="57" t="n">
        <f aca="false">I65*$Q3</f>
        <v>1.6</v>
      </c>
      <c r="V65" s="57" t="n">
        <f aca="false">J65*$Q3</f>
        <v>0.4</v>
      </c>
      <c r="W65" s="57" t="n">
        <f aca="false">K65*$Q3</f>
        <v>0.4</v>
      </c>
      <c r="X65" s="57" t="n">
        <f aca="false">L65*$Q3</f>
        <v>1.6</v>
      </c>
      <c r="Y65" s="57" t="n">
        <f aca="false">M65*$Q3</f>
        <v>24.8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13</v>
      </c>
      <c r="H67" s="26" t="n">
        <v>5</v>
      </c>
      <c r="I67" s="26" t="n">
        <v>9</v>
      </c>
      <c r="J67" s="26" t="n">
        <v>5</v>
      </c>
      <c r="K67" s="26" t="n">
        <v>3</v>
      </c>
      <c r="L67" s="26" t="n">
        <v>3</v>
      </c>
      <c r="M67" s="26"/>
      <c r="P67" s="9" t="s">
        <v>71</v>
      </c>
      <c r="Q67" s="9"/>
      <c r="R67" s="9"/>
      <c r="S67" s="57" t="n">
        <f aca="false">G67*$Q3</f>
        <v>5.2</v>
      </c>
      <c r="T67" s="57" t="n">
        <f aca="false">H67*$Q3</f>
        <v>2</v>
      </c>
      <c r="U67" s="57" t="n">
        <f aca="false">I67*$Q3</f>
        <v>3.6</v>
      </c>
      <c r="V67" s="57" t="n">
        <f aca="false">J67*$Q3</f>
        <v>2</v>
      </c>
      <c r="W67" s="57" t="n">
        <f aca="false">K67*$Q3</f>
        <v>1.2</v>
      </c>
      <c r="X67" s="57" t="n">
        <f aca="false">L67*$Q3</f>
        <v>1.2</v>
      </c>
      <c r="Y67" s="27"/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2</v>
      </c>
      <c r="H68" s="30" t="n">
        <v>2</v>
      </c>
      <c r="I68" s="30" t="n">
        <v>3</v>
      </c>
      <c r="J68" s="30" t="n">
        <v>2</v>
      </c>
      <c r="K68" s="30"/>
      <c r="L68" s="30" t="n">
        <v>1</v>
      </c>
      <c r="M68" s="30" t="n">
        <v>5</v>
      </c>
      <c r="P68" s="9" t="s">
        <v>72</v>
      </c>
      <c r="Q68" s="9"/>
      <c r="R68" s="9"/>
      <c r="S68" s="59" t="n">
        <f aca="false">G68*$Q3</f>
        <v>0.8</v>
      </c>
      <c r="T68" s="59" t="n">
        <f aca="false">H68*$Q3</f>
        <v>0.8</v>
      </c>
      <c r="U68" s="59" t="n">
        <f aca="false">I68*$Q3</f>
        <v>1.2</v>
      </c>
      <c r="V68" s="59" t="n">
        <f aca="false">J68*$Q3</f>
        <v>0.8</v>
      </c>
      <c r="W68" s="59"/>
      <c r="X68" s="59" t="n">
        <f aca="false">L68*$Q3</f>
        <v>0.4</v>
      </c>
      <c r="Y68" s="59" t="n">
        <f aca="false">M68*$Q3</f>
        <v>2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2</v>
      </c>
      <c r="H69" s="30" t="n">
        <v>5</v>
      </c>
      <c r="I69" s="30" t="n">
        <v>3</v>
      </c>
      <c r="J69" s="30" t="n">
        <v>2</v>
      </c>
      <c r="K69" s="30" t="n">
        <v>1</v>
      </c>
      <c r="L69" s="30" t="n">
        <v>4</v>
      </c>
      <c r="M69" s="30" t="n">
        <v>2</v>
      </c>
      <c r="P69" s="9" t="s">
        <v>73</v>
      </c>
      <c r="Q69" s="9"/>
      <c r="R69" s="9"/>
      <c r="S69" s="59" t="n">
        <f aca="false">G69*$Q3</f>
        <v>0.8</v>
      </c>
      <c r="T69" s="59" t="n">
        <f aca="false">H69*$Q3</f>
        <v>2</v>
      </c>
      <c r="U69" s="59" t="n">
        <f aca="false">I69*$Q3</f>
        <v>1.2</v>
      </c>
      <c r="V69" s="59" t="n">
        <f aca="false">J69*$Q3</f>
        <v>0.8</v>
      </c>
      <c r="W69" s="59" t="n">
        <f aca="false">K69*$Q3</f>
        <v>0.4</v>
      </c>
      <c r="X69" s="59" t="n">
        <f aca="false">L69*$Q3</f>
        <v>1.6</v>
      </c>
      <c r="Y69" s="59" t="n">
        <f aca="false">M69*$Q3</f>
        <v>0.8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SUM(G58,G62,G65,G67,G68,G69)</f>
        <v>97</v>
      </c>
      <c r="H70" s="60" t="n">
        <f aca="false">SUM(H58,H62,H64,H65,H67,H68,H69)</f>
        <v>46</v>
      </c>
      <c r="I70" s="60" t="n">
        <f aca="false">SUM(I58,I63,I64,I65,I67,I68,I69)</f>
        <v>43</v>
      </c>
      <c r="J70" s="60" t="n">
        <f aca="false">SUM(J58,J62,J65,J67,J68,J69)</f>
        <v>25</v>
      </c>
      <c r="K70" s="12" t="n">
        <f aca="false">SUM(K58,K65,K67,K69)</f>
        <v>10</v>
      </c>
      <c r="L70" s="12" t="n">
        <f aca="false">SUM(L58,L62,L63,L64,L65,L67,L68,L69)</f>
        <v>28</v>
      </c>
      <c r="M70" s="12" t="n">
        <f aca="false">SUM(M58,M62,M65,M68,M69)</f>
        <v>81</v>
      </c>
      <c r="P70" s="9" t="s">
        <v>60</v>
      </c>
      <c r="Q70" s="9"/>
      <c r="R70" s="9"/>
      <c r="S70" s="57" t="n">
        <f aca="false">G70*$Q3</f>
        <v>38.8</v>
      </c>
      <c r="T70" s="57" t="n">
        <f aca="false">H70*$Q3</f>
        <v>18.4</v>
      </c>
      <c r="U70" s="57" t="n">
        <f aca="false">I70*$Q3</f>
        <v>17.2</v>
      </c>
      <c r="V70" s="57" t="n">
        <f aca="false">J70*$Q3</f>
        <v>10</v>
      </c>
      <c r="W70" s="57" t="n">
        <f aca="false">K70*$Q3</f>
        <v>4</v>
      </c>
      <c r="X70" s="57" t="n">
        <f aca="false">L70*$Q3</f>
        <v>11.2</v>
      </c>
      <c r="Y70" s="57" t="n">
        <f aca="false">M70*$Q3</f>
        <v>32.4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 t="n">
        <v>45005</v>
      </c>
      <c r="G77" s="75"/>
      <c r="H77" s="133" t="n">
        <v>10.4</v>
      </c>
      <c r="I77" s="133" t="n">
        <v>14.8</v>
      </c>
      <c r="J77" s="133" t="n">
        <v>14</v>
      </c>
      <c r="K77" s="132" t="n">
        <v>16.4</v>
      </c>
      <c r="L77" s="132" t="n">
        <v>8.9</v>
      </c>
      <c r="M77" s="113" t="n">
        <v>12.65</v>
      </c>
      <c r="N77" s="104"/>
      <c r="O77" s="104" t="n">
        <v>96</v>
      </c>
      <c r="P77" s="104" t="n">
        <v>62</v>
      </c>
      <c r="Q77" s="104" t="n">
        <v>68</v>
      </c>
      <c r="R77" s="103" t="n">
        <v>75.3</v>
      </c>
      <c r="S77" s="104" t="n">
        <v>87</v>
      </c>
      <c r="T77" s="104" t="n">
        <v>57</v>
      </c>
      <c r="U77" s="104"/>
      <c r="V77" s="134" t="n">
        <v>1</v>
      </c>
    </row>
    <row r="78" customFormat="false" ht="15" hidden="false" customHeight="false" outlineLevel="0" collapsed="false">
      <c r="F78" s="38" t="n">
        <v>45006</v>
      </c>
      <c r="G78" s="38"/>
      <c r="H78" s="126" t="n">
        <v>8.9</v>
      </c>
      <c r="I78" s="126" t="n">
        <v>19.5</v>
      </c>
      <c r="J78" s="126" t="n">
        <v>16.5</v>
      </c>
      <c r="K78" s="127" t="n">
        <v>20.3</v>
      </c>
      <c r="L78" s="127" t="n">
        <v>7.8</v>
      </c>
      <c r="M78" s="115" t="n">
        <v>14.05</v>
      </c>
      <c r="N78" s="107"/>
      <c r="O78" s="107" t="n">
        <v>78</v>
      </c>
      <c r="P78" s="107" t="n">
        <v>44</v>
      </c>
      <c r="Q78" s="107" t="n">
        <v>50</v>
      </c>
      <c r="R78" s="106" t="n">
        <v>57.3</v>
      </c>
      <c r="S78" s="107" t="n">
        <v>87</v>
      </c>
      <c r="T78" s="107" t="n">
        <v>40</v>
      </c>
      <c r="U78" s="107"/>
      <c r="V78" s="125" t="n">
        <v>0</v>
      </c>
    </row>
    <row r="79" customFormat="false" ht="15" hidden="false" customHeight="false" outlineLevel="0" collapsed="false">
      <c r="F79" s="38" t="n">
        <v>45007</v>
      </c>
      <c r="G79" s="38"/>
      <c r="H79" s="126" t="n">
        <v>11.3</v>
      </c>
      <c r="I79" s="126" t="n">
        <v>21</v>
      </c>
      <c r="J79" s="126" t="n">
        <v>18.3</v>
      </c>
      <c r="K79" s="127" t="n">
        <v>22.5</v>
      </c>
      <c r="L79" s="127" t="n">
        <v>10</v>
      </c>
      <c r="M79" s="115" t="n">
        <v>16.25</v>
      </c>
      <c r="N79" s="107"/>
      <c r="O79" s="107" t="n">
        <v>68</v>
      </c>
      <c r="P79" s="107" t="n">
        <v>41</v>
      </c>
      <c r="Q79" s="107" t="n">
        <v>47</v>
      </c>
      <c r="R79" s="106" t="n">
        <v>52</v>
      </c>
      <c r="S79" s="107" t="n">
        <v>68</v>
      </c>
      <c r="T79" s="107" t="n">
        <v>36</v>
      </c>
      <c r="U79" s="107"/>
      <c r="V79" s="125" t="n">
        <v>0</v>
      </c>
    </row>
    <row r="80" customFormat="false" ht="15" hidden="false" customHeight="false" outlineLevel="0" collapsed="false">
      <c r="F80" s="38" t="n">
        <v>45008</v>
      </c>
      <c r="G80" s="38"/>
      <c r="H80" s="126" t="n">
        <v>12.9</v>
      </c>
      <c r="I80" s="126" t="n">
        <v>19.8</v>
      </c>
      <c r="J80" s="126" t="n">
        <v>19.2</v>
      </c>
      <c r="K80" s="127" t="n">
        <v>22.8</v>
      </c>
      <c r="L80" s="127" t="n">
        <v>11.7</v>
      </c>
      <c r="M80" s="115" t="n">
        <v>17.25</v>
      </c>
      <c r="N80" s="107"/>
      <c r="O80" s="107" t="n">
        <v>56</v>
      </c>
      <c r="P80" s="107" t="n">
        <v>42</v>
      </c>
      <c r="Q80" s="107" t="n">
        <v>43</v>
      </c>
      <c r="R80" s="106" t="n">
        <v>47</v>
      </c>
      <c r="S80" s="107" t="n">
        <v>68</v>
      </c>
      <c r="T80" s="107" t="n">
        <v>35</v>
      </c>
      <c r="U80" s="107"/>
      <c r="V80" s="125" t="n">
        <v>0</v>
      </c>
    </row>
    <row r="81" customFormat="false" ht="15" hidden="false" customHeight="false" outlineLevel="0" collapsed="false">
      <c r="F81" s="38" t="n">
        <v>45009</v>
      </c>
      <c r="G81" s="38"/>
      <c r="H81" s="126" t="n">
        <v>13.7</v>
      </c>
      <c r="I81" s="126" t="n">
        <v>21.6</v>
      </c>
      <c r="J81" s="126" t="n">
        <v>17.6</v>
      </c>
      <c r="K81" s="127" t="n">
        <v>22.1</v>
      </c>
      <c r="L81" s="127" t="n">
        <v>11.2</v>
      </c>
      <c r="M81" s="115" t="n">
        <v>16.65</v>
      </c>
      <c r="N81" s="107"/>
      <c r="O81" s="107" t="n">
        <v>72</v>
      </c>
      <c r="P81" s="107" t="n">
        <v>37</v>
      </c>
      <c r="Q81" s="107" t="n">
        <v>43</v>
      </c>
      <c r="R81" s="106" t="n">
        <v>50.7</v>
      </c>
      <c r="S81" s="107" t="n">
        <v>87</v>
      </c>
      <c r="T81" s="107" t="n">
        <v>34</v>
      </c>
      <c r="U81" s="107"/>
      <c r="V81" s="125" t="n">
        <v>0</v>
      </c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O31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45012</v>
      </c>
      <c r="K3" s="5" t="n">
        <v>45018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45012</v>
      </c>
      <c r="W3" s="5" t="n">
        <v>45018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 t="n">
        <v>8</v>
      </c>
      <c r="H6" s="13" t="n">
        <v>3</v>
      </c>
      <c r="I6" s="13" t="n">
        <v>11</v>
      </c>
      <c r="J6" s="13" t="n">
        <v>2</v>
      </c>
      <c r="K6" s="13" t="n">
        <v>2</v>
      </c>
      <c r="L6" s="13" t="n">
        <v>4</v>
      </c>
      <c r="M6" s="13" t="n">
        <v>1</v>
      </c>
      <c r="P6" s="9" t="s">
        <v>13</v>
      </c>
      <c r="Q6" s="9"/>
      <c r="R6" s="9"/>
      <c r="S6" s="14" t="n">
        <f aca="false">Tabella527911247916182022242628303234363840[[#This Row],[Colonna1]]*$Q3</f>
        <v>3.2</v>
      </c>
      <c r="T6" s="14" t="n">
        <f aca="false">Tabella527911247916182022242628303234363840[[#This Row],[Colonna2]]*$Q3</f>
        <v>1.2</v>
      </c>
      <c r="U6" s="14" t="n">
        <f aca="false">Tabella527911247916182022242628303234363840[[#This Row],[Colonna3]]*$Q3</f>
        <v>4.4</v>
      </c>
      <c r="V6" s="14" t="n">
        <f aca="false">Tabella527911247916182022242628303234363840[[#This Row],[Colonna4]]*$Q3</f>
        <v>0.8</v>
      </c>
      <c r="W6" s="14" t="n">
        <f aca="false">Tabella527911247916182022242628303234363840[[#This Row],[Colonna5]]*$Q3</f>
        <v>0.8</v>
      </c>
      <c r="X6" s="14" t="n">
        <f aca="false">Tabella527911247916182022242628303234363840[[#This Row],[Colonna6]]*$Q3</f>
        <v>1.6</v>
      </c>
      <c r="Y6" s="14" t="n">
        <f aca="false">Tabella527911247916182022242628303234363840[[#This Row],[Colonna7]]*$Q3</f>
        <v>0.4</v>
      </c>
    </row>
    <row r="7" customFormat="false" ht="15" hidden="false" customHeight="false" outlineLevel="0" collapsed="false">
      <c r="D7" s="12" t="s">
        <v>14</v>
      </c>
      <c r="E7" s="12"/>
      <c r="F7" s="12"/>
      <c r="G7" s="13" t="n">
        <v>3</v>
      </c>
      <c r="H7" s="13"/>
      <c r="I7" s="13" t="n">
        <v>1</v>
      </c>
      <c r="J7" s="13"/>
      <c r="K7" s="13"/>
      <c r="L7" s="13"/>
      <c r="M7" s="13"/>
      <c r="P7" s="12" t="s">
        <v>14</v>
      </c>
      <c r="Q7" s="12"/>
      <c r="R7" s="12"/>
      <c r="S7" s="14" t="n">
        <f aca="false">Tabella527911247916182022242628303234363840[[#This Row],[Colonna1]]*$Q3</f>
        <v>1.2</v>
      </c>
      <c r="T7" s="14"/>
      <c r="U7" s="14" t="n">
        <f aca="false">Tabella527911247916182022242628303234363840[[#This Row],[Colonna3]]*$Q3</f>
        <v>0.4</v>
      </c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1</v>
      </c>
      <c r="H9" s="13" t="n">
        <v>2</v>
      </c>
      <c r="I9" s="13" t="n">
        <v>1</v>
      </c>
      <c r="J9" s="13"/>
      <c r="K9" s="13"/>
      <c r="L9" s="13"/>
      <c r="M9" s="13"/>
      <c r="P9" s="12" t="s">
        <v>16</v>
      </c>
      <c r="Q9" s="12"/>
      <c r="R9" s="12"/>
      <c r="S9" s="14" t="n">
        <f aca="false">Tabella527911247916182022242628303234363840[[#This Row],[Colonna1]]*$Q3</f>
        <v>0.4</v>
      </c>
      <c r="T9" s="14" t="n">
        <f aca="false">Tabella527911247916182022242628303234363840[[#This Row],[Colonna2]]*$Q3</f>
        <v>0.8</v>
      </c>
      <c r="U9" s="14" t="n">
        <f aca="false">Tabella527911247916182022242628303234363840[[#This Row],[Colonna3]]*$Q3</f>
        <v>0.4</v>
      </c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48</v>
      </c>
      <c r="H10" s="13" t="n">
        <v>23</v>
      </c>
      <c r="I10" s="13" t="n">
        <v>77</v>
      </c>
      <c r="J10" s="13" t="n">
        <v>119</v>
      </c>
      <c r="K10" s="13" t="n">
        <v>69</v>
      </c>
      <c r="L10" s="13" t="n">
        <v>104</v>
      </c>
      <c r="M10" s="13" t="n">
        <v>67</v>
      </c>
      <c r="P10" s="12" t="s">
        <v>17</v>
      </c>
      <c r="Q10" s="12"/>
      <c r="R10" s="12"/>
      <c r="S10" s="14" t="n">
        <f aca="false">Tabella527911247916182022242628303234363840[[#This Row],[Colonna1]]*$Q3</f>
        <v>19.2</v>
      </c>
      <c r="T10" s="14" t="n">
        <f aca="false">Tabella527911247916182022242628303234363840[[#This Row],[Colonna2]]*$Q3</f>
        <v>9.2</v>
      </c>
      <c r="U10" s="14" t="n">
        <f aca="false">Tabella527911247916182022242628303234363840[[#This Row],[Colonna3]]*$Q3</f>
        <v>30.8</v>
      </c>
      <c r="V10" s="14" t="n">
        <f aca="false">Tabella527911247916182022242628303234363840[[#This Row],[Colonna4]]*$Q3</f>
        <v>47.6</v>
      </c>
      <c r="W10" s="14" t="n">
        <f aca="false">Tabella527911247916182022242628303234363840[[#This Row],[Colonna5]]*$Q3</f>
        <v>27.6</v>
      </c>
      <c r="X10" s="14" t="n">
        <f aca="false">Tabella527911247916182022242628303234363840[[#This Row],[Colonna6]]*$Q3</f>
        <v>41.6</v>
      </c>
      <c r="Y10" s="14" t="n">
        <f aca="false">Tabella527911247916182022242628303234363840[[#This Row],[Colonna7]]*$Q3</f>
        <v>26.8</v>
      </c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 t="n">
        <v>1</v>
      </c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 t="n">
        <v>1</v>
      </c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 t="n">
        <f aca="false">Tabella527911247916182022242628303234363840[[#This Row],[Colonna4]]*$Q3</f>
        <v>0.4</v>
      </c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 t="n">
        <v>48</v>
      </c>
      <c r="H19" s="13" t="n">
        <v>14</v>
      </c>
      <c r="I19" s="13" t="n">
        <v>1</v>
      </c>
      <c r="J19" s="13" t="n">
        <v>5</v>
      </c>
      <c r="K19" s="13" t="n">
        <v>5</v>
      </c>
      <c r="L19" s="13" t="n">
        <v>7</v>
      </c>
      <c r="M19" s="13" t="n">
        <v>10</v>
      </c>
      <c r="P19" s="9" t="s">
        <v>26</v>
      </c>
      <c r="Q19" s="9"/>
      <c r="R19" s="9"/>
      <c r="S19" s="14" t="n">
        <f aca="false">Tabella527911247916182022242628303234363840[[#This Row],[Colonna1]]*$Q3</f>
        <v>19.2</v>
      </c>
      <c r="T19" s="14" t="n">
        <f aca="false">Tabella527911247916182022242628303234363840[[#This Row],[Colonna2]]*$Q3</f>
        <v>5.6</v>
      </c>
      <c r="U19" s="14" t="n">
        <f aca="false">Tabella527911247916182022242628303234363840[[#This Row],[Colonna3]]*$Q3</f>
        <v>0.4</v>
      </c>
      <c r="V19" s="14" t="n">
        <f aca="false">Tabella527911247916182022242628303234363840[[#This Row],[Colonna4]]*$Q3</f>
        <v>2</v>
      </c>
      <c r="W19" s="14" t="n">
        <f aca="false">Tabella527911247916182022242628303234363840[[#This Row],[Colonna5]]*$Q3</f>
        <v>2</v>
      </c>
      <c r="X19" s="14" t="n">
        <f aca="false">Tabella527911247916182022242628303234363840[[#This Row],[Colonna6]]*$Q3</f>
        <v>2.8</v>
      </c>
      <c r="Y19" s="14" t="n">
        <f aca="false">Tabella527911247916182022242628303234363840[[#This Row],[Colonna7]]*$Q3</f>
        <v>4</v>
      </c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31</v>
      </c>
      <c r="H21" s="13" t="n">
        <v>13</v>
      </c>
      <c r="I21" s="13" t="n">
        <v>5</v>
      </c>
      <c r="J21" s="13" t="n">
        <v>1</v>
      </c>
      <c r="K21" s="13" t="n">
        <v>2</v>
      </c>
      <c r="L21" s="13" t="n">
        <v>1</v>
      </c>
      <c r="M21" s="13"/>
      <c r="P21" s="16" t="s">
        <v>28</v>
      </c>
      <c r="Q21" s="16"/>
      <c r="R21" s="16"/>
      <c r="S21" s="14" t="n">
        <f aca="false">Tabella527911247916182022242628303234363840[[#This Row],[Colonna1]]*$Q3</f>
        <v>12.4</v>
      </c>
      <c r="T21" s="14" t="n">
        <f aca="false">Tabella527911247916182022242628303234363840[[#This Row],[Colonna2]]*$Q3</f>
        <v>5.2</v>
      </c>
      <c r="U21" s="14" t="n">
        <f aca="false">Tabella527911247916182022242628303234363840[[#This Row],[Colonna3]]*$Q3</f>
        <v>2</v>
      </c>
      <c r="V21" s="14" t="n">
        <f aca="false">Tabella527911247916182022242628303234363840[[#This Row],[Colonna4]]*$Q3</f>
        <v>0.4</v>
      </c>
      <c r="W21" s="14" t="n">
        <f aca="false">Tabella527911247916182022242628303234363840[[#This Row],[Colonna5]]*$Q3</f>
        <v>0.8</v>
      </c>
      <c r="X21" s="14" t="n">
        <f aca="false">Tabella527911247916182022242628303234363840[[#This Row],[Colonna6]]*$Q3</f>
        <v>0.4</v>
      </c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17</v>
      </c>
      <c r="H22" s="13" t="n">
        <v>9</v>
      </c>
      <c r="I22" s="13" t="n">
        <v>7</v>
      </c>
      <c r="J22" s="13" t="n">
        <v>9</v>
      </c>
      <c r="K22" s="13" t="n">
        <v>9</v>
      </c>
      <c r="L22" s="13" t="n">
        <v>3</v>
      </c>
      <c r="M22" s="13" t="n">
        <v>10</v>
      </c>
      <c r="P22" s="12" t="s">
        <v>29</v>
      </c>
      <c r="Q22" s="12"/>
      <c r="R22" s="12"/>
      <c r="S22" s="14" t="n">
        <f aca="false">Tabella527911247916182022242628303234363840[[#This Row],[Colonna1]]*$Q3</f>
        <v>6.8</v>
      </c>
      <c r="T22" s="14" t="n">
        <f aca="false">Tabella527911247916182022242628303234363840[[#This Row],[Colonna2]]*$Q3</f>
        <v>3.6</v>
      </c>
      <c r="U22" s="14" t="n">
        <f aca="false">Tabella527911247916182022242628303234363840[[#This Row],[Colonna3]]*$Q3</f>
        <v>2.8</v>
      </c>
      <c r="V22" s="14" t="n">
        <f aca="false">Tabella527911247916182022242628303234363840[[#This Row],[Colonna4]]*$Q3</f>
        <v>3.6</v>
      </c>
      <c r="W22" s="14" t="n">
        <f aca="false">Tabella527911247916182022242628303234363840[[#This Row],[Colonna5]]*$Q3</f>
        <v>3.6</v>
      </c>
      <c r="X22" s="14" t="n">
        <f aca="false">Tabella527911247916182022242628303234363840[[#This Row],[Colonna6]]*$Q3</f>
        <v>1.2</v>
      </c>
      <c r="Y22" s="14" t="n">
        <f aca="false">Tabella527911247916182022242628303234363840[[#This Row],[Colonna7]]*$Q3</f>
        <v>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 t="n">
        <v>1</v>
      </c>
      <c r="J23" s="13"/>
      <c r="K23" s="13"/>
      <c r="L23" s="13" t="n">
        <v>3</v>
      </c>
      <c r="M23" s="13" t="n">
        <v>2</v>
      </c>
      <c r="P23" s="17" t="s">
        <v>30</v>
      </c>
      <c r="Q23" s="17"/>
      <c r="R23" s="17"/>
      <c r="S23" s="14"/>
      <c r="T23" s="14"/>
      <c r="U23" s="14" t="n">
        <f aca="false">Tabella527911247916182022242628303234363840[[#This Row],[Colonna3]]*$Q3</f>
        <v>0.4</v>
      </c>
      <c r="V23" s="14"/>
      <c r="W23" s="14"/>
      <c r="X23" s="14" t="n">
        <f aca="false">Tabella527911247916182022242628303234363840[[#This Row],[Colonna6]]*$Q3</f>
        <v>1.2</v>
      </c>
      <c r="Y23" s="14" t="n">
        <f aca="false">Tabella527911247916182022242628303234363840[[#This Row],[Colonna7]]*$Q3</f>
        <v>0.8</v>
      </c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9</v>
      </c>
      <c r="H27" s="13" t="n">
        <v>17</v>
      </c>
      <c r="I27" s="13" t="n">
        <v>33</v>
      </c>
      <c r="J27" s="13" t="n">
        <v>49</v>
      </c>
      <c r="K27" s="13" t="n">
        <v>39</v>
      </c>
      <c r="L27" s="13" t="n">
        <v>24</v>
      </c>
      <c r="M27" s="13" t="n">
        <v>10</v>
      </c>
      <c r="P27" s="12" t="s">
        <v>34</v>
      </c>
      <c r="Q27" s="12"/>
      <c r="R27" s="12"/>
      <c r="S27" s="14" t="n">
        <f aca="false">Tabella527911247916182022242628303234363840[[#This Row],[Colonna1]]*$Q3</f>
        <v>3.6</v>
      </c>
      <c r="T27" s="14" t="n">
        <f aca="false">Tabella527911247916182022242628303234363840[[#This Row],[Colonna2]]*$Q3</f>
        <v>6.8</v>
      </c>
      <c r="U27" s="14" t="n">
        <f aca="false">Tabella527911247916182022242628303234363840[[#This Row],[Colonna3]]*$Q3</f>
        <v>13.2</v>
      </c>
      <c r="V27" s="14" t="n">
        <f aca="false">Tabella527911247916182022242628303234363840[[#This Row],[Colonna4]]*$Q3</f>
        <v>19.6</v>
      </c>
      <c r="W27" s="14" t="n">
        <f aca="false">Tabella527911247916182022242628303234363840[[#This Row],[Colonna5]]*$Q3</f>
        <v>15.6</v>
      </c>
      <c r="X27" s="14" t="n">
        <f aca="false">Tabella527911247916182022242628303234363840[[#This Row],[Colonna6]]*$Q3</f>
        <v>9.6</v>
      </c>
      <c r="Y27" s="14" t="n">
        <f aca="false">Tabella527911247916182022242628303234363840[[#This Row],[Colonna7]]*$Q3</f>
        <v>4</v>
      </c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25</v>
      </c>
      <c r="H28" s="13" t="n">
        <v>19</v>
      </c>
      <c r="I28" s="13" t="n">
        <v>37</v>
      </c>
      <c r="J28" s="13" t="n">
        <v>102</v>
      </c>
      <c r="K28" s="13" t="n">
        <v>53</v>
      </c>
      <c r="L28" s="13" t="n">
        <v>37</v>
      </c>
      <c r="M28" s="13" t="n">
        <v>36</v>
      </c>
      <c r="P28" s="12" t="s">
        <v>35</v>
      </c>
      <c r="Q28" s="12"/>
      <c r="R28" s="12"/>
      <c r="S28" s="14" t="n">
        <f aca="false">Tabella527911247916182022242628303234363840[[#This Row],[Colonna1]]*$Q3</f>
        <v>10</v>
      </c>
      <c r="T28" s="14" t="n">
        <f aca="false">Tabella527911247916182022242628303234363840[[#This Row],[Colonna2]]*$Q3</f>
        <v>7.6</v>
      </c>
      <c r="U28" s="14" t="n">
        <f aca="false">Tabella527911247916182022242628303234363840[[#This Row],[Colonna3]]*$Q3</f>
        <v>14.8</v>
      </c>
      <c r="V28" s="14" t="n">
        <f aca="false">Tabella527911247916182022242628303234363840[[#This Row],[Colonna4]]*$Q3</f>
        <v>40.8</v>
      </c>
      <c r="W28" s="14" t="n">
        <f aca="false">Tabella527911247916182022242628303234363840[[#This Row],[Colonna5]]*$Q3</f>
        <v>21.2</v>
      </c>
      <c r="X28" s="14" t="n">
        <f aca="false">Tabella527911247916182022242628303234363840[[#This Row],[Colonna6]]*$Q3</f>
        <v>14.8</v>
      </c>
      <c r="Y28" s="14" t="n">
        <f aca="false">Tabella527911247916182022242628303234363840[[#This Row],[Colonna7]]*$Q3</f>
        <v>14.4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12</v>
      </c>
      <c r="H29" s="13" t="n">
        <v>20</v>
      </c>
      <c r="I29" s="13" t="n">
        <v>19</v>
      </c>
      <c r="J29" s="13" t="n">
        <v>15</v>
      </c>
      <c r="K29" s="13" t="n">
        <v>20</v>
      </c>
      <c r="L29" s="13" t="n">
        <v>25</v>
      </c>
      <c r="M29" s="13" t="n">
        <v>12</v>
      </c>
      <c r="P29" s="12" t="s">
        <v>36</v>
      </c>
      <c r="Q29" s="12"/>
      <c r="R29" s="12"/>
      <c r="S29" s="14" t="n">
        <f aca="false">Tabella527911247916182022242628303234363840[[#This Row],[Colonna1]]*$Q3</f>
        <v>4.8</v>
      </c>
      <c r="T29" s="14" t="n">
        <f aca="false">Tabella527911247916182022242628303234363840[[#This Row],[Colonna2]]*$Q3</f>
        <v>8</v>
      </c>
      <c r="U29" s="14" t="n">
        <f aca="false">Tabella527911247916182022242628303234363840[[#This Row],[Colonna3]]*$Q3</f>
        <v>7.6</v>
      </c>
      <c r="V29" s="14" t="n">
        <f aca="false">Tabella527911247916182022242628303234363840[[#This Row],[Colonna4]]*$Q3</f>
        <v>6</v>
      </c>
      <c r="W29" s="14" t="n">
        <f aca="false">Tabella527911247916182022242628303234363840[[#This Row],[Colonna5]]*$Q3</f>
        <v>8</v>
      </c>
      <c r="X29" s="14" t="n">
        <f aca="false">Tabella527911247916182022242628303234363840[[#This Row],[Colonna6]]*$Q3</f>
        <v>10</v>
      </c>
      <c r="Y29" s="14" t="n">
        <f aca="false">Tabella527911247916182022242628303234363840[[#This Row],[Colonna7]]*$Q3</f>
        <v>4.8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3</v>
      </c>
      <c r="H31" s="13"/>
      <c r="I31" s="13" t="n">
        <v>2</v>
      </c>
      <c r="J31" s="13" t="n">
        <v>9</v>
      </c>
      <c r="K31" s="13" t="n">
        <v>5</v>
      </c>
      <c r="L31" s="13" t="n">
        <v>3</v>
      </c>
      <c r="M31" s="13" t="n">
        <v>1</v>
      </c>
      <c r="P31" s="9" t="s">
        <v>38</v>
      </c>
      <c r="Q31" s="9"/>
      <c r="R31" s="9"/>
      <c r="S31" s="14" t="n">
        <f aca="false">Tabella527911247916182022242628303234363840[[#This Row],[Colonna1]]*$Q3</f>
        <v>1.2</v>
      </c>
      <c r="T31" s="14"/>
      <c r="U31" s="14" t="n">
        <f aca="false">Tabella527911247916182022242628303234363840[[#This Row],[Colonna3]]*$Q3</f>
        <v>0.8</v>
      </c>
      <c r="V31" s="14" t="n">
        <f aca="false">Tabella527911247916182022242628303234363840[[#This Row],[Colonna4]]*$Q3</f>
        <v>3.6</v>
      </c>
      <c r="W31" s="14" t="n">
        <f aca="false">Tabella527911247916182022242628303234363840[[#This Row],[Colonna5]]*$Q3</f>
        <v>2</v>
      </c>
      <c r="X31" s="14" t="n">
        <f aca="false">Tabella527911247916182022242628303234363840[[#This Row],[Colonna6]]*$Q3</f>
        <v>1.2</v>
      </c>
      <c r="Y31" s="14" t="n">
        <f aca="false">Tabella527911247916182022242628303234363840[[#This Row],[Colonna7]]*$Q3</f>
        <v>0.4</v>
      </c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 t="n">
        <v>6</v>
      </c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 t="n">
        <f aca="false">Tabella527911247916182022242628303234363840[[#This Row],[Colonna6]]*$Q3</f>
        <v>2.4</v>
      </c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 t="n">
        <v>8</v>
      </c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 t="n">
        <f aca="false">Tabella527911247916182022242628303234363840[[#This Row],[Colonna1]]*$Q3</f>
        <v>3.2</v>
      </c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3</v>
      </c>
      <c r="H38" s="13" t="n">
        <v>9</v>
      </c>
      <c r="I38" s="13" t="n">
        <v>15</v>
      </c>
      <c r="J38" s="13" t="n">
        <v>7</v>
      </c>
      <c r="K38" s="13" t="n">
        <v>5</v>
      </c>
      <c r="L38" s="13" t="n">
        <v>4</v>
      </c>
      <c r="M38" s="13" t="n">
        <v>3</v>
      </c>
      <c r="P38" s="16" t="s">
        <v>45</v>
      </c>
      <c r="Q38" s="16"/>
      <c r="R38" s="16"/>
      <c r="S38" s="14" t="n">
        <f aca="false">Tabella527911247916182022242628303234363840[[#This Row],[Colonna1]]*$Q3</f>
        <v>1.2</v>
      </c>
      <c r="T38" s="14" t="n">
        <f aca="false">Tabella527911247916182022242628303234363840[[#This Row],[Colonna2]]*$Q3</f>
        <v>3.6</v>
      </c>
      <c r="U38" s="14" t="n">
        <f aca="false">Tabella527911247916182022242628303234363840[[#This Row],[Colonna3]]*$Q3</f>
        <v>6</v>
      </c>
      <c r="V38" s="14" t="n">
        <f aca="false">Tabella527911247916182022242628303234363840[[#This Row],[Colonna4]]*$Q3</f>
        <v>2.8</v>
      </c>
      <c r="W38" s="14" t="n">
        <f aca="false">Tabella527911247916182022242628303234363840[[#This Row],[Colonna5]]*$Q3</f>
        <v>2</v>
      </c>
      <c r="X38" s="14" t="n">
        <f aca="false">Tabella527911247916182022242628303234363840[[#This Row],[Colonna6]]*$Q3</f>
        <v>1.6</v>
      </c>
      <c r="Y38" s="14" t="n">
        <f aca="false">Tabella527911247916182022242628303234363840[[#This Row],[Colonna7]]*$Q3</f>
        <v>1.2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2</v>
      </c>
      <c r="H41" s="13" t="n">
        <v>1</v>
      </c>
      <c r="I41" s="13" t="n">
        <v>2</v>
      </c>
      <c r="J41" s="13" t="n">
        <v>3</v>
      </c>
      <c r="K41" s="13" t="n">
        <v>3</v>
      </c>
      <c r="L41" s="13" t="n">
        <v>3</v>
      </c>
      <c r="M41" s="13"/>
      <c r="P41" s="18" t="s">
        <v>48</v>
      </c>
      <c r="Q41" s="18"/>
      <c r="R41" s="18"/>
      <c r="S41" s="14" t="n">
        <f aca="false">Tabella527911247916182022242628303234363840[[#This Row],[Colonna1]]*$Q3</f>
        <v>0.8</v>
      </c>
      <c r="T41" s="14" t="n">
        <f aca="false">Tabella527911247916182022242628303234363840[[#This Row],[Colonna2]]*$Q3</f>
        <v>0.4</v>
      </c>
      <c r="U41" s="14" t="n">
        <f aca="false">Tabella527911247916182022242628303234363840[[#This Row],[Colonna3]]*$Q3</f>
        <v>0.8</v>
      </c>
      <c r="V41" s="14" t="n">
        <f aca="false">Tabella527911247916182022242628303234363840[[#This Row],[Colonna4]]*$Q3</f>
        <v>1.2</v>
      </c>
      <c r="W41" s="14" t="n">
        <f aca="false">Tabella527911247916182022242628303234363840[[#This Row],[Colonna5]]*$Q3</f>
        <v>1.2</v>
      </c>
      <c r="X41" s="14" t="n">
        <f aca="false">Tabella527911247916182022242628303234363840[[#This Row],[Colonna6]]*$Q3</f>
        <v>1.2</v>
      </c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 t="n">
        <v>1</v>
      </c>
      <c r="I42" s="13" t="n">
        <v>3</v>
      </c>
      <c r="J42" s="13" t="n">
        <v>2</v>
      </c>
      <c r="K42" s="13" t="n">
        <v>2</v>
      </c>
      <c r="L42" s="13" t="n">
        <v>4</v>
      </c>
      <c r="M42" s="13"/>
      <c r="P42" s="9" t="s">
        <v>49</v>
      </c>
      <c r="Q42" s="9"/>
      <c r="R42" s="9"/>
      <c r="S42" s="14"/>
      <c r="T42" s="14" t="n">
        <f aca="false">Tabella527911247916182022242628303234363840[[#This Row],[Colonna2]]*$Q3</f>
        <v>0.4</v>
      </c>
      <c r="U42" s="14" t="n">
        <f aca="false">Tabella527911247916182022242628303234363840[[#This Row],[Colonna3]]*$Q3</f>
        <v>1.2</v>
      </c>
      <c r="V42" s="14" t="n">
        <f aca="false">Tabella527911247916182022242628303234363840[[#This Row],[Colonna4]]*$Q3</f>
        <v>0.8</v>
      </c>
      <c r="W42" s="14" t="n">
        <f aca="false">Tabella527911247916182022242628303234363840[[#This Row],[Colonna5]]*$Q3</f>
        <v>0.8</v>
      </c>
      <c r="X42" s="14" t="n">
        <f aca="false">Tabella527911247916182022242628303234363840[[#This Row],[Colonna6]]*$Q3</f>
        <v>1.6</v>
      </c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585</v>
      </c>
      <c r="H43" s="13" t="n">
        <v>432</v>
      </c>
      <c r="I43" s="13" t="n">
        <v>452</v>
      </c>
      <c r="J43" s="13" t="n">
        <v>423</v>
      </c>
      <c r="K43" s="13" t="n">
        <v>470</v>
      </c>
      <c r="L43" s="13" t="n">
        <v>160</v>
      </c>
      <c r="M43" s="13" t="n">
        <v>155</v>
      </c>
      <c r="P43" s="18" t="s">
        <v>50</v>
      </c>
      <c r="Q43" s="18"/>
      <c r="R43" s="18"/>
      <c r="S43" s="14" t="n">
        <f aca="false">Tabella527911247916182022242628303234363840[[#This Row],[Colonna1]]*$Q3</f>
        <v>234</v>
      </c>
      <c r="T43" s="14" t="n">
        <f aca="false">Tabella527911247916182022242628303234363840[[#This Row],[Colonna2]]*$Q3</f>
        <v>172.8</v>
      </c>
      <c r="U43" s="14" t="n">
        <f aca="false">Tabella527911247916182022242628303234363840[[#This Row],[Colonna3]]*$Q3</f>
        <v>180.8</v>
      </c>
      <c r="V43" s="14" t="n">
        <f aca="false">Tabella527911247916182022242628303234363840[[#This Row],[Colonna4]]*$Q3</f>
        <v>169.2</v>
      </c>
      <c r="W43" s="14" t="n">
        <f aca="false">Tabella527911247916182022242628303234363840[[#This Row],[Colonna5]]*$Q3</f>
        <v>188</v>
      </c>
      <c r="X43" s="14" t="n">
        <f aca="false">Tabella527911247916182022242628303234363840[[#This Row],[Colonna6]]*$Q3</f>
        <v>64</v>
      </c>
      <c r="Y43" s="14" t="n">
        <f aca="false">Tabella527911247916182022242628303234363840[[#This Row],[Colonna7]]*$Q3</f>
        <v>62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4</v>
      </c>
      <c r="H44" s="13" t="n">
        <v>8</v>
      </c>
      <c r="I44" s="13" t="n">
        <v>1</v>
      </c>
      <c r="J44" s="13" t="n">
        <v>0</v>
      </c>
      <c r="K44" s="13" t="n">
        <v>1</v>
      </c>
      <c r="L44" s="13" t="n">
        <v>2</v>
      </c>
      <c r="M44" s="13"/>
      <c r="P44" s="12" t="s">
        <v>51</v>
      </c>
      <c r="Q44" s="12"/>
      <c r="R44" s="12"/>
      <c r="S44" s="14" t="n">
        <f aca="false">Tabella527911247916182022242628303234363840[[#This Row],[Colonna1]]*$Q3</f>
        <v>1.6</v>
      </c>
      <c r="T44" s="14" t="n">
        <f aca="false">Tabella527911247916182022242628303234363840[[#This Row],[Colonna2]]*$Q3</f>
        <v>3.2</v>
      </c>
      <c r="U44" s="14" t="n">
        <f aca="false">Tabella527911247916182022242628303234363840[[#This Row],[Colonna3]]*$Q3</f>
        <v>0.4</v>
      </c>
      <c r="V44" s="14"/>
      <c r="W44" s="14" t="n">
        <f aca="false">Tabella527911247916182022242628303234363840[[#This Row],[Colonna5]]*$Q3</f>
        <v>0.4</v>
      </c>
      <c r="X44" s="14" t="n">
        <f aca="false">Tabella527911247916182022242628303234363840[[#This Row],[Colonna6]]*$Q3</f>
        <v>0.8</v>
      </c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5</v>
      </c>
      <c r="H47" s="13"/>
      <c r="I47" s="13" t="n">
        <v>3</v>
      </c>
      <c r="J47" s="13" t="n">
        <v>2</v>
      </c>
      <c r="K47" s="13" t="n">
        <v>6</v>
      </c>
      <c r="L47" s="13" t="n">
        <v>1</v>
      </c>
      <c r="M47" s="13" t="n">
        <v>2</v>
      </c>
      <c r="P47" s="16" t="s">
        <v>54</v>
      </c>
      <c r="Q47" s="16"/>
      <c r="R47" s="16"/>
      <c r="S47" s="14" t="n">
        <f aca="false">Tabella527911247916182022242628303234363840[[#This Row],[Colonna1]]*$Q3</f>
        <v>2</v>
      </c>
      <c r="T47" s="14"/>
      <c r="U47" s="14" t="n">
        <f aca="false">Tabella527911247916182022242628303234363840[[#This Row],[Colonna3]]*$Q3</f>
        <v>1.2</v>
      </c>
      <c r="V47" s="14" t="n">
        <f aca="false">Tabella527911247916182022242628303234363840[[#This Row],[Colonna4]]*$Q3</f>
        <v>0.8</v>
      </c>
      <c r="W47" s="14" t="n">
        <f aca="false">Tabella527911247916182022242628303234363840[[#This Row],[Colonna5]]*$Q3</f>
        <v>2.4</v>
      </c>
      <c r="X47" s="14" t="n">
        <f aca="false">Tabella527911247916182022242628303234363840[[#This Row],[Colonna6]]*$Q3</f>
        <v>0.4</v>
      </c>
      <c r="Y47" s="14" t="n">
        <f aca="false">Tabella527911247916182022242628303234363840[[#This Row],[Colonna7]]*$Q3</f>
        <v>0.8</v>
      </c>
    </row>
    <row r="48" customFormat="false" ht="15" hidden="false" customHeight="false" outlineLevel="0" collapsed="false">
      <c r="D48" s="12" t="s">
        <v>55</v>
      </c>
      <c r="E48" s="12"/>
      <c r="F48" s="12"/>
      <c r="G48" s="13" t="n">
        <v>16</v>
      </c>
      <c r="H48" s="13" t="n">
        <v>5</v>
      </c>
      <c r="I48" s="13" t="n">
        <v>13</v>
      </c>
      <c r="J48" s="13" t="n">
        <v>4</v>
      </c>
      <c r="K48" s="13" t="n">
        <v>6</v>
      </c>
      <c r="L48" s="13"/>
      <c r="M48" s="13" t="n">
        <v>12</v>
      </c>
      <c r="P48" s="12" t="s">
        <v>55</v>
      </c>
      <c r="Q48" s="12"/>
      <c r="R48" s="12"/>
      <c r="S48" s="14" t="n">
        <f aca="false">Tabella527911247916182022242628303234363840[[#This Row],[Colonna1]]*$Q3</f>
        <v>6.4</v>
      </c>
      <c r="T48" s="14" t="n">
        <f aca="false">Tabella527911247916182022242628303234363840[[#This Row],[Colonna2]]*$Q3</f>
        <v>2</v>
      </c>
      <c r="U48" s="14" t="n">
        <f aca="false">Tabella527911247916182022242628303234363840[[#This Row],[Colonna3]]*$Q3</f>
        <v>5.2</v>
      </c>
      <c r="V48" s="14" t="n">
        <f aca="false">Tabella527911247916182022242628303234363840[[#This Row],[Colonna4]]*$Q3</f>
        <v>1.6</v>
      </c>
      <c r="W48" s="14" t="n">
        <f aca="false">Tabella527911247916182022242628303234363840[[#This Row],[Colonna5]]*$Q3</f>
        <v>2.4</v>
      </c>
      <c r="X48" s="14"/>
      <c r="Y48" s="14" t="n">
        <f aca="false">Tabella527911247916182022242628303234363840[[#This Row],[Colonna7]]*$Q3</f>
        <v>4.8</v>
      </c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 t="n">
        <v>1</v>
      </c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 t="n">
        <f aca="false">Tabella527911247916182022242628303234363840[[#This Row],[Colonna3]]*$Q3</f>
        <v>0.4</v>
      </c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21</v>
      </c>
      <c r="H52" s="13" t="n">
        <v>4</v>
      </c>
      <c r="I52" s="13" t="n">
        <v>40</v>
      </c>
      <c r="J52" s="13" t="n">
        <v>37</v>
      </c>
      <c r="K52" s="13" t="n">
        <v>61</v>
      </c>
      <c r="L52" s="13" t="n">
        <v>30</v>
      </c>
      <c r="M52" s="13" t="n">
        <v>31</v>
      </c>
      <c r="P52" s="12" t="s">
        <v>59</v>
      </c>
      <c r="Q52" s="12"/>
      <c r="R52" s="12"/>
      <c r="S52" s="14" t="n">
        <f aca="false">Tabella527911247916182022242628303234363840[[#This Row],[Colonna1]]*$Q3</f>
        <v>8.4</v>
      </c>
      <c r="T52" s="14" t="n">
        <f aca="false">Tabella527911247916182022242628303234363840[[#This Row],[Colonna2]]*$Q3</f>
        <v>1.6</v>
      </c>
      <c r="U52" s="14" t="n">
        <f aca="false">Tabella527911247916182022242628303234363840[[#This Row],[Colonna3]]*$Q3</f>
        <v>16</v>
      </c>
      <c r="V52" s="14" t="n">
        <f aca="false">Tabella527911247916182022242628303234363840[[#This Row],[Colonna4]]*$Q3</f>
        <v>14.8</v>
      </c>
      <c r="W52" s="14" t="n">
        <f aca="false">Tabella527911247916182022242628303234363840[[#This Row],[Colonna5]]*$Q3</f>
        <v>24.4</v>
      </c>
      <c r="X52" s="14" t="n">
        <f aca="false">Tabella527911247916182022242628303234363840[[#This Row],[Colonna6]]*$Q3</f>
        <v>12</v>
      </c>
      <c r="Y52" s="14" t="n">
        <f aca="false">Tabella527911247916182022242628303234363840[[#This Row],[Colonna7]]*$Q3</f>
        <v>12.4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SUM(G43,G52,G48,G47,G44,G41,G38,G37,G31,G29,G28,G27,G22,G21,G18,G10,G9,G7,G6)</f>
        <v>801</v>
      </c>
      <c r="H53" s="55" t="n">
        <f aca="false">SUM(H52,H48,H44,H43,H42,H41,H38,H29,H28,H27,H22,H21,H19,H10,H9,H6)</f>
        <v>580</v>
      </c>
      <c r="I53" s="55" t="n">
        <f aca="false">SUM(I52,I50,I48,I47,I44,I43,I42,I41,I38,I31,I29,I28,I27,I23,I22,I21,I19,I10,I9,I7,I6)</f>
        <v>725</v>
      </c>
      <c r="J53" s="55" t="n">
        <f aca="false">SUM(J52,J48,J47,J44,J43,J42,J41,J38,J31,J29,J28,J27,J22,J21,J19,J15,J10,J6)</f>
        <v>790</v>
      </c>
      <c r="K53" s="55" t="n">
        <f aca="false">SUM(K52,K48,K47,K44,K43,K42,K41,K38,K31,K29,K28,K27,K22,K21,K19,K12,K10,K6)</f>
        <v>759</v>
      </c>
      <c r="L53" s="55" t="n">
        <f aca="false">SUM(L52,L47,L44,L43,L42,L41,L38,L36,L31,L29,L28,L27,L23,L22,L21,L19,L10,L6)</f>
        <v>421</v>
      </c>
      <c r="M53" s="55" t="n">
        <f aca="false">SUM(M52,M48,M47,M43,M38,M31,M29,M28,M27,M23,M22,M19,M10,M6)</f>
        <v>352</v>
      </c>
      <c r="P53" s="17" t="s">
        <v>60</v>
      </c>
      <c r="Q53" s="17"/>
      <c r="R53" s="17"/>
      <c r="S53" s="56" t="n">
        <f aca="false">Tabella527911247916182022242628303234363840[[#This Row],[Colonna1]]*$Q3</f>
        <v>320.4</v>
      </c>
      <c r="T53" s="56" t="n">
        <f aca="false">Tabella527911247916182022242628303234363840[[#This Row],[Colonna2]]*$Q3</f>
        <v>232</v>
      </c>
      <c r="U53" s="56" t="n">
        <f aca="false">Tabella527911247916182022242628303234363840[[#This Row],[Colonna3]]*$Q3</f>
        <v>290</v>
      </c>
      <c r="V53" s="56" t="n">
        <f aca="false">Tabella527911247916182022242628303234363840[[#This Row],[Colonna4]]*$Q3</f>
        <v>316</v>
      </c>
      <c r="W53" s="56" t="n">
        <f aca="false">Tabella527911247916182022242628303234363840[[#This Row],[Colonna5]]*$Q3</f>
        <v>303.6</v>
      </c>
      <c r="X53" s="56" t="n">
        <f aca="false">Tabella527911247916182022242628303234363840[[#This Row],[Colonna6]]*$Q3</f>
        <v>168.4</v>
      </c>
      <c r="Y53" s="56" t="n">
        <f aca="false">Tabella527911247916182022242628303234363840[[#This Row],[Colonna7]]*$Q3</f>
        <v>140.8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14</v>
      </c>
      <c r="H58" s="26" t="n">
        <v>6</v>
      </c>
      <c r="I58" s="26" t="n">
        <v>10</v>
      </c>
      <c r="J58" s="26" t="n">
        <v>5</v>
      </c>
      <c r="K58" s="26" t="n">
        <v>14</v>
      </c>
      <c r="L58" s="26" t="n">
        <v>6</v>
      </c>
      <c r="M58" s="26" t="n">
        <v>3</v>
      </c>
      <c r="P58" s="23" t="s">
        <v>62</v>
      </c>
      <c r="Q58" s="23"/>
      <c r="R58" s="23"/>
      <c r="S58" s="57" t="n">
        <f aca="false">G58*$Q3</f>
        <v>5.6</v>
      </c>
      <c r="T58" s="57" t="n">
        <f aca="false">H58*$Q3</f>
        <v>2.4</v>
      </c>
      <c r="U58" s="57" t="n">
        <f aca="false">I58*$Q3</f>
        <v>4</v>
      </c>
      <c r="V58" s="57" t="n">
        <f aca="false">J58*$Q3</f>
        <v>2</v>
      </c>
      <c r="W58" s="57" t="n">
        <f aca="false">K58*$Q3</f>
        <v>5.6</v>
      </c>
      <c r="X58" s="57" t="n">
        <f aca="false">L58*$Q3</f>
        <v>2.4</v>
      </c>
      <c r="Y58" s="57" t="n">
        <f aca="false">M58*$Q3</f>
        <v>1.2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/>
      <c r="T62" s="57"/>
      <c r="U62" s="57"/>
      <c r="V62" s="57"/>
      <c r="W62" s="27"/>
      <c r="X62" s="27"/>
      <c r="Y62" s="27"/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/>
      <c r="K63" s="26"/>
      <c r="L63" s="26"/>
      <c r="M63" s="26"/>
      <c r="P63" s="9" t="s">
        <v>67</v>
      </c>
      <c r="Q63" s="9"/>
      <c r="R63" s="9"/>
      <c r="S63" s="57"/>
      <c r="T63" s="27"/>
      <c r="U63" s="27"/>
      <c r="V63" s="27"/>
      <c r="W63" s="27"/>
      <c r="X63" s="2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27"/>
      <c r="U64" s="27"/>
      <c r="V64" s="27"/>
      <c r="W64" s="27"/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23</v>
      </c>
      <c r="H65" s="26"/>
      <c r="I65" s="26"/>
      <c r="J65" s="26" t="n">
        <v>1</v>
      </c>
      <c r="K65" s="26" t="n">
        <v>1</v>
      </c>
      <c r="L65" s="26"/>
      <c r="M65" s="26" t="n">
        <v>8</v>
      </c>
      <c r="P65" s="9" t="s">
        <v>69</v>
      </c>
      <c r="Q65" s="9"/>
      <c r="R65" s="9"/>
      <c r="S65" s="57" t="n">
        <f aca="false">G65*$Q3</f>
        <v>9.2</v>
      </c>
      <c r="T65" s="57"/>
      <c r="U65" s="57"/>
      <c r="V65" s="57" t="n">
        <f aca="false">J65*$Q3</f>
        <v>0.4</v>
      </c>
      <c r="W65" s="57" t="n">
        <f aca="false">K65*$Q3</f>
        <v>0.4</v>
      </c>
      <c r="X65" s="57"/>
      <c r="Y65" s="57" t="n">
        <f aca="false">M65*$Q3</f>
        <v>3.2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3</v>
      </c>
      <c r="H67" s="26"/>
      <c r="I67" s="26" t="n">
        <v>1</v>
      </c>
      <c r="J67" s="26" t="n">
        <v>1</v>
      </c>
      <c r="K67" s="26" t="n">
        <v>1</v>
      </c>
      <c r="L67" s="26"/>
      <c r="M67" s="26" t="n">
        <v>1</v>
      </c>
      <c r="P67" s="9" t="s">
        <v>71</v>
      </c>
      <c r="Q67" s="9"/>
      <c r="R67" s="9"/>
      <c r="S67" s="57" t="n">
        <f aca="false">G67*$Q3</f>
        <v>1.2</v>
      </c>
      <c r="T67" s="57"/>
      <c r="U67" s="57" t="n">
        <f aca="false">I67*$Q3</f>
        <v>0.4</v>
      </c>
      <c r="V67" s="57" t="n">
        <f aca="false">J67*$Q3</f>
        <v>0.4</v>
      </c>
      <c r="W67" s="57" t="n">
        <f aca="false">K67*$Q3</f>
        <v>0.4</v>
      </c>
      <c r="X67" s="57"/>
      <c r="Y67" s="57" t="n">
        <f aca="false">M67*$Q3</f>
        <v>0.4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</v>
      </c>
      <c r="H68" s="30" t="n">
        <v>1</v>
      </c>
      <c r="I68" s="30" t="n">
        <v>3</v>
      </c>
      <c r="J68" s="30" t="n">
        <v>1</v>
      </c>
      <c r="K68" s="30"/>
      <c r="L68" s="30"/>
      <c r="M68" s="30" t="n">
        <v>2</v>
      </c>
      <c r="P68" s="9" t="s">
        <v>72</v>
      </c>
      <c r="Q68" s="9"/>
      <c r="R68" s="9"/>
      <c r="S68" s="59" t="n">
        <f aca="false">G68*$Q3</f>
        <v>0.4</v>
      </c>
      <c r="T68" s="59" t="n">
        <f aca="false">H68*$Q3</f>
        <v>0.4</v>
      </c>
      <c r="U68" s="59" t="n">
        <f aca="false">I68*$Q3</f>
        <v>1.2</v>
      </c>
      <c r="V68" s="59" t="n">
        <f aca="false">J68*$Q3</f>
        <v>0.4</v>
      </c>
      <c r="W68" s="59"/>
      <c r="X68" s="59"/>
      <c r="Y68" s="59" t="n">
        <f aca="false">M68*$Q3</f>
        <v>0.8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3</v>
      </c>
      <c r="H69" s="30"/>
      <c r="I69" s="30" t="n">
        <v>1</v>
      </c>
      <c r="J69" s="30"/>
      <c r="K69" s="30"/>
      <c r="L69" s="30" t="n">
        <v>1</v>
      </c>
      <c r="M69" s="30"/>
      <c r="P69" s="9" t="s">
        <v>73</v>
      </c>
      <c r="Q69" s="9"/>
      <c r="R69" s="9"/>
      <c r="S69" s="59" t="n">
        <f aca="false">G69*$Q3</f>
        <v>1.2</v>
      </c>
      <c r="T69" s="59"/>
      <c r="U69" s="59" t="n">
        <f aca="false">I69*$Q3</f>
        <v>0.4</v>
      </c>
      <c r="V69" s="59"/>
      <c r="W69" s="59"/>
      <c r="X69" s="59" t="n">
        <f aca="false">L69*$Q3</f>
        <v>0.4</v>
      </c>
      <c r="Y69" s="2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SUM(G58,G65,G67,G68,G69)</f>
        <v>44</v>
      </c>
      <c r="H70" s="60" t="n">
        <f aca="false">SUM(H58,H68)</f>
        <v>7</v>
      </c>
      <c r="I70" s="60" t="n">
        <f aca="false">SUM(I69,I68,I67,I58)</f>
        <v>15</v>
      </c>
      <c r="J70" s="60" t="n">
        <f aca="false">SUM(J68,J67,J65,J58)</f>
        <v>8</v>
      </c>
      <c r="K70" s="12" t="n">
        <f aca="false">SUM(K58,K65,K67)</f>
        <v>16</v>
      </c>
      <c r="L70" s="12" t="n">
        <f aca="false">SUM(L69,L58)</f>
        <v>7</v>
      </c>
      <c r="M70" s="12" t="n">
        <f aca="false">SUM(M68,M67,M65,M58)</f>
        <v>14</v>
      </c>
      <c r="P70" s="9" t="s">
        <v>60</v>
      </c>
      <c r="Q70" s="9"/>
      <c r="R70" s="9"/>
      <c r="S70" s="61" t="n">
        <f aca="false">G70*$Q3</f>
        <v>17.6</v>
      </c>
      <c r="T70" s="61" t="n">
        <f aca="false">H70*$Q3</f>
        <v>2.8</v>
      </c>
      <c r="U70" s="61" t="n">
        <f aca="false">I70*$Q3</f>
        <v>6</v>
      </c>
      <c r="V70" s="61" t="n">
        <f aca="false">J70*$Q3</f>
        <v>3.2</v>
      </c>
      <c r="W70" s="61" t="n">
        <f aca="false">K70*$Q3</f>
        <v>6.4</v>
      </c>
      <c r="X70" s="61" t="n">
        <f aca="false">L70*$Q3</f>
        <v>2.8</v>
      </c>
      <c r="Y70" s="61" t="n">
        <f aca="false">M70*$Q3</f>
        <v>5.6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O34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45019</v>
      </c>
      <c r="K3" s="5" t="n">
        <v>45025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45019</v>
      </c>
      <c r="W3" s="5" t="n">
        <v>45025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 t="n">
        <v>8</v>
      </c>
      <c r="H6" s="13" t="n">
        <v>4</v>
      </c>
      <c r="I6" s="13" t="n">
        <v>3</v>
      </c>
      <c r="J6" s="13"/>
      <c r="K6" s="13"/>
      <c r="L6" s="13" t="n">
        <v>1</v>
      </c>
      <c r="M6" s="13" t="n">
        <v>4</v>
      </c>
      <c r="P6" s="9" t="s">
        <v>13</v>
      </c>
      <c r="Q6" s="9"/>
      <c r="R6" s="9"/>
      <c r="S6" s="14" t="n">
        <f aca="false">Tabella52791124791618202224262830323436384042[[#This Row],[Colonna1]]*$Q3</f>
        <v>3.2</v>
      </c>
      <c r="T6" s="14" t="n">
        <f aca="false">Tabella52791124791618202224262830323436384042[[#This Row],[Colonna2]]*$Q3</f>
        <v>1.6</v>
      </c>
      <c r="U6" s="14" t="n">
        <f aca="false">Tabella52791124791618202224262830323436384042[[#This Row],[Colonna3]]*$Q3</f>
        <v>1.2</v>
      </c>
      <c r="V6" s="14"/>
      <c r="W6" s="14"/>
      <c r="X6" s="14" t="n">
        <f aca="false">Tabella52791124791618202224262830323436384042[[#This Row],[Colonna6]]*$Q3</f>
        <v>0.4</v>
      </c>
      <c r="Y6" s="14" t="n">
        <f aca="false">Tabella52791124791618202224262830323436384042[[#This Row],[Colonna7]]*$Q3</f>
        <v>1.6</v>
      </c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11</v>
      </c>
      <c r="H7" s="13" t="n">
        <v>1</v>
      </c>
      <c r="I7" s="13" t="n">
        <v>8</v>
      </c>
      <c r="J7" s="13"/>
      <c r="K7" s="13"/>
      <c r="L7" s="13" t="n">
        <v>2</v>
      </c>
      <c r="M7" s="13" t="n">
        <v>3</v>
      </c>
      <c r="P7" s="12" t="s">
        <v>14</v>
      </c>
      <c r="Q7" s="12"/>
      <c r="R7" s="12"/>
      <c r="S7" s="14" t="n">
        <f aca="false">Tabella52791124791618202224262830323436384042[[#This Row],[Colonna1]]*$Q3</f>
        <v>4.4</v>
      </c>
      <c r="T7" s="14" t="n">
        <f aca="false">Tabella52791124791618202224262830323436384042[[#This Row],[Colonna2]]*$Q3</f>
        <v>0.4</v>
      </c>
      <c r="U7" s="14" t="n">
        <f aca="false">Tabella52791124791618202224262830323436384042[[#This Row],[Colonna3]]*$Q3</f>
        <v>3.2</v>
      </c>
      <c r="V7" s="14"/>
      <c r="W7" s="14"/>
      <c r="X7" s="14" t="n">
        <f aca="false">Tabella52791124791618202224262830323436384042[[#This Row],[Colonna6]]*$Q3</f>
        <v>0.8</v>
      </c>
      <c r="Y7" s="14" t="n">
        <f aca="false">Tabella52791124791618202224262830323436384042[[#This Row],[Colonna7]]*$Q3</f>
        <v>1.2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1</v>
      </c>
      <c r="H9" s="13"/>
      <c r="I9" s="13" t="n">
        <v>3</v>
      </c>
      <c r="J9" s="13"/>
      <c r="K9" s="13"/>
      <c r="L9" s="13"/>
      <c r="M9" s="13"/>
      <c r="P9" s="12" t="s">
        <v>16</v>
      </c>
      <c r="Q9" s="12"/>
      <c r="R9" s="12"/>
      <c r="S9" s="14" t="n">
        <f aca="false">Tabella52791124791618202224262830323436384042[[#This Row],[Colonna1]]*$Q3</f>
        <v>0.4</v>
      </c>
      <c r="T9" s="14"/>
      <c r="U9" s="14" t="n">
        <f aca="false">Tabella52791124791618202224262830323436384042[[#This Row],[Colonna3]]*$Q3</f>
        <v>1.2</v>
      </c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107</v>
      </c>
      <c r="H10" s="13" t="n">
        <v>57</v>
      </c>
      <c r="I10" s="13" t="n">
        <v>41</v>
      </c>
      <c r="J10" s="13" t="n">
        <v>13</v>
      </c>
      <c r="K10" s="13" t="n">
        <v>127</v>
      </c>
      <c r="L10" s="13" t="n">
        <v>6</v>
      </c>
      <c r="M10" s="13" t="n">
        <v>19</v>
      </c>
      <c r="P10" s="12" t="s">
        <v>17</v>
      </c>
      <c r="Q10" s="12"/>
      <c r="R10" s="12"/>
      <c r="S10" s="14" t="n">
        <f aca="false">Tabella52791124791618202224262830323436384042[[#This Row],[Colonna1]]*$Q3</f>
        <v>42.8</v>
      </c>
      <c r="T10" s="14" t="n">
        <f aca="false">Tabella52791124791618202224262830323436384042[[#This Row],[Colonna2]]*$Q3</f>
        <v>22.8</v>
      </c>
      <c r="U10" s="14" t="n">
        <f aca="false">Tabella52791124791618202224262830323436384042[[#This Row],[Colonna3]]*$Q3</f>
        <v>16.4</v>
      </c>
      <c r="V10" s="14" t="n">
        <f aca="false">Tabella52791124791618202224262830323436384042[[#This Row],[Colonna4]]*$Q3</f>
        <v>5.2</v>
      </c>
      <c r="W10" s="14" t="n">
        <f aca="false">Tabella52791124791618202224262830323436384042[[#This Row],[Colonna5]]*$Q3</f>
        <v>50.8</v>
      </c>
      <c r="X10" s="14" t="n">
        <f aca="false">Tabella52791124791618202224262830323436384042[[#This Row],[Colonna6]]*$Q3</f>
        <v>2.4</v>
      </c>
      <c r="Y10" s="14" t="n">
        <f aca="false">Tabella52791124791618202224262830323436384042[[#This Row],[Colonna7]]*$Q3</f>
        <v>7.6</v>
      </c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 t="n">
        <v>1</v>
      </c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 t="n">
        <f aca="false">Tabella52791124791618202224262830323436384042[[#This Row],[Colonna4]]*$Q3</f>
        <v>0.4</v>
      </c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 t="n">
        <v>19</v>
      </c>
      <c r="H19" s="13" t="n">
        <v>4</v>
      </c>
      <c r="I19" s="13" t="n">
        <v>4</v>
      </c>
      <c r="J19" s="13"/>
      <c r="K19" s="13" t="n">
        <v>1</v>
      </c>
      <c r="L19" s="13"/>
      <c r="M19" s="13" t="n">
        <v>1</v>
      </c>
      <c r="P19" s="9" t="s">
        <v>26</v>
      </c>
      <c r="Q19" s="9"/>
      <c r="R19" s="9"/>
      <c r="S19" s="14" t="n">
        <f aca="false">Tabella52791124791618202224262830323436384042[[#This Row],[Colonna1]]*$Q3</f>
        <v>7.6</v>
      </c>
      <c r="T19" s="14" t="n">
        <f aca="false">Tabella52791124791618202224262830323436384042[[#This Row],[Colonna2]]*$Q3</f>
        <v>1.6</v>
      </c>
      <c r="U19" s="14" t="n">
        <f aca="false">Tabella52791124791618202224262830323436384042[[#This Row],[Colonna3]]*$Q3</f>
        <v>1.6</v>
      </c>
      <c r="V19" s="14"/>
      <c r="W19" s="14" t="n">
        <f aca="false">Tabella52791124791618202224262830323436384042[[#This Row],[Colonna5]]*$Q3</f>
        <v>0.4</v>
      </c>
      <c r="X19" s="14"/>
      <c r="Y19" s="14" t="n">
        <f aca="false">Tabella52791124791618202224262830323436384042[[#This Row],[Colonna7]]*$Q3</f>
        <v>0.4</v>
      </c>
    </row>
    <row r="20" customFormat="false" ht="15" hidden="false" customHeight="false" outlineLevel="0" collapsed="false">
      <c r="D20" s="9" t="s">
        <v>27</v>
      </c>
      <c r="E20" s="9"/>
      <c r="F20" s="9"/>
      <c r="G20" s="13" t="n">
        <v>3</v>
      </c>
      <c r="H20" s="13" t="n">
        <v>11</v>
      </c>
      <c r="I20" s="13" t="n">
        <v>7</v>
      </c>
      <c r="J20" s="13" t="n">
        <v>1</v>
      </c>
      <c r="K20" s="13" t="n">
        <v>25</v>
      </c>
      <c r="L20" s="13" t="n">
        <v>1</v>
      </c>
      <c r="M20" s="13" t="n">
        <v>5</v>
      </c>
      <c r="P20" s="9" t="s">
        <v>27</v>
      </c>
      <c r="Q20" s="9"/>
      <c r="R20" s="9"/>
      <c r="S20" s="14" t="n">
        <f aca="false">Tabella52791124791618202224262830323436384042[[#This Row],[Colonna1]]*$Q3</f>
        <v>1.2</v>
      </c>
      <c r="T20" s="14" t="n">
        <f aca="false">Tabella52791124791618202224262830323436384042[[#This Row],[Colonna2]]*$Q3</f>
        <v>4.4</v>
      </c>
      <c r="U20" s="14" t="n">
        <f aca="false">Tabella52791124791618202224262830323436384042[[#This Row],[Colonna3]]*$Q3</f>
        <v>2.8</v>
      </c>
      <c r="V20" s="14" t="n">
        <f aca="false">Tabella52791124791618202224262830323436384042[[#This Row],[Colonna4]]*$Q3</f>
        <v>0.4</v>
      </c>
      <c r="W20" s="14" t="n">
        <f aca="false">Tabella52791124791618202224262830323436384042[[#This Row],[Colonna5]]*$Q3</f>
        <v>10</v>
      </c>
      <c r="X20" s="14" t="n">
        <f aca="false">Tabella52791124791618202224262830323436384042[[#This Row],[Colonna6]]*$Q3</f>
        <v>0.4</v>
      </c>
      <c r="Y20" s="14" t="n">
        <f aca="false">Tabella52791124791618202224262830323436384042[[#This Row],[Colonna7]]*$Q3</f>
        <v>2</v>
      </c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1</v>
      </c>
      <c r="H21" s="13"/>
      <c r="I21" s="13"/>
      <c r="J21" s="13"/>
      <c r="K21" s="13" t="n">
        <v>1</v>
      </c>
      <c r="L21" s="13"/>
      <c r="M21" s="13"/>
      <c r="P21" s="16" t="s">
        <v>28</v>
      </c>
      <c r="Q21" s="16"/>
      <c r="R21" s="16"/>
      <c r="S21" s="14" t="n">
        <f aca="false">Tabella52791124791618202224262830323436384042[[#This Row],[Colonna1]]*$Q3</f>
        <v>0.4</v>
      </c>
      <c r="T21" s="14"/>
      <c r="U21" s="14"/>
      <c r="V21" s="14"/>
      <c r="W21" s="14" t="n">
        <f aca="false">Tabella52791124791618202224262830323436384042[[#This Row],[Colonna5]]*$Q3</f>
        <v>0.4</v>
      </c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15</v>
      </c>
      <c r="H22" s="13" t="n">
        <v>5</v>
      </c>
      <c r="I22" s="13"/>
      <c r="J22" s="13"/>
      <c r="K22" s="13"/>
      <c r="L22" s="13"/>
      <c r="M22" s="13" t="n">
        <v>3</v>
      </c>
      <c r="P22" s="12" t="s">
        <v>29</v>
      </c>
      <c r="Q22" s="12"/>
      <c r="R22" s="12"/>
      <c r="S22" s="14" t="n">
        <f aca="false">Tabella52791124791618202224262830323436384042[[#This Row],[Colonna1]]*$Q3</f>
        <v>6</v>
      </c>
      <c r="T22" s="14" t="n">
        <f aca="false">Tabella52791124791618202224262830323436384042[[#This Row],[Colonna2]]*$Q3</f>
        <v>2</v>
      </c>
      <c r="U22" s="14"/>
      <c r="V22" s="14"/>
      <c r="W22" s="14"/>
      <c r="X22" s="14"/>
      <c r="Y22" s="14" t="n">
        <f aca="false">Tabella52791124791618202224262830323436384042[[#This Row],[Colonna7]]*Q3</f>
        <v>1.2</v>
      </c>
    </row>
    <row r="23" customFormat="false" ht="15" hidden="false" customHeight="false" outlineLevel="0" collapsed="false">
      <c r="D23" s="17" t="s">
        <v>30</v>
      </c>
      <c r="E23" s="17"/>
      <c r="F23" s="17"/>
      <c r="G23" s="13" t="n">
        <v>1</v>
      </c>
      <c r="H23" s="13"/>
      <c r="I23" s="13"/>
      <c r="J23" s="13"/>
      <c r="K23" s="13" t="n">
        <v>1</v>
      </c>
      <c r="L23" s="13"/>
      <c r="M23" s="13"/>
      <c r="P23" s="17" t="s">
        <v>30</v>
      </c>
      <c r="Q23" s="17"/>
      <c r="R23" s="17"/>
      <c r="S23" s="14" t="n">
        <f aca="false">Tabella52791124791618202224262830323436384042[[#This Row],[Colonna1]]*$Q3</f>
        <v>0.4</v>
      </c>
      <c r="T23" s="14"/>
      <c r="U23" s="14"/>
      <c r="V23" s="14"/>
      <c r="W23" s="14" t="n">
        <f aca="false">Tabella52791124791618202224262830323436384042[[#This Row],[Colonna5]]*$Q3</f>
        <v>0.4</v>
      </c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1</v>
      </c>
      <c r="H27" s="13"/>
      <c r="I27" s="13"/>
      <c r="J27" s="13"/>
      <c r="K27" s="13"/>
      <c r="L27" s="13" t="n">
        <v>1</v>
      </c>
      <c r="M27" s="13"/>
      <c r="P27" s="12" t="s">
        <v>34</v>
      </c>
      <c r="Q27" s="12"/>
      <c r="R27" s="12"/>
      <c r="S27" s="14" t="n">
        <f aca="false">Tabella52791124791618202224262830323436384042[[#This Row],[Colonna1]]*$Q3</f>
        <v>0.4</v>
      </c>
      <c r="T27" s="14"/>
      <c r="U27" s="14"/>
      <c r="V27" s="14"/>
      <c r="W27" s="14"/>
      <c r="X27" s="14" t="n">
        <f aca="false">Tabella52791124791618202224262830323436384042[[#This Row],[Colonna6]]*$Q3</f>
        <v>0.4</v>
      </c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44</v>
      </c>
      <c r="H28" s="13" t="n">
        <v>45</v>
      </c>
      <c r="I28" s="13" t="n">
        <v>32</v>
      </c>
      <c r="J28" s="13" t="n">
        <v>61</v>
      </c>
      <c r="K28" s="13" t="n">
        <v>61</v>
      </c>
      <c r="L28" s="13" t="n">
        <v>2</v>
      </c>
      <c r="M28" s="13" t="n">
        <v>20</v>
      </c>
      <c r="P28" s="12" t="s">
        <v>35</v>
      </c>
      <c r="Q28" s="12"/>
      <c r="R28" s="12"/>
      <c r="S28" s="14" t="n">
        <f aca="false">Tabella52791124791618202224262830323436384042[[#This Row],[Colonna1]]*$Q3</f>
        <v>17.6</v>
      </c>
      <c r="T28" s="14" t="n">
        <f aca="false">Tabella52791124791618202224262830323436384042[[#This Row],[Colonna2]]*$Q3</f>
        <v>18</v>
      </c>
      <c r="U28" s="14" t="n">
        <f aca="false">Tabella52791124791618202224262830323436384042[[#This Row],[Colonna3]]*$Q3</f>
        <v>12.8</v>
      </c>
      <c r="V28" s="14" t="n">
        <f aca="false">Tabella52791124791618202224262830323436384042[[#This Row],[Colonna4]]*$Q3</f>
        <v>24.4</v>
      </c>
      <c r="W28" s="14" t="n">
        <f aca="false">Tabella52791124791618202224262830323436384042[[#This Row],[Colonna5]]*$Q3</f>
        <v>24.4</v>
      </c>
      <c r="X28" s="14" t="n">
        <f aca="false">Tabella52791124791618202224262830323436384042[[#This Row],[Colonna6]]*$Q3</f>
        <v>0.8</v>
      </c>
      <c r="Y28" s="14" t="n">
        <f aca="false">Tabella52791124791618202224262830323436384042[[#This Row],[Colonna7]]*$Q3</f>
        <v>8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71</v>
      </c>
      <c r="H29" s="13" t="n">
        <v>55</v>
      </c>
      <c r="I29" s="13" t="n">
        <v>18</v>
      </c>
      <c r="J29" s="13" t="n">
        <v>72</v>
      </c>
      <c r="K29" s="13" t="n">
        <v>42</v>
      </c>
      <c r="L29" s="13" t="n">
        <v>2</v>
      </c>
      <c r="M29" s="13" t="n">
        <v>73</v>
      </c>
      <c r="P29" s="12" t="s">
        <v>36</v>
      </c>
      <c r="Q29" s="12"/>
      <c r="R29" s="12"/>
      <c r="S29" s="14" t="n">
        <f aca="false">Tabella52791124791618202224262830323436384042[[#This Row],[Colonna1]]*$Q3</f>
        <v>28.4</v>
      </c>
      <c r="T29" s="14" t="n">
        <f aca="false">Tabella52791124791618202224262830323436384042[[#This Row],[Colonna2]]*$Q3</f>
        <v>22</v>
      </c>
      <c r="U29" s="14" t="n">
        <f aca="false">Tabella52791124791618202224262830323436384042[[#This Row],[Colonna3]]*$Q3</f>
        <v>7.2</v>
      </c>
      <c r="V29" s="14" t="n">
        <f aca="false">Tabella52791124791618202224262830323436384042[[#This Row],[Colonna4]]*$Q3</f>
        <v>28.8</v>
      </c>
      <c r="W29" s="14" t="n">
        <f aca="false">Tabella52791124791618202224262830323436384042[[#This Row],[Colonna5]]*$Q3</f>
        <v>16.8</v>
      </c>
      <c r="X29" s="14" t="n">
        <f aca="false">Tabella52791124791618202224262830323436384042[[#This Row],[Colonna6]]*$Q3</f>
        <v>0.8</v>
      </c>
      <c r="Y29" s="14" t="n">
        <f aca="false">Tabella52791124791618202224262830323436384042[[#This Row],[Colonna7]]*$Q3</f>
        <v>29.2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7</v>
      </c>
      <c r="H31" s="13" t="n">
        <v>9</v>
      </c>
      <c r="I31" s="13" t="n">
        <v>4</v>
      </c>
      <c r="J31" s="13" t="n">
        <v>8</v>
      </c>
      <c r="K31" s="13" t="n">
        <v>4</v>
      </c>
      <c r="L31" s="13"/>
      <c r="M31" s="13" t="n">
        <v>2</v>
      </c>
      <c r="P31" s="9" t="s">
        <v>38</v>
      </c>
      <c r="Q31" s="9"/>
      <c r="R31" s="9"/>
      <c r="S31" s="14" t="n">
        <f aca="false">Tabella52791124791618202224262830323436384042[[#This Row],[Colonna1]]*$Q3</f>
        <v>2.8</v>
      </c>
      <c r="T31" s="14" t="n">
        <f aca="false">Tabella52791124791618202224262830323436384042[[#This Row],[Colonna2]]*$Q3</f>
        <v>3.6</v>
      </c>
      <c r="U31" s="14" t="n">
        <f aca="false">Tabella52791124791618202224262830323436384042[[#This Row],[Colonna3]]*$Q3</f>
        <v>1.6</v>
      </c>
      <c r="V31" s="14" t="n">
        <f aca="false">Tabella52791124791618202224262830323436384042[[#This Row],[Colonna4]]*$Q3</f>
        <v>3.2</v>
      </c>
      <c r="W31" s="14" t="n">
        <f aca="false">Tabella52791124791618202224262830323436384042[[#This Row],[Colonna5]]*$Q3</f>
        <v>1.6</v>
      </c>
      <c r="X31" s="14"/>
      <c r="Y31" s="14" t="n">
        <f aca="false">Tabella52791124791618202224262830323436384042[[#This Row],[Colonna7]]*$Q3</f>
        <v>0.8</v>
      </c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9</v>
      </c>
      <c r="H38" s="13" t="n">
        <v>1</v>
      </c>
      <c r="I38" s="13" t="n">
        <v>1</v>
      </c>
      <c r="J38" s="13" t="n">
        <v>3</v>
      </c>
      <c r="K38" s="13" t="n">
        <v>2</v>
      </c>
      <c r="L38" s="13"/>
      <c r="M38" s="13" t="n">
        <v>3</v>
      </c>
      <c r="P38" s="16" t="s">
        <v>45</v>
      </c>
      <c r="Q38" s="16"/>
      <c r="R38" s="16"/>
      <c r="S38" s="14" t="n">
        <f aca="false">Tabella52791124791618202224262830323436384042[[#This Row],[Colonna1]]*$Q3</f>
        <v>3.6</v>
      </c>
      <c r="T38" s="14" t="n">
        <f aca="false">Tabella52791124791618202224262830323436384042[[#This Row],[Colonna2]]*$Q3</f>
        <v>0.4</v>
      </c>
      <c r="U38" s="14" t="n">
        <f aca="false">Tabella52791124791618202224262830323436384042[[#This Row],[Colonna3]]*$Q3</f>
        <v>0.4</v>
      </c>
      <c r="V38" s="14" t="n">
        <f aca="false">Tabella52791124791618202224262830323436384042[[#This Row],[Colonna4]]*$Q3</f>
        <v>1.2</v>
      </c>
      <c r="W38" s="14" t="n">
        <f aca="false">Tabella52791124791618202224262830323436384042[[#This Row],[Colonna5]]*$Q3</f>
        <v>0.8</v>
      </c>
      <c r="X38" s="14"/>
      <c r="Y38" s="14" t="n">
        <f aca="false">Tabella52791124791618202224262830323436384042[[#This Row],[Colonna7]]*$Q3</f>
        <v>1.2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5</v>
      </c>
      <c r="H41" s="13" t="n">
        <v>4</v>
      </c>
      <c r="I41" s="13" t="n">
        <v>1</v>
      </c>
      <c r="J41" s="13"/>
      <c r="K41" s="13" t="n">
        <v>2</v>
      </c>
      <c r="L41" s="13"/>
      <c r="M41" s="13" t="n">
        <v>1</v>
      </c>
      <c r="P41" s="18" t="s">
        <v>48</v>
      </c>
      <c r="Q41" s="18"/>
      <c r="R41" s="18"/>
      <c r="S41" s="14" t="n">
        <f aca="false">Tabella52791124791618202224262830323436384042[[#This Row],[Colonna1]]*$Q3</f>
        <v>2</v>
      </c>
      <c r="T41" s="14" t="n">
        <f aca="false">Tabella52791124791618202224262830323436384042[[#This Row],[Colonna2]]*$Q3</f>
        <v>1.6</v>
      </c>
      <c r="U41" s="14" t="n">
        <f aca="false">Tabella52791124791618202224262830323436384042[[#This Row],[Colonna3]]*$Q3</f>
        <v>0.4</v>
      </c>
      <c r="V41" s="14"/>
      <c r="W41" s="14" t="n">
        <f aca="false">Tabella52791124791618202224262830323436384042[[#This Row],[Colonna5]]*$Q3</f>
        <v>0.8</v>
      </c>
      <c r="X41" s="14"/>
      <c r="Y41" s="14" t="n">
        <f aca="false">Tabella52791124791618202224262830323436384042[[#This Row],[Colonna7]]*$Q3</f>
        <v>0.4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 t="n">
        <v>1</v>
      </c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 t="n">
        <f aca="false">Tabella52791124791618202224262830323436384042[[#This Row],[Colonna5]]*$Q3</f>
        <v>0.4</v>
      </c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691</v>
      </c>
      <c r="H43" s="13" t="n">
        <v>363</v>
      </c>
      <c r="I43" s="13" t="n">
        <v>265</v>
      </c>
      <c r="J43" s="13" t="n">
        <v>196</v>
      </c>
      <c r="K43" s="13" t="n">
        <v>170</v>
      </c>
      <c r="L43" s="13" t="n">
        <v>72</v>
      </c>
      <c r="M43" s="13" t="n">
        <v>238</v>
      </c>
      <c r="P43" s="18" t="s">
        <v>50</v>
      </c>
      <c r="Q43" s="18"/>
      <c r="R43" s="18"/>
      <c r="S43" s="14" t="n">
        <f aca="false">Tabella52791124791618202224262830323436384042[[#This Row],[Colonna1]]*$Q3</f>
        <v>276.4</v>
      </c>
      <c r="T43" s="14" t="n">
        <f aca="false">Tabella52791124791618202224262830323436384042[[#This Row],[Colonna2]]*$Q3</f>
        <v>145.2</v>
      </c>
      <c r="U43" s="14" t="n">
        <f aca="false">Tabella52791124791618202224262830323436384042[[#This Row],[Colonna3]]*$Q3</f>
        <v>106</v>
      </c>
      <c r="V43" s="14" t="n">
        <f aca="false">Tabella52791124791618202224262830323436384042[[#This Row],[Colonna4]]*$Q3</f>
        <v>78.4</v>
      </c>
      <c r="W43" s="14" t="n">
        <f aca="false">Tabella52791124791618202224262830323436384042[[#This Row],[Colonna5]]*$Q3</f>
        <v>68</v>
      </c>
      <c r="X43" s="14" t="n">
        <f aca="false">Tabella52791124791618202224262830323436384042[[#This Row],[Colonna6]]*$Q3</f>
        <v>28.8</v>
      </c>
      <c r="Y43" s="14" t="n">
        <f aca="false">Tabella52791124791618202224262830323436384042[[#This Row],[Colonna7]]*$Q3</f>
        <v>95.2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3</v>
      </c>
      <c r="H44" s="13" t="n">
        <v>13</v>
      </c>
      <c r="I44" s="13" t="n">
        <v>2</v>
      </c>
      <c r="J44" s="13" t="n">
        <v>3</v>
      </c>
      <c r="K44" s="13" t="n">
        <v>5</v>
      </c>
      <c r="L44" s="13"/>
      <c r="M44" s="13" t="n">
        <v>12</v>
      </c>
      <c r="P44" s="12" t="s">
        <v>51</v>
      </c>
      <c r="Q44" s="12"/>
      <c r="R44" s="12"/>
      <c r="S44" s="14" t="n">
        <f aca="false">Tabella52791124791618202224262830323436384042[[#This Row],[Colonna1]]*$Q3</f>
        <v>1.2</v>
      </c>
      <c r="T44" s="14" t="n">
        <f aca="false">Tabella52791124791618202224262830323436384042[[#This Row],[Colonna2]]*$Q3</f>
        <v>5.2</v>
      </c>
      <c r="U44" s="14" t="n">
        <f aca="false">Tabella52791124791618202224262830323436384042[[#This Row],[Colonna3]]*$Q3</f>
        <v>0.8</v>
      </c>
      <c r="V44" s="14" t="n">
        <f aca="false">Tabella52791124791618202224262830323436384042[[#This Row],[Colonna4]]*$Q3</f>
        <v>1.2</v>
      </c>
      <c r="W44" s="14" t="n">
        <f aca="false">Tabella52791124791618202224262830323436384042[[#This Row],[Colonna5]]*$Q3</f>
        <v>2</v>
      </c>
      <c r="X44" s="14"/>
      <c r="Y44" s="14" t="n">
        <f aca="false">Tabella52791124791618202224262830323436384042[[#This Row],[Colonna7]]*$Q3</f>
        <v>4.8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4</v>
      </c>
      <c r="H47" s="13" t="n">
        <v>1</v>
      </c>
      <c r="I47" s="13"/>
      <c r="J47" s="13"/>
      <c r="K47" s="13"/>
      <c r="L47" s="13"/>
      <c r="M47" s="13"/>
      <c r="P47" s="16" t="s">
        <v>54</v>
      </c>
      <c r="Q47" s="16"/>
      <c r="R47" s="16"/>
      <c r="S47" s="14" t="n">
        <f aca="false">Tabella52791124791618202224262830323436384042[[#This Row],[Colonna1]]*$Q3</f>
        <v>1.6</v>
      </c>
      <c r="T47" s="14" t="n">
        <f aca="false">Tabella52791124791618202224262830323436384042[[#This Row],[Colonna2]]*$Q3</f>
        <v>0.4</v>
      </c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 t="n">
        <v>18</v>
      </c>
      <c r="H48" s="13" t="n">
        <v>11</v>
      </c>
      <c r="I48" s="13" t="n">
        <v>11</v>
      </c>
      <c r="J48" s="13" t="n">
        <v>23</v>
      </c>
      <c r="K48" s="13" t="n">
        <v>49</v>
      </c>
      <c r="L48" s="13" t="n">
        <v>4</v>
      </c>
      <c r="M48" s="13" t="n">
        <v>17</v>
      </c>
      <c r="P48" s="12" t="s">
        <v>55</v>
      </c>
      <c r="Q48" s="12"/>
      <c r="R48" s="12"/>
      <c r="S48" s="14" t="n">
        <f aca="false">Tabella52791124791618202224262830323436384042[[#This Row],[Colonna1]]*$Q3</f>
        <v>7.2</v>
      </c>
      <c r="T48" s="14" t="n">
        <f aca="false">Tabella52791124791618202224262830323436384042[[#This Row],[Colonna2]]*$Q3</f>
        <v>4.4</v>
      </c>
      <c r="U48" s="14" t="n">
        <f aca="false">Tabella52791124791618202224262830323436384042[[#This Row],[Colonna3]]*$Q3</f>
        <v>4.4</v>
      </c>
      <c r="V48" s="14" t="n">
        <f aca="false">Tabella52791124791618202224262830323436384042[[#This Row],[Colonna4]]*$Q3</f>
        <v>9.2</v>
      </c>
      <c r="W48" s="14" t="n">
        <f aca="false">Tabella52791124791618202224262830323436384042[[#This Row],[Colonna5]]*$Q3</f>
        <v>19.6</v>
      </c>
      <c r="X48" s="14" t="n">
        <f aca="false">Tabella52791124791618202224262830323436384042[[#This Row],[Colonna6]]*$Q3</f>
        <v>1.6</v>
      </c>
      <c r="Y48" s="14" t="n">
        <f aca="false">Tabella52791124791618202224262830323436384042[[#This Row],[Colonna7]]*$Q3</f>
        <v>6.8</v>
      </c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 t="n">
        <v>1</v>
      </c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 t="n">
        <f aca="false">Tabella52791124791618202224262830323436384042[[#This Row],[Colonna1]]*$Q3</f>
        <v>0.4</v>
      </c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70</v>
      </c>
      <c r="H52" s="13" t="n">
        <v>77</v>
      </c>
      <c r="I52" s="13" t="n">
        <v>84</v>
      </c>
      <c r="J52" s="13" t="n">
        <v>125</v>
      </c>
      <c r="K52" s="13" t="n">
        <v>129</v>
      </c>
      <c r="L52" s="13" t="n">
        <v>150</v>
      </c>
      <c r="M52" s="13" t="n">
        <v>1257</v>
      </c>
      <c r="P52" s="12" t="s">
        <v>59</v>
      </c>
      <c r="Q52" s="12"/>
      <c r="R52" s="12"/>
      <c r="S52" s="14" t="n">
        <f aca="false">Tabella52791124791618202224262830323436384042[[#This Row],[Colonna1]]*$Q3</f>
        <v>28</v>
      </c>
      <c r="T52" s="14" t="n">
        <f aca="false">Tabella52791124791618202224262830323436384042[[#This Row],[Colonna2]]*$Q3</f>
        <v>30.8</v>
      </c>
      <c r="U52" s="14" t="n">
        <f aca="false">Tabella52791124791618202224262830323436384042[[#This Row],[Colonna3]]*$Q3</f>
        <v>33.6</v>
      </c>
      <c r="V52" s="14" t="n">
        <f aca="false">Tabella52791124791618202224262830323436384042[[#This Row],[Colonna4]]*$Q3</f>
        <v>50</v>
      </c>
      <c r="W52" s="14" t="n">
        <f aca="false">Tabella52791124791618202224262830323436384042[[#This Row],[Colonna5]]*$Q3</f>
        <v>51.6</v>
      </c>
      <c r="X52" s="14" t="n">
        <f aca="false">Tabella52791124791618202224262830323436384042[[#This Row],[Colonna6]]*$Q3</f>
        <v>60</v>
      </c>
      <c r="Y52" s="14" t="n">
        <f aca="false">Tabella52791124791618202224262830323436384042[[#This Row],[Colonna7]]*$Q3</f>
        <v>502.8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SUM(G6,G7,G9,G10,G19,G20,G21,G22,G23,G27,G28,G29,G31,G38,G41,G42,G47,G48,G50,G52)</f>
        <v>396</v>
      </c>
      <c r="H53" s="55" t="n">
        <f aca="false">SUM(H52,H48,H47,H44,H43,H41,H38,H31,H29,H28,H22,H20,H19,H10,H7,H6)</f>
        <v>661</v>
      </c>
      <c r="I53" s="55" t="n">
        <f aca="false">SUM(I52,I48,I44,I43,I41,I38,I31,I29,I28,I20,I19,I10,I9,I7,I6)</f>
        <v>484</v>
      </c>
      <c r="J53" s="55" t="n">
        <f aca="false">SUM(J52,J48,J44,J43,J38,J31,J29,J28,J20,J15,J10)</f>
        <v>506</v>
      </c>
      <c r="K53" s="55" t="n">
        <f aca="false">SUM(K52,K48,K44,K43,K42,K41,K38,K31,K29,K28,K23,K21,K20,K19,K10)</f>
        <v>620</v>
      </c>
      <c r="L53" s="55" t="n">
        <f aca="false">SUM(L52,L48,L43,L29,L28,L27,L20,L10,L7,L6)</f>
        <v>241</v>
      </c>
      <c r="M53" s="55" t="n">
        <f aca="false">SUM(M52,M48,M44,M43,M41,M38,M31,M29,M28,M22,M20,M19,M10,M7,M6)</f>
        <v>1658</v>
      </c>
      <c r="P53" s="17" t="s">
        <v>60</v>
      </c>
      <c r="Q53" s="17"/>
      <c r="R53" s="17"/>
      <c r="S53" s="56" t="n">
        <f aca="false">Tabella52791124791618202224262830323436384042[[#This Row],[Colonna1]]*$Q3</f>
        <v>158.4</v>
      </c>
      <c r="T53" s="56" t="n">
        <f aca="false">Tabella52791124791618202224262830323436384042[[#This Row],[Colonna2]]*$Q3</f>
        <v>264.4</v>
      </c>
      <c r="U53" s="56" t="n">
        <f aca="false">Tabella52791124791618202224262830323436384042[[#This Row],[Colonna3]]*$Q3</f>
        <v>193.6</v>
      </c>
      <c r="V53" s="56" t="n">
        <f aca="false">Tabella52791124791618202224262830323436384042[[#This Row],[Colonna4]]*$Q3</f>
        <v>202.4</v>
      </c>
      <c r="W53" s="56" t="n">
        <f aca="false">Tabella52791124791618202224262830323436384042[[#This Row],[Colonna5]]*$Q3</f>
        <v>248</v>
      </c>
      <c r="X53" s="56" t="n">
        <f aca="false">Tabella52791124791618202224262830323436384042[[#This Row],[Colonna6]]*$Q3</f>
        <v>96.4</v>
      </c>
      <c r="Y53" s="56" t="n">
        <f aca="false">Tabella52791124791618202224262830323436384042[[#This Row],[Colonna7]]*$Q3</f>
        <v>663.2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18</v>
      </c>
      <c r="H58" s="26" t="n">
        <v>15</v>
      </c>
      <c r="I58" s="26" t="n">
        <v>12</v>
      </c>
      <c r="J58" s="26" t="n">
        <v>25</v>
      </c>
      <c r="K58" s="26" t="n">
        <v>10</v>
      </c>
      <c r="L58" s="26" t="n">
        <v>3</v>
      </c>
      <c r="M58" s="26" t="n">
        <v>10</v>
      </c>
      <c r="P58" s="23" t="s">
        <v>62</v>
      </c>
      <c r="Q58" s="23"/>
      <c r="R58" s="23"/>
      <c r="S58" s="57" t="n">
        <f aca="false">G58*$Q3</f>
        <v>7.2</v>
      </c>
      <c r="T58" s="57" t="n">
        <f aca="false">H58*$Q3</f>
        <v>6</v>
      </c>
      <c r="U58" s="57" t="n">
        <f aca="false">I58*$Q3</f>
        <v>4.8</v>
      </c>
      <c r="V58" s="57" t="n">
        <f aca="false">J58*$Q3</f>
        <v>10</v>
      </c>
      <c r="W58" s="57" t="n">
        <f aca="false">K58*$Q3</f>
        <v>4</v>
      </c>
      <c r="X58" s="57" t="n">
        <f aca="false">L58*$Q3</f>
        <v>1.2</v>
      </c>
      <c r="Y58" s="57" t="n">
        <f aca="false">M58*$Q3</f>
        <v>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 t="n">
        <v>1</v>
      </c>
      <c r="I62" s="26" t="n">
        <v>1</v>
      </c>
      <c r="J62" s="26" t="n">
        <v>1</v>
      </c>
      <c r="K62" s="26"/>
      <c r="L62" s="26"/>
      <c r="M62" s="26" t="n">
        <v>2</v>
      </c>
      <c r="P62" s="9" t="s">
        <v>66</v>
      </c>
      <c r="Q62" s="9"/>
      <c r="R62" s="9"/>
      <c r="S62" s="57"/>
      <c r="T62" s="57" t="n">
        <f aca="false">H62*$Q3</f>
        <v>0.4</v>
      </c>
      <c r="U62" s="57" t="n">
        <f aca="false">I62*$Q3</f>
        <v>0.4</v>
      </c>
      <c r="V62" s="57" t="n">
        <f aca="false">J62*$Q3</f>
        <v>0.4</v>
      </c>
      <c r="W62" s="57"/>
      <c r="X62" s="57"/>
      <c r="Y62" s="57" t="n">
        <f aca="false">M62*$Q3</f>
        <v>0.8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1</v>
      </c>
      <c r="H63" s="26" t="n">
        <v>1</v>
      </c>
      <c r="I63" s="26"/>
      <c r="J63" s="26"/>
      <c r="K63" s="26"/>
      <c r="L63" s="26"/>
      <c r="M63" s="26"/>
      <c r="P63" s="9" t="s">
        <v>67</v>
      </c>
      <c r="Q63" s="9"/>
      <c r="R63" s="9"/>
      <c r="S63" s="57" t="n">
        <f aca="false">G63*$Q3</f>
        <v>0.4</v>
      </c>
      <c r="T63" s="57" t="n">
        <f aca="false">H63*$Q3</f>
        <v>0.4</v>
      </c>
      <c r="U63" s="27"/>
      <c r="V63" s="27"/>
      <c r="W63" s="27"/>
      <c r="X63" s="2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27"/>
      <c r="U64" s="27"/>
      <c r="V64" s="27"/>
      <c r="W64" s="27"/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4</v>
      </c>
      <c r="H65" s="26" t="n">
        <v>1</v>
      </c>
      <c r="I65" s="26" t="n">
        <v>1</v>
      </c>
      <c r="J65" s="26" t="n">
        <v>1</v>
      </c>
      <c r="K65" s="26" t="n">
        <v>8</v>
      </c>
      <c r="L65" s="26" t="n">
        <v>10</v>
      </c>
      <c r="M65" s="26" t="n">
        <v>7</v>
      </c>
      <c r="P65" s="9" t="s">
        <v>69</v>
      </c>
      <c r="Q65" s="9"/>
      <c r="R65" s="9"/>
      <c r="S65" s="57" t="n">
        <f aca="false">G65*$Q3</f>
        <v>1.6</v>
      </c>
      <c r="T65" s="57" t="n">
        <f aca="false">H65*$Q3</f>
        <v>0.4</v>
      </c>
      <c r="U65" s="57" t="n">
        <f aca="false">I65*$Q3</f>
        <v>0.4</v>
      </c>
      <c r="V65" s="57" t="n">
        <f aca="false">J65*$Q3</f>
        <v>0.4</v>
      </c>
      <c r="W65" s="57" t="n">
        <f aca="false">K65*$Q3</f>
        <v>3.2</v>
      </c>
      <c r="X65" s="57" t="n">
        <f aca="false">L65*$Q3</f>
        <v>4</v>
      </c>
      <c r="Y65" s="57" t="n">
        <f aca="false">M65*$Q3</f>
        <v>2.8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8</v>
      </c>
      <c r="H67" s="26" t="n">
        <v>4</v>
      </c>
      <c r="I67" s="26" t="n">
        <v>4</v>
      </c>
      <c r="J67" s="26" t="n">
        <v>1</v>
      </c>
      <c r="K67" s="26" t="n">
        <v>2</v>
      </c>
      <c r="L67" s="26"/>
      <c r="M67" s="26" t="n">
        <v>3</v>
      </c>
      <c r="P67" s="9" t="s">
        <v>71</v>
      </c>
      <c r="Q67" s="9"/>
      <c r="R67" s="9"/>
      <c r="S67" s="57" t="n">
        <f aca="false">G67*$Q3</f>
        <v>3.2</v>
      </c>
      <c r="T67" s="57" t="n">
        <f aca="false">H67*$Q3</f>
        <v>1.6</v>
      </c>
      <c r="U67" s="57" t="n">
        <f aca="false">I67*$Q3</f>
        <v>1.6</v>
      </c>
      <c r="V67" s="57" t="n">
        <f aca="false">J67*$Q3</f>
        <v>0.4</v>
      </c>
      <c r="W67" s="57" t="n">
        <f aca="false">K67*$Q3</f>
        <v>0.8</v>
      </c>
      <c r="X67" s="57"/>
      <c r="Y67" s="57" t="n">
        <f aca="false">M67*$Q3</f>
        <v>1.2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8</v>
      </c>
      <c r="H68" s="30" t="n">
        <v>3</v>
      </c>
      <c r="I68" s="30" t="n">
        <v>1</v>
      </c>
      <c r="J68" s="30"/>
      <c r="K68" s="30" t="n">
        <v>1</v>
      </c>
      <c r="L68" s="30" t="n">
        <v>1</v>
      </c>
      <c r="M68" s="30" t="n">
        <v>1</v>
      </c>
      <c r="P68" s="9" t="s">
        <v>72</v>
      </c>
      <c r="Q68" s="9"/>
      <c r="R68" s="9"/>
      <c r="S68" s="59" t="n">
        <f aca="false">G68*$Q3</f>
        <v>3.2</v>
      </c>
      <c r="T68" s="59" t="n">
        <f aca="false">H68*$Q3</f>
        <v>1.2</v>
      </c>
      <c r="U68" s="59" t="n">
        <f aca="false">I68*$Q3</f>
        <v>0.4</v>
      </c>
      <c r="V68" s="59"/>
      <c r="W68" s="59" t="n">
        <f aca="false">K68*$Q3</f>
        <v>0.4</v>
      </c>
      <c r="X68" s="59" t="n">
        <f aca="false">L68*$Q3</f>
        <v>0.4</v>
      </c>
      <c r="Y68" s="59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9</v>
      </c>
      <c r="H69" s="30" t="n">
        <v>1</v>
      </c>
      <c r="I69" s="30"/>
      <c r="J69" s="30" t="n">
        <v>1</v>
      </c>
      <c r="K69" s="30" t="n">
        <v>1</v>
      </c>
      <c r="L69" s="30"/>
      <c r="M69" s="30" t="n">
        <v>2</v>
      </c>
      <c r="P69" s="9" t="s">
        <v>73</v>
      </c>
      <c r="Q69" s="9"/>
      <c r="R69" s="9"/>
      <c r="S69" s="59" t="n">
        <f aca="false">G69*$Q3</f>
        <v>3.6</v>
      </c>
      <c r="T69" s="59" t="n">
        <f aca="false">H69*$Q3</f>
        <v>0.4</v>
      </c>
      <c r="U69" s="59"/>
      <c r="V69" s="59" t="n">
        <f aca="false">J69*$Q3</f>
        <v>0.4</v>
      </c>
      <c r="W69" s="59" t="n">
        <f aca="false">K69*$Q3</f>
        <v>0.4</v>
      </c>
      <c r="X69" s="59"/>
      <c r="Y69" s="59" t="n">
        <f aca="false">M69*$Q3</f>
        <v>0.8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SUM(G58,G63,G65,G67,G68,G69)</f>
        <v>48</v>
      </c>
      <c r="H70" s="60" t="n">
        <f aca="false">SUM(H58,H62,H63,H65,H67,H68,H69)</f>
        <v>26</v>
      </c>
      <c r="I70" s="60" t="n">
        <f aca="false">SUM(I58,I62,I65,I67,I68)</f>
        <v>19</v>
      </c>
      <c r="J70" s="60" t="n">
        <f aca="false">SUM(J58,J62,J65,J67,J69)</f>
        <v>29</v>
      </c>
      <c r="K70" s="12" t="n">
        <f aca="false">SUM(K69,K68,K67,K65,K58)</f>
        <v>22</v>
      </c>
      <c r="L70" s="12" t="n">
        <f aca="false">SUM(L68,L65,L58)</f>
        <v>14</v>
      </c>
      <c r="M70" s="12" t="n">
        <f aca="false">SUM(M69,M68,M67,M65,M62,M58)</f>
        <v>25</v>
      </c>
      <c r="P70" s="9" t="s">
        <v>60</v>
      </c>
      <c r="Q70" s="9"/>
      <c r="R70" s="9"/>
      <c r="S70" s="61" t="n">
        <f aca="false">G70*$Q3</f>
        <v>19.2</v>
      </c>
      <c r="T70" s="61" t="n">
        <f aca="false">H70*$Q3</f>
        <v>10.4</v>
      </c>
      <c r="U70" s="61" t="n">
        <f aca="false">I70*$Q3</f>
        <v>7.6</v>
      </c>
      <c r="V70" s="61" t="n">
        <f aca="false">J70*$Q3</f>
        <v>11.6</v>
      </c>
      <c r="W70" s="61" t="n">
        <f aca="false">K70*$Q3</f>
        <v>8.8</v>
      </c>
      <c r="X70" s="61" t="n">
        <f aca="false">L70*$Q3</f>
        <v>5.6</v>
      </c>
      <c r="Y70" s="61" t="n">
        <f aca="false">M70*$Q3</f>
        <v>10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O43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45026</v>
      </c>
      <c r="K3" s="5" t="n">
        <v>45032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45026</v>
      </c>
      <c r="W3" s="5" t="n">
        <v>45032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54"/>
      <c r="H6" s="54" t="n">
        <v>1</v>
      </c>
      <c r="I6" s="54"/>
      <c r="J6" s="54" t="n">
        <v>3</v>
      </c>
      <c r="K6" s="54" t="n">
        <v>2</v>
      </c>
      <c r="L6" s="54" t="n">
        <v>2</v>
      </c>
      <c r="M6" s="54"/>
      <c r="P6" s="9" t="s">
        <v>13</v>
      </c>
      <c r="Q6" s="9"/>
      <c r="R6" s="9"/>
      <c r="S6" s="14"/>
      <c r="T6" s="14" t="n">
        <f aca="false">Tabella5279112479161820222426283032343638404244[[#This Row],[Colonna2]]*$Q3</f>
        <v>0.4</v>
      </c>
      <c r="U6" s="14"/>
      <c r="V6" s="14" t="n">
        <f aca="false">Tabella5279112479161820222426283032343638404244[[#This Row],[Colonna4]]*$Q3</f>
        <v>1.2</v>
      </c>
      <c r="W6" s="14" t="n">
        <f aca="false">Tabella5279112479161820222426283032343638404244[[#This Row],[Colonna5]]*$Q3</f>
        <v>0.8</v>
      </c>
      <c r="X6" s="14" t="n">
        <f aca="false">Tabella5279112479161820222426283032343638404244[[#This Row],[Colonna6]]*$Q3</f>
        <v>0.8</v>
      </c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 t="n">
        <v>1</v>
      </c>
      <c r="K7" s="13" t="n">
        <v>2</v>
      </c>
      <c r="L7" s="13" t="n">
        <v>2</v>
      </c>
      <c r="M7" s="13" t="n">
        <v>2</v>
      </c>
      <c r="P7" s="12" t="s">
        <v>14</v>
      </c>
      <c r="Q7" s="12"/>
      <c r="R7" s="12"/>
      <c r="S7" s="14"/>
      <c r="T7" s="14"/>
      <c r="U7" s="14"/>
      <c r="V7" s="14" t="n">
        <f aca="false">Tabella5279112479161820222426283032343638404244[[#This Row],[Colonna4]]*$Q3</f>
        <v>0.4</v>
      </c>
      <c r="W7" s="14" t="n">
        <f aca="false">Tabella5279112479161820222426283032343638404244[[#This Row],[Colonna5]]*$Q3</f>
        <v>0.8</v>
      </c>
      <c r="X7" s="14" t="n">
        <f aca="false">Tabella5279112479161820222426283032343638404244[[#This Row],[Colonna6]]*$Q3</f>
        <v>0.8</v>
      </c>
      <c r="Y7" s="14" t="n">
        <f aca="false">Tabella5279112479161820222426283032343638404244[[#This Row],[Colonna7]]*$Q3</f>
        <v>0.8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2</v>
      </c>
      <c r="H9" s="13" t="n">
        <v>2</v>
      </c>
      <c r="I9" s="13" t="n">
        <v>1</v>
      </c>
      <c r="J9" s="13" t="n">
        <v>1</v>
      </c>
      <c r="K9" s="13" t="n">
        <v>2</v>
      </c>
      <c r="L9" s="13"/>
      <c r="M9" s="13"/>
      <c r="P9" s="12" t="s">
        <v>16</v>
      </c>
      <c r="Q9" s="12"/>
      <c r="R9" s="12"/>
      <c r="S9" s="14" t="n">
        <f aca="false">Tabella5279112479161820222426283032343638404244[[#This Row],[Colonna1]]*$Q3</f>
        <v>0.8</v>
      </c>
      <c r="T9" s="14" t="n">
        <f aca="false">Tabella5279112479161820222426283032343638404244[[#This Row],[Colonna2]]*$Q3</f>
        <v>0.8</v>
      </c>
      <c r="U9" s="14" t="n">
        <f aca="false">Tabella5279112479161820222426283032343638404244[[#This Row],[Colonna3]]*$Q3</f>
        <v>0.4</v>
      </c>
      <c r="V9" s="14" t="n">
        <f aca="false">Tabella5279112479161820222426283032343638404244[[#This Row],[Colonna4]]*$Q3</f>
        <v>0.4</v>
      </c>
      <c r="W9" s="14" t="n">
        <f aca="false">Tabella5279112479161820222426283032343638404244[[#This Row],[Colonna5]]*$Q3</f>
        <v>0.8</v>
      </c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8</v>
      </c>
      <c r="H10" s="13" t="n">
        <v>67</v>
      </c>
      <c r="I10" s="13" t="n">
        <v>234</v>
      </c>
      <c r="J10" s="13" t="n">
        <v>82</v>
      </c>
      <c r="K10" s="13" t="n">
        <v>116</v>
      </c>
      <c r="L10" s="13" t="n">
        <v>60</v>
      </c>
      <c r="M10" s="13" t="n">
        <v>55</v>
      </c>
      <c r="P10" s="12" t="s">
        <v>17</v>
      </c>
      <c r="Q10" s="12"/>
      <c r="R10" s="12"/>
      <c r="S10" s="14" t="n">
        <f aca="false">Tabella5279112479161820222426283032343638404244[[#This Row],[Colonna1]]*$Q3</f>
        <v>3.2</v>
      </c>
      <c r="T10" s="14" t="n">
        <f aca="false">Tabella5279112479161820222426283032343638404244[[#This Row],[Colonna2]]*$Q3</f>
        <v>26.8</v>
      </c>
      <c r="U10" s="14" t="n">
        <f aca="false">Tabella5279112479161820222426283032343638404244[[#This Row],[Colonna3]]*$Q3</f>
        <v>93.6</v>
      </c>
      <c r="V10" s="14" t="n">
        <f aca="false">Tabella5279112479161820222426283032343638404244[[#This Row],[Colonna4]]*$Q3</f>
        <v>32.8</v>
      </c>
      <c r="W10" s="14" t="n">
        <f aca="false">Tabella5279112479161820222426283032343638404244[[#This Row],[Colonna5]]*$Q3</f>
        <v>46.4</v>
      </c>
      <c r="X10" s="14" t="n">
        <f aca="false">Tabella5279112479161820222426283032343638404244[[#This Row],[Colonna6]]*$Q3</f>
        <v>24</v>
      </c>
      <c r="Y10" s="14" t="n">
        <f aca="false">Tabella5279112479161820222426283032343638404244[[#This Row],[Colonna7]]*$Q3</f>
        <v>22</v>
      </c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 t="n">
        <v>2</v>
      </c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 t="n">
        <f aca="false">Tabella5279112479161820222426283032343638404244[[#This Row],[Colonna5]]*$Q3</f>
        <v>0.8</v>
      </c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 t="n">
        <v>1</v>
      </c>
      <c r="H19" s="13"/>
      <c r="I19" s="13"/>
      <c r="J19" s="13" t="n">
        <v>2</v>
      </c>
      <c r="K19" s="13" t="n">
        <v>3</v>
      </c>
      <c r="L19" s="13" t="n">
        <v>2</v>
      </c>
      <c r="M19" s="13" t="n">
        <v>4</v>
      </c>
      <c r="P19" s="9" t="s">
        <v>26</v>
      </c>
      <c r="Q19" s="9"/>
      <c r="R19" s="9"/>
      <c r="S19" s="14" t="n">
        <f aca="false">Tabella5279112479161820222426283032343638404244[[#This Row],[Colonna1]]*$Q3</f>
        <v>0.4</v>
      </c>
      <c r="T19" s="14"/>
      <c r="U19" s="14"/>
      <c r="V19" s="14" t="n">
        <f aca="false">Tabella5279112479161820222426283032343638404244[[#This Row],[Colonna4]]*$Q3</f>
        <v>0.8</v>
      </c>
      <c r="W19" s="14" t="n">
        <f aca="false">Tabella5279112479161820222426283032343638404244[[#This Row],[Colonna5]]*$Q3</f>
        <v>1.2</v>
      </c>
      <c r="X19" s="14" t="n">
        <f aca="false">Tabella5279112479161820222426283032343638404244[[#This Row],[Colonna6]]*$Q3</f>
        <v>0.8</v>
      </c>
      <c r="Y19" s="14" t="n">
        <f aca="false">Tabella5279112479161820222426283032343638404244[[#This Row],[Colonna7]]*$Q3</f>
        <v>1.6</v>
      </c>
    </row>
    <row r="20" customFormat="false" ht="15" hidden="false" customHeight="false" outlineLevel="0" collapsed="false">
      <c r="D20" s="9" t="s">
        <v>27</v>
      </c>
      <c r="E20" s="9"/>
      <c r="F20" s="9"/>
      <c r="G20" s="13" t="n">
        <v>3</v>
      </c>
      <c r="H20" s="13" t="n">
        <v>28</v>
      </c>
      <c r="I20" s="13" t="n">
        <v>37</v>
      </c>
      <c r="J20" s="13" t="n">
        <v>14</v>
      </c>
      <c r="K20" s="13" t="n">
        <v>8</v>
      </c>
      <c r="L20" s="13" t="n">
        <v>35</v>
      </c>
      <c r="M20" s="13" t="n">
        <v>26</v>
      </c>
      <c r="P20" s="9" t="s">
        <v>27</v>
      </c>
      <c r="Q20" s="9"/>
      <c r="R20" s="9"/>
      <c r="S20" s="14" t="n">
        <f aca="false">Tabella5279112479161820222426283032343638404244[[#This Row],[Colonna1]]*$Q3</f>
        <v>1.2</v>
      </c>
      <c r="T20" s="14" t="n">
        <f aca="false">Tabella5279112479161820222426283032343638404244[[#This Row],[Colonna2]]*$Q3</f>
        <v>11.2</v>
      </c>
      <c r="U20" s="14" t="n">
        <f aca="false">Tabella5279112479161820222426283032343638404244[[#This Row],[Colonna3]]*$Q3</f>
        <v>14.8</v>
      </c>
      <c r="V20" s="14" t="n">
        <f aca="false">Tabella5279112479161820222426283032343638404244[[#This Row],[Colonna4]]*$Q3</f>
        <v>5.6</v>
      </c>
      <c r="W20" s="14" t="n">
        <f aca="false">Tabella5279112479161820222426283032343638404244[[#This Row],[Colonna5]]*$Q3</f>
        <v>3.2</v>
      </c>
      <c r="X20" s="14" t="n">
        <f aca="false">Tabella5279112479161820222426283032343638404244[[#This Row],[Colonna6]]*$Q3</f>
        <v>14</v>
      </c>
      <c r="Y20" s="14" t="n">
        <f aca="false">Tabella5279112479161820222426283032343638404244[[#This Row],[Colonna7]]*$Q3</f>
        <v>10.4</v>
      </c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1</v>
      </c>
      <c r="H21" s="13"/>
      <c r="I21" s="13"/>
      <c r="J21" s="13"/>
      <c r="K21" s="13"/>
      <c r="L21" s="13"/>
      <c r="M21" s="13" t="n">
        <v>1</v>
      </c>
      <c r="P21" s="16" t="s">
        <v>28</v>
      </c>
      <c r="Q21" s="16"/>
      <c r="R21" s="16"/>
      <c r="S21" s="14" t="n">
        <f aca="false">Tabella5279112479161820222426283032343638404244[[#This Row],[Colonna1]]*$Q3</f>
        <v>0.4</v>
      </c>
      <c r="T21" s="14"/>
      <c r="U21" s="14"/>
      <c r="V21" s="14"/>
      <c r="W21" s="14"/>
      <c r="X21" s="14"/>
      <c r="Y21" s="14" t="n">
        <f aca="false">Tabella5279112479161820222426283032343638404244[[#This Row],[Colonna7]]*$Q3</f>
        <v>0.4</v>
      </c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 t="n">
        <v>5</v>
      </c>
      <c r="I22" s="13" t="n">
        <v>16</v>
      </c>
      <c r="J22" s="13" t="n">
        <v>36</v>
      </c>
      <c r="K22" s="13" t="n">
        <v>4</v>
      </c>
      <c r="L22" s="13" t="n">
        <v>5</v>
      </c>
      <c r="M22" s="13" t="n">
        <v>1</v>
      </c>
      <c r="P22" s="12" t="s">
        <v>29</v>
      </c>
      <c r="Q22" s="12"/>
      <c r="R22" s="12"/>
      <c r="S22" s="14"/>
      <c r="T22" s="14" t="n">
        <f aca="false">Tabella5279112479161820222426283032343638404244[[#This Row],[Colonna2]]*$Q3</f>
        <v>2</v>
      </c>
      <c r="U22" s="14" t="n">
        <f aca="false">Tabella5279112479161820222426283032343638404244[[#This Row],[Colonna3]]*$Q3</f>
        <v>6.4</v>
      </c>
      <c r="V22" s="14" t="n">
        <f aca="false">Tabella5279112479161820222426283032343638404244[[#This Row],[Colonna4]]*$Q3</f>
        <v>14.4</v>
      </c>
      <c r="W22" s="14" t="n">
        <f aca="false">Tabella5279112479161820222426283032343638404244[[#This Row],[Colonna5]]*$Q3</f>
        <v>1.6</v>
      </c>
      <c r="X22" s="14" t="n">
        <f aca="false">Tabella5279112479161820222426283032343638404244[[#This Row],[Colonna6]]*$Q3</f>
        <v>2</v>
      </c>
      <c r="Y22" s="14" t="n">
        <f aca="false">Tabella5279112479161820222426283032343638404244[[#This Row],[Colonna7]]*$Q3</f>
        <v>0.4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 t="n">
        <v>1</v>
      </c>
      <c r="I23" s="13" t="n">
        <v>3</v>
      </c>
      <c r="J23" s="13"/>
      <c r="K23" s="13" t="n">
        <v>4</v>
      </c>
      <c r="L23" s="13" t="n">
        <v>2</v>
      </c>
      <c r="M23" s="13" t="n">
        <v>1</v>
      </c>
      <c r="P23" s="17" t="s">
        <v>30</v>
      </c>
      <c r="Q23" s="17"/>
      <c r="R23" s="17"/>
      <c r="S23" s="14"/>
      <c r="T23" s="14" t="n">
        <f aca="false">Tabella5279112479161820222426283032343638404244[[#This Row],[Colonna2]]*$Q3</f>
        <v>0.4</v>
      </c>
      <c r="U23" s="14" t="n">
        <f aca="false">Tabella5279112479161820222426283032343638404244[[#This Row],[Colonna3]]*$Q3</f>
        <v>1.2</v>
      </c>
      <c r="V23" s="14"/>
      <c r="W23" s="14" t="n">
        <f aca="false">Tabella5279112479161820222426283032343638404244[[#This Row],[Colonna5]]*$Q3</f>
        <v>1.6</v>
      </c>
      <c r="X23" s="14" t="n">
        <f aca="false">Tabella5279112479161820222426283032343638404244[[#This Row],[Colonna6]]*$Q3</f>
        <v>0.8</v>
      </c>
      <c r="Y23" s="14" t="n">
        <f aca="false">Tabella5279112479161820222426283032343638404244[[#This Row],[Colonna7]]*$Q3</f>
        <v>0.4</v>
      </c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 t="n">
        <v>1</v>
      </c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 t="n">
        <f aca="false">Tabella5279112479161820222426283032343638404244[[#This Row],[Colonna3]]*$Q3</f>
        <v>0.4</v>
      </c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5</v>
      </c>
      <c r="H28" s="13" t="n">
        <v>70</v>
      </c>
      <c r="I28" s="13" t="n">
        <v>60</v>
      </c>
      <c r="J28" s="13" t="n">
        <v>52</v>
      </c>
      <c r="K28" s="13" t="n">
        <v>148</v>
      </c>
      <c r="L28" s="13" t="n">
        <v>43</v>
      </c>
      <c r="M28" s="13" t="n">
        <v>49</v>
      </c>
      <c r="P28" s="12" t="s">
        <v>35</v>
      </c>
      <c r="Q28" s="12"/>
      <c r="R28" s="12"/>
      <c r="S28" s="14" t="n">
        <f aca="false">Tabella5279112479161820222426283032343638404244[[#This Row],[Colonna1]]*$Q3</f>
        <v>2</v>
      </c>
      <c r="T28" s="14" t="n">
        <f aca="false">Tabella5279112479161820222426283032343638404244[[#This Row],[Colonna2]]*$Q3</f>
        <v>28</v>
      </c>
      <c r="U28" s="14" t="n">
        <f aca="false">Tabella5279112479161820222426283032343638404244[[#This Row],[Colonna3]]*$Q3</f>
        <v>24</v>
      </c>
      <c r="V28" s="14" t="n">
        <f aca="false">Tabella5279112479161820222426283032343638404244[[#This Row],[Colonna4]]*$Q3</f>
        <v>20.8</v>
      </c>
      <c r="W28" s="14" t="n">
        <f aca="false">Tabella5279112479161820222426283032343638404244[[#This Row],[Colonna5]]*$Q3</f>
        <v>59.2</v>
      </c>
      <c r="X28" s="14" t="n">
        <f aca="false">Tabella5279112479161820222426283032343638404244[[#This Row],[Colonna6]]*$Q3</f>
        <v>17.2</v>
      </c>
      <c r="Y28" s="14" t="n">
        <f aca="false">Tabella5279112479161820222426283032343638404244[[#This Row],[Colonna7]]*$Q3</f>
        <v>19.6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12</v>
      </c>
      <c r="H29" s="13" t="n">
        <v>52</v>
      </c>
      <c r="I29" s="13" t="n">
        <v>81</v>
      </c>
      <c r="J29" s="13" t="n">
        <v>47</v>
      </c>
      <c r="K29" s="13" t="n">
        <v>60</v>
      </c>
      <c r="L29" s="13" t="n">
        <v>170</v>
      </c>
      <c r="M29" s="13" t="n">
        <v>140</v>
      </c>
      <c r="P29" s="12" t="s">
        <v>36</v>
      </c>
      <c r="Q29" s="12"/>
      <c r="R29" s="12"/>
      <c r="S29" s="14" t="n">
        <f aca="false">Tabella5279112479161820222426283032343638404244[[#This Row],[Colonna1]]*$Q3</f>
        <v>4.8</v>
      </c>
      <c r="T29" s="14" t="n">
        <f aca="false">Tabella5279112479161820222426283032343638404244[[#This Row],[Colonna2]]*$Q3</f>
        <v>20.8</v>
      </c>
      <c r="U29" s="14" t="n">
        <f aca="false">Tabella5279112479161820222426283032343638404244[[#This Row],[Colonna3]]*$Q3</f>
        <v>32.4</v>
      </c>
      <c r="V29" s="14" t="n">
        <f aca="false">Tabella5279112479161820222426283032343638404244[[#This Row],[Colonna4]]*$Q3</f>
        <v>18.8</v>
      </c>
      <c r="W29" s="14" t="n">
        <f aca="false">Tabella5279112479161820222426283032343638404244[[#This Row],[Colonna5]]*$Q3</f>
        <v>24</v>
      </c>
      <c r="X29" s="14" t="n">
        <f aca="false">Tabella5279112479161820222426283032343638404244[[#This Row],[Colonna6]]*$Q3</f>
        <v>68</v>
      </c>
      <c r="Y29" s="14" t="n">
        <f aca="false">Tabella5279112479161820222426283032343638404244[[#This Row],[Colonna7]]*$Q3</f>
        <v>56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 t="n">
        <v>9</v>
      </c>
      <c r="I31" s="13" t="n">
        <v>13</v>
      </c>
      <c r="J31" s="13" t="n">
        <v>9</v>
      </c>
      <c r="K31" s="13" t="n">
        <v>28</v>
      </c>
      <c r="L31" s="13" t="n">
        <v>12</v>
      </c>
      <c r="M31" s="13" t="n">
        <v>17</v>
      </c>
      <c r="P31" s="9" t="s">
        <v>38</v>
      </c>
      <c r="Q31" s="9"/>
      <c r="R31" s="9"/>
      <c r="S31" s="14"/>
      <c r="T31" s="14" t="n">
        <f aca="false">Tabella5279112479161820222426283032343638404244[[#This Row],[Colonna2]]*$Q3</f>
        <v>3.6</v>
      </c>
      <c r="U31" s="14" t="n">
        <f aca="false">Tabella5279112479161820222426283032343638404244[[#This Row],[Colonna3]]*$Q3</f>
        <v>5.2</v>
      </c>
      <c r="V31" s="14" t="n">
        <f aca="false">Tabella5279112479161820222426283032343638404244[[#This Row],[Colonna4]]*$Q3</f>
        <v>3.6</v>
      </c>
      <c r="W31" s="14" t="n">
        <f aca="false">Tabella5279112479161820222426283032343638404244[[#This Row],[Colonna5]]*$Q3</f>
        <v>11.2</v>
      </c>
      <c r="X31" s="14" t="n">
        <f aca="false">Tabella5279112479161820222426283032343638404244[[#This Row],[Colonna6]]*$Q3</f>
        <v>4.8</v>
      </c>
      <c r="Y31" s="14" t="n">
        <f aca="false">Tabella5279112479161820222426283032343638404244[[#This Row],[Colonna7]]*$Q3</f>
        <v>6.8</v>
      </c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 t="n">
        <v>3</v>
      </c>
      <c r="I38" s="13" t="n">
        <v>4</v>
      </c>
      <c r="J38" s="13" t="n">
        <v>1</v>
      </c>
      <c r="K38" s="13" t="n">
        <v>4</v>
      </c>
      <c r="L38" s="13" t="n">
        <v>1</v>
      </c>
      <c r="M38" s="13"/>
      <c r="P38" s="16" t="s">
        <v>45</v>
      </c>
      <c r="Q38" s="16"/>
      <c r="R38" s="16"/>
      <c r="S38" s="14"/>
      <c r="T38" s="14" t="n">
        <f aca="false">Tabella5279112479161820222426283032343638404244[[#This Row],[Colonna2]]*$Q3</f>
        <v>1.2</v>
      </c>
      <c r="U38" s="14" t="n">
        <f aca="false">Tabella5279112479161820222426283032343638404244[[#This Row],[Colonna3]]*$Q3</f>
        <v>1.6</v>
      </c>
      <c r="V38" s="14" t="n">
        <f aca="false">Tabella5279112479161820222426283032343638404244[[#This Row],[Colonna4]]*$Q3</f>
        <v>0.4</v>
      </c>
      <c r="W38" s="14" t="n">
        <f aca="false">Tabella5279112479161820222426283032343638404244[[#This Row],[Colonna5]]*$Q3</f>
        <v>1.6</v>
      </c>
      <c r="X38" s="14" t="n">
        <f aca="false">Tabella5279112479161820222426283032343638404244[[#This Row],[Colonna6]]*$Q3</f>
        <v>0.4</v>
      </c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 t="n">
        <v>1</v>
      </c>
      <c r="L40" s="13"/>
      <c r="M40" s="13" t="n">
        <v>1</v>
      </c>
      <c r="P40" s="12" t="s">
        <v>47</v>
      </c>
      <c r="Q40" s="12"/>
      <c r="R40" s="12"/>
      <c r="S40" s="14"/>
      <c r="T40" s="14"/>
      <c r="U40" s="14"/>
      <c r="V40" s="14"/>
      <c r="W40" s="14" t="n">
        <f aca="false">Tabella5279112479161820222426283032343638404244[[#This Row],[Colonna5]]*$Q3</f>
        <v>0.4</v>
      </c>
      <c r="X40" s="14"/>
      <c r="Y40" s="14" t="n">
        <f aca="false">Tabella5279112479161820222426283032343638404244[[#This Row],[Colonna7]]*$Q3</f>
        <v>0.4</v>
      </c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13" t="n">
        <v>5</v>
      </c>
      <c r="I41" s="13" t="n">
        <v>2</v>
      </c>
      <c r="J41" s="13" t="n">
        <v>4</v>
      </c>
      <c r="K41" s="13" t="n">
        <v>9</v>
      </c>
      <c r="L41" s="13" t="n">
        <v>0</v>
      </c>
      <c r="M41" s="13" t="n">
        <v>4</v>
      </c>
      <c r="P41" s="18" t="s">
        <v>48</v>
      </c>
      <c r="Q41" s="18"/>
      <c r="R41" s="18"/>
      <c r="S41" s="14" t="n">
        <f aca="false">Tabella5279112479161820222426283032343638404244[[#This Row],[Colonna1]]*$Q3</f>
        <v>0.4</v>
      </c>
      <c r="T41" s="14" t="n">
        <f aca="false">Tabella5279112479161820222426283032343638404244[[#This Row],[Colonna2]]*$Q3</f>
        <v>2</v>
      </c>
      <c r="U41" s="14" t="n">
        <f aca="false">Tabella5279112479161820222426283032343638404244[[#This Row],[Colonna3]]*$Q3</f>
        <v>0.8</v>
      </c>
      <c r="V41" s="14" t="n">
        <f aca="false">Tabella5279112479161820222426283032343638404244[[#This Row],[Colonna4]]*$Q3</f>
        <v>1.6</v>
      </c>
      <c r="W41" s="14" t="n">
        <f aca="false">Tabella5279112479161820222426283032343638404244[[#This Row],[Colonna5]]*$Q3</f>
        <v>3.6</v>
      </c>
      <c r="X41" s="14" t="n">
        <f aca="false">Tabella5279112479161820222426283032343638404244[[#This Row],[Colonna6]]*$Q3</f>
        <v>0</v>
      </c>
      <c r="Y41" s="14" t="n">
        <f aca="false">Tabella5279112479161820222426283032343638404244[[#This Row],[Colonna7]]*$Q3</f>
        <v>1.6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42</v>
      </c>
      <c r="H43" s="13" t="n">
        <v>234</v>
      </c>
      <c r="I43" s="13" t="n">
        <v>138</v>
      </c>
      <c r="J43" s="13" t="n">
        <v>214</v>
      </c>
      <c r="K43" s="13" t="n">
        <v>145</v>
      </c>
      <c r="L43" s="13" t="n">
        <v>99</v>
      </c>
      <c r="M43" s="13" t="n">
        <v>143</v>
      </c>
      <c r="P43" s="18" t="s">
        <v>50</v>
      </c>
      <c r="Q43" s="18"/>
      <c r="R43" s="18"/>
      <c r="S43" s="14" t="n">
        <f aca="false">Tabella5279112479161820222426283032343638404244[[#This Row],[Colonna1]]*$Q3</f>
        <v>16.8</v>
      </c>
      <c r="T43" s="14" t="n">
        <f aca="false">Tabella5279112479161820222426283032343638404244[[#This Row],[Colonna2]]*$Q3</f>
        <v>93.6</v>
      </c>
      <c r="U43" s="14" t="n">
        <f aca="false">Tabella5279112479161820222426283032343638404244[[#This Row],[Colonna3]]*$Q3</f>
        <v>55.2</v>
      </c>
      <c r="V43" s="14" t="n">
        <f aca="false">Tabella5279112479161820222426283032343638404244[[#This Row],[Colonna4]]*$Q3</f>
        <v>85.6</v>
      </c>
      <c r="W43" s="14" t="n">
        <f aca="false">Tabella5279112479161820222426283032343638404244[[#This Row],[Colonna5]]*$Q3</f>
        <v>58</v>
      </c>
      <c r="X43" s="14" t="n">
        <f aca="false">Tabella5279112479161820222426283032343638404244[[#This Row],[Colonna6]]*$Q3</f>
        <v>39.6</v>
      </c>
      <c r="Y43" s="14" t="n">
        <f aca="false">Tabella5279112479161820222426283032343638404244[[#This Row],[Colonna7]]*$Q3</f>
        <v>57.2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</v>
      </c>
      <c r="H44" s="13"/>
      <c r="I44" s="13" t="n">
        <v>8</v>
      </c>
      <c r="J44" s="13" t="n">
        <v>5</v>
      </c>
      <c r="K44" s="13" t="n">
        <v>2</v>
      </c>
      <c r="L44" s="13" t="n">
        <v>4</v>
      </c>
      <c r="M44" s="13" t="n">
        <v>7</v>
      </c>
      <c r="P44" s="12" t="s">
        <v>51</v>
      </c>
      <c r="Q44" s="12"/>
      <c r="R44" s="12"/>
      <c r="S44" s="14" t="n">
        <f aca="false">Tabella5279112479161820222426283032343638404244[[#This Row],[Colonna1]]*$Q3</f>
        <v>0.8</v>
      </c>
      <c r="T44" s="14"/>
      <c r="U44" s="14" t="n">
        <f aca="false">Tabella5279112479161820222426283032343638404244[[#This Row],[Colonna3]]*$Q3</f>
        <v>3.2</v>
      </c>
      <c r="V44" s="14" t="n">
        <f aca="false">Tabella5279112479161820222426283032343638404244[[#This Row],[Colonna4]]*$Q3</f>
        <v>2</v>
      </c>
      <c r="W44" s="14" t="n">
        <f aca="false">Tabella5279112479161820222426283032343638404244[[#This Row],[Colonna5]]*$Q3</f>
        <v>0.8</v>
      </c>
      <c r="X44" s="14" t="n">
        <f aca="false">Tabella5279112479161820222426283032343638404244[[#This Row],[Colonna6]]*$Q3</f>
        <v>1.6</v>
      </c>
      <c r="Y44" s="14" t="n">
        <f aca="false">Tabella5279112479161820222426283032343638404244[[#This Row],[Colonna7]]*$Q3</f>
        <v>2.8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 t="n">
        <v>1</v>
      </c>
      <c r="H48" s="13" t="n">
        <v>4</v>
      </c>
      <c r="I48" s="13" t="n">
        <v>25</v>
      </c>
      <c r="J48" s="13" t="n">
        <v>8</v>
      </c>
      <c r="K48" s="13" t="n">
        <v>12</v>
      </c>
      <c r="L48" s="13" t="n">
        <v>8</v>
      </c>
      <c r="M48" s="13" t="n">
        <v>5</v>
      </c>
      <c r="P48" s="12" t="s">
        <v>55</v>
      </c>
      <c r="Q48" s="12"/>
      <c r="R48" s="12"/>
      <c r="S48" s="14" t="n">
        <f aca="false">Tabella5279112479161820222426283032343638404244[[#This Row],[Colonna1]]*$Q3</f>
        <v>0.4</v>
      </c>
      <c r="T48" s="14" t="n">
        <f aca="false">Tabella5279112479161820222426283032343638404244[[#This Row],[Colonna2]]*$Q3</f>
        <v>1.6</v>
      </c>
      <c r="U48" s="14" t="n">
        <f aca="false">Tabella5279112479161820222426283032343638404244[[#This Row],[Colonna3]]*$Q3</f>
        <v>10</v>
      </c>
      <c r="V48" s="14" t="n">
        <f aca="false">Tabella5279112479161820222426283032343638404244[[#This Row],[Colonna4]]*$Q3</f>
        <v>3.2</v>
      </c>
      <c r="W48" s="14" t="n">
        <f aca="false">Tabella5279112479161820222426283032343638404244[[#This Row],[Colonna5]]*$Q3</f>
        <v>4.8</v>
      </c>
      <c r="X48" s="14" t="n">
        <f aca="false">Tabella5279112479161820222426283032343638404244[[#This Row],[Colonna6]]*$Q3</f>
        <v>3.2</v>
      </c>
      <c r="Y48" s="14" t="n">
        <f aca="false">Tabella5279112479161820222426283032343638404244[[#This Row],[Colonna7]]*$Q3</f>
        <v>2</v>
      </c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 t="n">
        <v>1</v>
      </c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 t="n">
        <f aca="false">Tabella5279112479161820222426283032343638404244[[#This Row],[Colonna6]]*$Q3</f>
        <v>0.4</v>
      </c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411</v>
      </c>
      <c r="H52" s="13" t="n">
        <v>178</v>
      </c>
      <c r="I52" s="13" t="n">
        <v>1757</v>
      </c>
      <c r="J52" s="13" t="n">
        <v>1212</v>
      </c>
      <c r="K52" s="13" t="n">
        <v>229</v>
      </c>
      <c r="L52" s="13" t="n">
        <v>3610</v>
      </c>
      <c r="M52" s="13" t="n">
        <v>2680</v>
      </c>
      <c r="P52" s="12" t="s">
        <v>59</v>
      </c>
      <c r="Q52" s="12"/>
      <c r="R52" s="12"/>
      <c r="S52" s="14" t="n">
        <f aca="false">Tabella5279112479161820222426283032343638404244[[#This Row],[Colonna1]]*$Q3</f>
        <v>164.4</v>
      </c>
      <c r="T52" s="14" t="n">
        <f aca="false">Tabella5279112479161820222426283032343638404244[[#This Row],[Colonna2]]*$Q3</f>
        <v>71.2</v>
      </c>
      <c r="U52" s="14" t="n">
        <f aca="false">Tabella5279112479161820222426283032343638404244[[#This Row],[Colonna3]]*$Q3</f>
        <v>702.8</v>
      </c>
      <c r="V52" s="14" t="n">
        <f aca="false">Tabella5279112479161820222426283032343638404244[[#This Row],[Colonna4]]*$Q3</f>
        <v>484.8</v>
      </c>
      <c r="W52" s="14" t="n">
        <f aca="false">Tabella5279112479161820222426283032343638404244[[#This Row],[Colonna5]]*$Q3</f>
        <v>91.6</v>
      </c>
      <c r="X52" s="14" t="n">
        <f aca="false">Tabella5279112479161820222426283032343638404244[[#This Row],[Colonna6]]*$Q3</f>
        <v>1444</v>
      </c>
      <c r="Y52" s="14" t="n">
        <f aca="false">Tabella5279112479161820222426283032343638404244[[#This Row],[Colonna7]]*$Q3</f>
        <v>1072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SUM(G52,G48,G44,G43,G41,G29,G28,G21,G20,G19,G10,G9)</f>
        <v>489</v>
      </c>
      <c r="H53" s="55" t="n">
        <f aca="false">SUM(H52,H48,H43,H41,H38,H31,H29,H28,H23,H22,H20,H10,H9,H6)</f>
        <v>659</v>
      </c>
      <c r="I53" s="55" t="n">
        <f aca="false">SUM(I52,I48,I44,I43,I41,I38,I31,I29,I28,I27,I23,I22,I20,I10,I9)</f>
        <v>2380</v>
      </c>
      <c r="J53" s="55" t="n">
        <f aca="false">SUM(J52,J48,J44,J43,J41,J38,J31,J29,J28,J22,J20,J19,J10,J9,J7,J6)</f>
        <v>1691</v>
      </c>
      <c r="K53" s="55" t="n">
        <f aca="false">SUM(K52,K48,K44,K43,K41,K40,K38,K31,K29,K28,K23,K22,K20,K19,K15,K10,K9,K7,K6)</f>
        <v>781</v>
      </c>
      <c r="L53" s="55" t="n">
        <f aca="false">SUM(L52,L50,L48,L44,L43,L41,L38,L31,L29,L28,L23,L22,L20,L19,L10,L7,L6)</f>
        <v>4056</v>
      </c>
      <c r="M53" s="55" t="n">
        <f aca="false">SUM(M52,M48,M44,M43,M41,M40,M31,M29,M28,M23,M22,M21,M20,M19,M10,M7)</f>
        <v>3136</v>
      </c>
      <c r="P53" s="17" t="s">
        <v>60</v>
      </c>
      <c r="Q53" s="17"/>
      <c r="R53" s="17"/>
      <c r="S53" s="56" t="n">
        <f aca="false">Tabella5279112479161820222426283032343638404244[[#This Row],[Colonna1]]*$Q3</f>
        <v>195.6</v>
      </c>
      <c r="T53" s="56" t="n">
        <f aca="false">Tabella5279112479161820222426283032343638404244[[#This Row],[Colonna2]]*$Q3</f>
        <v>263.6</v>
      </c>
      <c r="U53" s="56" t="n">
        <f aca="false">Tabella5279112479161820222426283032343638404244[[#This Row],[Colonna3]]*$Q3</f>
        <v>952</v>
      </c>
      <c r="V53" s="56" t="n">
        <f aca="false">Tabella5279112479161820222426283032343638404244[[#This Row],[Colonna4]]*$Q3</f>
        <v>676.4</v>
      </c>
      <c r="W53" s="56" t="n">
        <f aca="false">Tabella5279112479161820222426283032343638404244[[#This Row],[Colonna5]]*$Q3</f>
        <v>312.4</v>
      </c>
      <c r="X53" s="56" t="n">
        <f aca="false">Tabella5279112479161820222426283032343638404244[[#This Row],[Colonna6]]*$Q3</f>
        <v>1622.4</v>
      </c>
      <c r="Y53" s="56" t="n">
        <f aca="false">Tabella5279112479161820222426283032343638404244[[#This Row],[Colonna7]]*$Q3</f>
        <v>1254.4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/>
      <c r="H58" s="26" t="n">
        <v>11</v>
      </c>
      <c r="I58" s="26" t="n">
        <v>13</v>
      </c>
      <c r="J58" s="26" t="n">
        <v>4</v>
      </c>
      <c r="K58" s="26" t="n">
        <v>11</v>
      </c>
      <c r="L58" s="26" t="n">
        <v>8</v>
      </c>
      <c r="M58" s="26" t="n">
        <v>17</v>
      </c>
      <c r="P58" s="23" t="s">
        <v>62</v>
      </c>
      <c r="Q58" s="23"/>
      <c r="R58" s="23"/>
      <c r="S58" s="57"/>
      <c r="T58" s="57" t="n">
        <f aca="false">H58*$Q3</f>
        <v>4.4</v>
      </c>
      <c r="U58" s="57" t="n">
        <f aca="false">I58*$Q3</f>
        <v>5.2</v>
      </c>
      <c r="V58" s="57" t="n">
        <f aca="false">J58*$Q3</f>
        <v>1.6</v>
      </c>
      <c r="W58" s="57" t="n">
        <f aca="false">K58*$Q3</f>
        <v>4.4</v>
      </c>
      <c r="X58" s="57" t="n">
        <f aca="false">L58*$Q3</f>
        <v>3.2</v>
      </c>
      <c r="Y58" s="27" t="n">
        <f aca="false">M58*$Q3</f>
        <v>6.8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 t="n">
        <v>1</v>
      </c>
      <c r="L62" s="26"/>
      <c r="M62" s="26"/>
      <c r="P62" s="9" t="s">
        <v>66</v>
      </c>
      <c r="Q62" s="9"/>
      <c r="R62" s="9"/>
      <c r="S62" s="57"/>
      <c r="T62" s="57"/>
      <c r="U62" s="57"/>
      <c r="V62" s="57"/>
      <c r="W62" s="27" t="n">
        <f aca="false">K62*$Q3</f>
        <v>0.4</v>
      </c>
      <c r="X62" s="27"/>
      <c r="Y62" s="27"/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/>
      <c r="K63" s="26"/>
      <c r="L63" s="26"/>
      <c r="M63" s="26"/>
      <c r="P63" s="9" t="s">
        <v>67</v>
      </c>
      <c r="Q63" s="9"/>
      <c r="R63" s="9"/>
      <c r="S63" s="57"/>
      <c r="T63" s="27"/>
      <c r="U63" s="27"/>
      <c r="V63" s="27"/>
      <c r="W63" s="27"/>
      <c r="X63" s="2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27"/>
      <c r="U64" s="27"/>
      <c r="V64" s="27"/>
      <c r="W64" s="27"/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 t="n">
        <v>1</v>
      </c>
      <c r="I65" s="26" t="n">
        <v>1</v>
      </c>
      <c r="J65" s="26" t="n">
        <v>87</v>
      </c>
      <c r="K65" s="26" t="n">
        <v>9</v>
      </c>
      <c r="L65" s="26" t="n">
        <v>4</v>
      </c>
      <c r="M65" s="26" t="n">
        <v>2</v>
      </c>
      <c r="P65" s="9" t="s">
        <v>69</v>
      </c>
      <c r="Q65" s="9"/>
      <c r="R65" s="9"/>
      <c r="S65" s="57"/>
      <c r="T65" s="27" t="n">
        <f aca="false">H65*$Q3</f>
        <v>0.4</v>
      </c>
      <c r="U65" s="27" t="n">
        <f aca="false">I65*$Q3</f>
        <v>0.4</v>
      </c>
      <c r="V65" s="27" t="n">
        <f aca="false">J65*$Q3</f>
        <v>34.8</v>
      </c>
      <c r="W65" s="27" t="n">
        <f aca="false">K65*$Q3</f>
        <v>3.6</v>
      </c>
      <c r="X65" s="27" t="n">
        <f aca="false">L65*$Q3</f>
        <v>1.6</v>
      </c>
      <c r="Y65" s="27" t="n">
        <f aca="false">M65*$Q3</f>
        <v>0.8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/>
      <c r="H67" s="26" t="n">
        <v>2</v>
      </c>
      <c r="I67" s="26" t="n">
        <v>3</v>
      </c>
      <c r="J67" s="26"/>
      <c r="K67" s="26" t="n">
        <v>5</v>
      </c>
      <c r="L67" s="26" t="n">
        <v>5</v>
      </c>
      <c r="M67" s="26" t="n">
        <v>6</v>
      </c>
      <c r="P67" s="9" t="s">
        <v>71</v>
      </c>
      <c r="Q67" s="9"/>
      <c r="R67" s="9"/>
      <c r="S67" s="57"/>
      <c r="T67" s="57" t="n">
        <f aca="false">H67*$Q3</f>
        <v>0.8</v>
      </c>
      <c r="U67" s="57" t="n">
        <f aca="false">I67*$Q3</f>
        <v>1.2</v>
      </c>
      <c r="V67" s="57"/>
      <c r="W67" s="57" t="n">
        <f aca="false">K67*$Q3</f>
        <v>2</v>
      </c>
      <c r="X67" s="57" t="n">
        <f aca="false">L67*$Q3</f>
        <v>2</v>
      </c>
      <c r="Y67" s="57" t="n">
        <f aca="false">M67*$Q3</f>
        <v>2.4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</v>
      </c>
      <c r="H68" s="30" t="n">
        <v>4</v>
      </c>
      <c r="I68" s="30"/>
      <c r="J68" s="30" t="n">
        <v>5</v>
      </c>
      <c r="K68" s="30" t="n">
        <v>14</v>
      </c>
      <c r="L68" s="30" t="n">
        <v>10</v>
      </c>
      <c r="M68" s="30" t="n">
        <v>7</v>
      </c>
      <c r="P68" s="9" t="s">
        <v>72</v>
      </c>
      <c r="Q68" s="9"/>
      <c r="R68" s="9"/>
      <c r="S68" s="59" t="n">
        <f aca="false">G68*$Q3</f>
        <v>0.4</v>
      </c>
      <c r="T68" s="59" t="n">
        <f aca="false">H68*$Q3</f>
        <v>1.6</v>
      </c>
      <c r="U68" s="59"/>
      <c r="V68" s="59" t="n">
        <f aca="false">J68*$Q3</f>
        <v>2</v>
      </c>
      <c r="W68" s="59" t="n">
        <f aca="false">K68*$Q3</f>
        <v>5.6</v>
      </c>
      <c r="X68" s="59" t="n">
        <f aca="false">L68*$Q3</f>
        <v>4</v>
      </c>
      <c r="Y68" s="59" t="n">
        <f aca="false">M68*$Q3</f>
        <v>2.8</v>
      </c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 t="n">
        <v>3</v>
      </c>
      <c r="J69" s="30" t="n">
        <v>1</v>
      </c>
      <c r="K69" s="30" t="n">
        <v>1</v>
      </c>
      <c r="L69" s="30" t="n">
        <v>5</v>
      </c>
      <c r="M69" s="30" t="n">
        <v>7</v>
      </c>
      <c r="P69" s="9" t="s">
        <v>73</v>
      </c>
      <c r="Q69" s="9"/>
      <c r="R69" s="9"/>
      <c r="S69" s="59"/>
      <c r="T69" s="31"/>
      <c r="U69" s="31" t="n">
        <f aca="false">I69*$Q3</f>
        <v>1.2</v>
      </c>
      <c r="V69" s="31" t="n">
        <f aca="false">J69*$Q3</f>
        <v>0.4</v>
      </c>
      <c r="W69" s="31" t="n">
        <f aca="false">K69*$Q3</f>
        <v>0.4</v>
      </c>
      <c r="X69" s="31" t="n">
        <f aca="false">L69*$Q3</f>
        <v>2</v>
      </c>
      <c r="Y69" s="31" t="n">
        <f aca="false">M69*$Q3</f>
        <v>2.8</v>
      </c>
    </row>
    <row r="70" customFormat="false" ht="15" hidden="false" customHeight="false" outlineLevel="0" collapsed="false">
      <c r="D70" s="9" t="s">
        <v>60</v>
      </c>
      <c r="E70" s="9"/>
      <c r="F70" s="9"/>
      <c r="G70" s="60"/>
      <c r="H70" s="60" t="n">
        <f aca="false">SUM(H58,H65,H67,H68)</f>
        <v>18</v>
      </c>
      <c r="I70" s="60" t="n">
        <f aca="false">SUM(I69,I67,I65,I58)</f>
        <v>20</v>
      </c>
      <c r="J70" s="60" t="n">
        <f aca="false">SUM(J69,J68,J65,J58)</f>
        <v>97</v>
      </c>
      <c r="K70" s="12" t="n">
        <f aca="false">SUM(K69,K68,K67,K65,K62,K58)</f>
        <v>41</v>
      </c>
      <c r="L70" s="12" t="n">
        <f aca="false">SUM(L69,L68,L67,L65,L58)</f>
        <v>32</v>
      </c>
      <c r="M70" s="12" t="n">
        <f aca="false">SUM(M69,M68,M67,M65,M58)</f>
        <v>39</v>
      </c>
      <c r="P70" s="9" t="s">
        <v>60</v>
      </c>
      <c r="Q70" s="9"/>
      <c r="R70" s="9"/>
      <c r="S70" s="57"/>
      <c r="T70" s="61" t="n">
        <f aca="false">H70*$Q3</f>
        <v>7.2</v>
      </c>
      <c r="U70" s="61" t="n">
        <f aca="false">I70*$Q3</f>
        <v>8</v>
      </c>
      <c r="V70" s="61" t="n">
        <f aca="false">J70*$Q3</f>
        <v>38.8</v>
      </c>
      <c r="W70" s="61" t="n">
        <f aca="false">K70*$Q3</f>
        <v>16.4</v>
      </c>
      <c r="X70" s="61" t="n">
        <f aca="false">L70*$Q3</f>
        <v>12.8</v>
      </c>
      <c r="Y70" s="61" t="n">
        <f aca="false">M70*$Q3</f>
        <v>15.6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O37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45033</v>
      </c>
      <c r="K3" s="5" t="n">
        <v>45039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45033</v>
      </c>
      <c r="W3" s="5" t="n">
        <v>45039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 t="n">
        <v>2</v>
      </c>
      <c r="K6" s="13" t="n">
        <v>2</v>
      </c>
      <c r="L6" s="13" t="n">
        <v>1</v>
      </c>
      <c r="M6" s="13" t="n">
        <v>1</v>
      </c>
      <c r="P6" s="9" t="s">
        <v>13</v>
      </c>
      <c r="Q6" s="9"/>
      <c r="R6" s="9"/>
      <c r="S6" s="14" t="n">
        <f aca="false">Tabella527911247916182022242628303234363840424446[[#This Row],[Colonna1]]*$Q3</f>
        <v>0.8</v>
      </c>
      <c r="T6" s="14"/>
      <c r="U6" s="14"/>
      <c r="V6" s="14"/>
      <c r="W6" s="14" t="n">
        <f aca="false">Tabella527911247916182022242628303234363840424446[[#This Row],[Colonna5]]*$Q3</f>
        <v>0.8</v>
      </c>
      <c r="X6" s="14" t="n">
        <f aca="false">Tabella527911247916182022242628303234363840424446[[#This Row],[Colonna6]]*$Q3</f>
        <v>0.4</v>
      </c>
      <c r="Y6" s="14" t="n">
        <f aca="false">Tabella527911247916182022242628303234363840424446[[#This Row],[Colonna7]]*$Q3</f>
        <v>0.4</v>
      </c>
    </row>
    <row r="7" customFormat="false" ht="15" hidden="false" customHeight="false" outlineLevel="0" collapsed="false">
      <c r="D7" s="12" t="s">
        <v>14</v>
      </c>
      <c r="E7" s="12"/>
      <c r="F7" s="12"/>
      <c r="G7" s="13" t="n">
        <v>4</v>
      </c>
      <c r="H7" s="13"/>
      <c r="I7" s="13" t="n">
        <v>3</v>
      </c>
      <c r="J7" s="13" t="n">
        <v>3</v>
      </c>
      <c r="K7" s="13" t="n">
        <v>3</v>
      </c>
      <c r="L7" s="13" t="n">
        <v>1</v>
      </c>
      <c r="M7" s="13" t="n">
        <v>6</v>
      </c>
      <c r="P7" s="12" t="s">
        <v>14</v>
      </c>
      <c r="Q7" s="12"/>
      <c r="R7" s="12"/>
      <c r="S7" s="14" t="n">
        <f aca="false">Tabella527911247916182022242628303234363840424446[[#This Row],[Colonna1]]*$Q3</f>
        <v>1.6</v>
      </c>
      <c r="T7" s="14"/>
      <c r="U7" s="14" t="n">
        <f aca="false">Tabella527911247916182022242628303234363840424446[[#This Row],[Colonna3]]*$Q3</f>
        <v>1.2</v>
      </c>
      <c r="V7" s="14" t="n">
        <f aca="false">Tabella527911247916182022242628303234363840424446[[#This Row],[Colonna4]]*$Q3</f>
        <v>1.2</v>
      </c>
      <c r="W7" s="14" t="n">
        <f aca="false">Tabella527911247916182022242628303234363840424446[[#This Row],[Colonna5]]*$Q3</f>
        <v>1.2</v>
      </c>
      <c r="X7" s="14" t="n">
        <f aca="false">Tabella527911247916182022242628303234363840424446[[#This Row],[Colonna6]]*$Q3</f>
        <v>0.4</v>
      </c>
      <c r="Y7" s="14" t="n">
        <f aca="false">Tabella527911247916182022242628303234363840424446[[#This Row],[Colonna7]]*$Q3</f>
        <v>2.4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 t="n">
        <v>1</v>
      </c>
      <c r="M9" s="13" t="n">
        <v>1</v>
      </c>
      <c r="P9" s="12" t="s">
        <v>16</v>
      </c>
      <c r="Q9" s="12"/>
      <c r="R9" s="12"/>
      <c r="S9" s="14"/>
      <c r="T9" s="14"/>
      <c r="U9" s="14"/>
      <c r="V9" s="14"/>
      <c r="W9" s="14"/>
      <c r="X9" s="14" t="n">
        <f aca="false">Tabella527911247916182022242628303234363840424446[[#This Row],[Colonna6]]*$Q3</f>
        <v>0.4</v>
      </c>
      <c r="Y9" s="14" t="n">
        <f aca="false">Tabella527911247916182022242628303234363840424446[[#This Row],[Colonna7]]*$Q3</f>
        <v>0.4</v>
      </c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48</v>
      </c>
      <c r="H10" s="13" t="n">
        <v>98</v>
      </c>
      <c r="I10" s="13" t="n">
        <v>97</v>
      </c>
      <c r="J10" s="13" t="n">
        <v>23</v>
      </c>
      <c r="K10" s="13" t="n">
        <v>18</v>
      </c>
      <c r="L10" s="13" t="n">
        <v>57</v>
      </c>
      <c r="M10" s="13" t="n">
        <v>108</v>
      </c>
      <c r="P10" s="12" t="s">
        <v>17</v>
      </c>
      <c r="Q10" s="12"/>
      <c r="R10" s="12"/>
      <c r="S10" s="14" t="n">
        <f aca="false">G10*$Q3</f>
        <v>19.2</v>
      </c>
      <c r="T10" s="14" t="n">
        <f aca="false">H10*$Q3</f>
        <v>39.2</v>
      </c>
      <c r="U10" s="14" t="n">
        <f aca="false">I10*$Q3</f>
        <v>38.8</v>
      </c>
      <c r="V10" s="14" t="n">
        <f aca="false">J10*$Q3</f>
        <v>9.2</v>
      </c>
      <c r="W10" s="14" t="n">
        <f aca="false">K10*$Q3</f>
        <v>7.2</v>
      </c>
      <c r="X10" s="14" t="n">
        <f aca="false">L10*$Q3</f>
        <v>22.8</v>
      </c>
      <c r="Y10" s="14" t="n">
        <f aca="false">M10*$Q3</f>
        <v>43.2</v>
      </c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 t="n">
        <v>1</v>
      </c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 t="n">
        <f aca="false">Tabella527911247916182022242628303234363840424446[[#This Row],[Colonna3]]*$Q3</f>
        <v>0.4</v>
      </c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 t="n">
        <v>4</v>
      </c>
      <c r="H19" s="13" t="n">
        <v>3</v>
      </c>
      <c r="I19" s="13" t="n">
        <v>4</v>
      </c>
      <c r="J19" s="13" t="n">
        <v>7</v>
      </c>
      <c r="K19" s="13"/>
      <c r="L19" s="13"/>
      <c r="M19" s="13" t="n">
        <v>7</v>
      </c>
      <c r="P19" s="9" t="s">
        <v>26</v>
      </c>
      <c r="Q19" s="9"/>
      <c r="R19" s="9"/>
      <c r="S19" s="14" t="n">
        <f aca="false">Tabella527911247916182022242628303234363840424446[[#This Row],[Colonna1]]*$Q3</f>
        <v>1.6</v>
      </c>
      <c r="T19" s="14" t="n">
        <f aca="false">Tabella527911247916182022242628303234363840424446[[#This Row],[Colonna2]]*$Q3</f>
        <v>1.2</v>
      </c>
      <c r="U19" s="14" t="n">
        <f aca="false">Tabella527911247916182022242628303234363840424446[[#This Row],[Colonna3]]*$Q3</f>
        <v>1.6</v>
      </c>
      <c r="V19" s="14" t="n">
        <f aca="false">Tabella527911247916182022242628303234363840424446[[#This Row],[Colonna4]]*$Q3</f>
        <v>2.8</v>
      </c>
      <c r="W19" s="14"/>
      <c r="X19" s="14"/>
      <c r="Y19" s="14" t="n">
        <f aca="false">Tabella527911247916182022242628303234363840424446[[#This Row],[Colonna7]]*$Q3</f>
        <v>2.8</v>
      </c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 t="n">
        <v>49</v>
      </c>
      <c r="I20" s="13" t="n">
        <v>49</v>
      </c>
      <c r="J20" s="13" t="n">
        <v>20</v>
      </c>
      <c r="K20" s="13" t="n">
        <v>6</v>
      </c>
      <c r="L20" s="13" t="n">
        <v>44</v>
      </c>
      <c r="M20" s="13" t="n">
        <v>94</v>
      </c>
      <c r="P20" s="9" t="s">
        <v>27</v>
      </c>
      <c r="Q20" s="9"/>
      <c r="R20" s="9"/>
      <c r="S20" s="14"/>
      <c r="T20" s="14" t="n">
        <f aca="false">Tabella527911247916182022242628303234363840424446[[#This Row],[Colonna2]]*$Q3</f>
        <v>19.6</v>
      </c>
      <c r="U20" s="14" t="n">
        <f aca="false">Tabella527911247916182022242628303234363840424446[[#This Row],[Colonna3]]*$Q3</f>
        <v>19.6</v>
      </c>
      <c r="V20" s="14" t="n">
        <f aca="false">Tabella527911247916182022242628303234363840424446[[#This Row],[Colonna4]]*$Q3</f>
        <v>8</v>
      </c>
      <c r="W20" s="14" t="n">
        <f aca="false">Tabella527911247916182022242628303234363840424446[[#This Row],[Colonna5]]*$Q3</f>
        <v>2.4</v>
      </c>
      <c r="X20" s="14" t="n">
        <f aca="false">Tabella527911247916182022242628303234363840424446[[#This Row],[Colonna6]]*$Q3</f>
        <v>17.6</v>
      </c>
      <c r="Y20" s="14" t="n">
        <f aca="false">Tabella527911247916182022242628303234363840424446[[#This Row],[Colonna7]]*$Q3</f>
        <v>37.6</v>
      </c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 t="n">
        <v>5</v>
      </c>
      <c r="L21" s="13" t="n">
        <v>2</v>
      </c>
      <c r="M21" s="13" t="n">
        <v>7</v>
      </c>
      <c r="P21" s="16" t="s">
        <v>28</v>
      </c>
      <c r="Q21" s="16"/>
      <c r="R21" s="16"/>
      <c r="S21" s="14"/>
      <c r="T21" s="14"/>
      <c r="U21" s="14"/>
      <c r="V21" s="14"/>
      <c r="W21" s="14" t="n">
        <f aca="false">Tabella527911247916182022242628303234363840424446[[#This Row],[Colonna5]]*$Q3</f>
        <v>2</v>
      </c>
      <c r="X21" s="14" t="n">
        <f aca="false">Tabella527911247916182022242628303234363840424446[[#This Row],[Colonna6]]*$Q3</f>
        <v>0.8</v>
      </c>
      <c r="Y21" s="14" t="n">
        <f aca="false">Tabella527911247916182022242628303234363840424446[[#This Row],[Colonna7]]*$Q3</f>
        <v>2.8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</v>
      </c>
      <c r="H22" s="13" t="n">
        <v>5</v>
      </c>
      <c r="I22" s="13" t="n">
        <v>7</v>
      </c>
      <c r="J22" s="13" t="n">
        <v>8</v>
      </c>
      <c r="K22" s="13" t="n">
        <v>9</v>
      </c>
      <c r="L22" s="13" t="n">
        <v>1</v>
      </c>
      <c r="M22" s="13" t="n">
        <v>11</v>
      </c>
      <c r="P22" s="12" t="s">
        <v>29</v>
      </c>
      <c r="Q22" s="12"/>
      <c r="R22" s="12"/>
      <c r="S22" s="14" t="n">
        <f aca="false">Tabella527911247916182022242628303234363840424446[[#This Row],[Colonna1]]*$Q3</f>
        <v>0.8</v>
      </c>
      <c r="T22" s="14" t="n">
        <f aca="false">Tabella527911247916182022242628303234363840424446[[#This Row],[Colonna2]]*$Q3</f>
        <v>2</v>
      </c>
      <c r="U22" s="14" t="n">
        <f aca="false">Tabella527911247916182022242628303234363840424446[[#This Row],[Colonna3]]*$Q3</f>
        <v>2.8</v>
      </c>
      <c r="V22" s="14" t="n">
        <f aca="false">Tabella527911247916182022242628303234363840424446[[#This Row],[Colonna4]]*$Q3</f>
        <v>3.2</v>
      </c>
      <c r="W22" s="14" t="n">
        <f aca="false">Tabella527911247916182022242628303234363840424446[[#This Row],[Colonna5]]*$Q3</f>
        <v>3.6</v>
      </c>
      <c r="X22" s="14" t="n">
        <f aca="false">Tabella527911247916182022242628303234363840424446[[#This Row],[Colonna6]]*$Q3</f>
        <v>0.4</v>
      </c>
      <c r="Y22" s="14" t="n">
        <f aca="false">Tabella527911247916182022242628303234363840424446[[#This Row],[Colonna7]]*$Q3</f>
        <v>4.4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 t="n">
        <v>4</v>
      </c>
      <c r="H23" s="13"/>
      <c r="I23" s="13" t="n">
        <v>1</v>
      </c>
      <c r="J23" s="13"/>
      <c r="K23" s="13" t="n">
        <v>1</v>
      </c>
      <c r="L23" s="13" t="n">
        <v>1</v>
      </c>
      <c r="M23" s="13" t="n">
        <v>2</v>
      </c>
      <c r="P23" s="17" t="s">
        <v>30</v>
      </c>
      <c r="Q23" s="17"/>
      <c r="R23" s="17"/>
      <c r="S23" s="14" t="n">
        <f aca="false">Tabella527911247916182022242628303234363840424446[[#This Row],[Colonna1]]*$Q3</f>
        <v>1.6</v>
      </c>
      <c r="T23" s="14"/>
      <c r="U23" s="14" t="n">
        <f aca="false">Tabella527911247916182022242628303234363840424446[[#This Row],[Colonna3]]*$Q3</f>
        <v>0.4</v>
      </c>
      <c r="V23" s="14"/>
      <c r="W23" s="14" t="n">
        <f aca="false">Tabella527911247916182022242628303234363840424446[[#This Row],[Colonna5]]*$Q3</f>
        <v>0.4</v>
      </c>
      <c r="X23" s="14" t="n">
        <f aca="false">Tabella527911247916182022242628303234363840424446[[#This Row],[Colonna6]]*$Q3</f>
        <v>0.4</v>
      </c>
      <c r="Y23" s="14" t="n">
        <f aca="false">Tabella527911247916182022242628303234363840424446[[#This Row],[Colonna7]]*$Q3</f>
        <v>0.8</v>
      </c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14</v>
      </c>
      <c r="H27" s="13"/>
      <c r="I27" s="13" t="n">
        <v>5</v>
      </c>
      <c r="J27" s="13"/>
      <c r="K27" s="13" t="n">
        <v>1</v>
      </c>
      <c r="L27" s="13"/>
      <c r="M27" s="13" t="n">
        <v>2</v>
      </c>
      <c r="P27" s="12" t="s">
        <v>34</v>
      </c>
      <c r="Q27" s="12"/>
      <c r="R27" s="12"/>
      <c r="S27" s="14" t="n">
        <f aca="false">Tabella527911247916182022242628303234363840424446[[#This Row],[Colonna1]]*$Q3</f>
        <v>5.6</v>
      </c>
      <c r="T27" s="14"/>
      <c r="U27" s="14" t="n">
        <f aca="false">Tabella527911247916182022242628303234363840424446[[#This Row],[Colonna3]]*$Q3</f>
        <v>2</v>
      </c>
      <c r="V27" s="14"/>
      <c r="W27" s="14" t="n">
        <f aca="false">Tabella527911247916182022242628303234363840424446[[#This Row],[Colonna5]]*$Q3</f>
        <v>0.4</v>
      </c>
      <c r="X27" s="14"/>
      <c r="Y27" s="14" t="n">
        <f aca="false">Tabella527911247916182022242628303234363840424446[[#This Row],[Colonna7]]*$Q3</f>
        <v>0.8</v>
      </c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59</v>
      </c>
      <c r="H28" s="13" t="n">
        <v>57</v>
      </c>
      <c r="I28" s="13" t="n">
        <v>46</v>
      </c>
      <c r="J28" s="13" t="n">
        <v>24</v>
      </c>
      <c r="K28" s="13" t="n">
        <v>27</v>
      </c>
      <c r="L28" s="13" t="n">
        <v>24</v>
      </c>
      <c r="M28" s="13" t="n">
        <v>87</v>
      </c>
      <c r="P28" s="12" t="s">
        <v>35</v>
      </c>
      <c r="Q28" s="12"/>
      <c r="R28" s="12"/>
      <c r="S28" s="14" t="n">
        <f aca="false">Tabella527911247916182022242628303234363840424446[[#This Row],[Colonna1]]*$Q3</f>
        <v>23.6</v>
      </c>
      <c r="T28" s="14" t="n">
        <f aca="false">Tabella527911247916182022242628303234363840424446[[#This Row],[Colonna2]]*$Q3</f>
        <v>22.8</v>
      </c>
      <c r="U28" s="14" t="n">
        <f aca="false">Tabella527911247916182022242628303234363840424446[[#This Row],[Colonna3]]*$Q3</f>
        <v>18.4</v>
      </c>
      <c r="V28" s="14" t="n">
        <f aca="false">Tabella527911247916182022242628303234363840424446[[#This Row],[Colonna4]]*$Q3</f>
        <v>9.6</v>
      </c>
      <c r="W28" s="14" t="n">
        <f aca="false">Tabella527911247916182022242628303234363840424446[[#This Row],[Colonna5]]*$Q3</f>
        <v>10.8</v>
      </c>
      <c r="X28" s="14" t="n">
        <f aca="false">Tabella527911247916182022242628303234363840424446[[#This Row],[Colonna6]]*$Q3</f>
        <v>9.6</v>
      </c>
      <c r="Y28" s="14" t="n">
        <f aca="false">Tabella527911247916182022242628303234363840424446[[#This Row],[Colonna7]]*$Q3</f>
        <v>34.8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31</v>
      </c>
      <c r="H29" s="13" t="n">
        <v>75</v>
      </c>
      <c r="I29" s="13" t="n">
        <v>230</v>
      </c>
      <c r="J29" s="13" t="n">
        <v>237</v>
      </c>
      <c r="K29" s="13" t="n">
        <v>54</v>
      </c>
      <c r="L29" s="13" t="n">
        <v>93</v>
      </c>
      <c r="M29" s="13" t="n">
        <v>235</v>
      </c>
      <c r="P29" s="12" t="s">
        <v>36</v>
      </c>
      <c r="Q29" s="12"/>
      <c r="R29" s="12"/>
      <c r="S29" s="14" t="n">
        <f aca="false">Tabella527911247916182022242628303234363840424446[[#This Row],[Colonna1]]*$Q3</f>
        <v>12.4</v>
      </c>
      <c r="T29" s="14" t="n">
        <f aca="false">Tabella527911247916182022242628303234363840424446[[#This Row],[Colonna2]]*$Q3</f>
        <v>30</v>
      </c>
      <c r="U29" s="14" t="n">
        <f aca="false">Tabella527911247916182022242628303234363840424446[[#This Row],[Colonna3]]*$Q3</f>
        <v>92</v>
      </c>
      <c r="V29" s="14" t="n">
        <f aca="false">Tabella527911247916182022242628303234363840424446[[#This Row],[Colonna4]]*$Q3</f>
        <v>94.8</v>
      </c>
      <c r="W29" s="14" t="n">
        <f aca="false">Tabella527911247916182022242628303234363840424446[[#This Row],[Colonna5]]*$Q3</f>
        <v>21.6</v>
      </c>
      <c r="X29" s="14" t="n">
        <f aca="false">Tabella527911247916182022242628303234363840424446[[#This Row],[Colonna6]]*$Q3</f>
        <v>37.2</v>
      </c>
      <c r="Y29" s="14" t="n">
        <f aca="false">Tabella527911247916182022242628303234363840424446[[#This Row],[Colonna7]]*$Q3</f>
        <v>94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12</v>
      </c>
      <c r="H31" s="13" t="n">
        <v>18</v>
      </c>
      <c r="I31" s="13" t="n">
        <v>27</v>
      </c>
      <c r="J31" s="13" t="n">
        <v>8</v>
      </c>
      <c r="K31" s="13" t="n">
        <v>4</v>
      </c>
      <c r="L31" s="13" t="n">
        <v>6</v>
      </c>
      <c r="M31" s="13" t="n">
        <v>26</v>
      </c>
      <c r="P31" s="9" t="s">
        <v>38</v>
      </c>
      <c r="Q31" s="9"/>
      <c r="R31" s="9"/>
      <c r="S31" s="14" t="n">
        <f aca="false">Tabella527911247916182022242628303234363840424446[[#This Row],[Colonna1]]*$Q3</f>
        <v>4.8</v>
      </c>
      <c r="T31" s="14" t="n">
        <f aca="false">Tabella527911247916182022242628303234363840424446[[#This Row],[Colonna2]]*$Q3</f>
        <v>7.2</v>
      </c>
      <c r="U31" s="14" t="n">
        <f aca="false">Tabella527911247916182022242628303234363840424446[[#This Row],[Colonna3]]*$Q3</f>
        <v>10.8</v>
      </c>
      <c r="V31" s="14" t="n">
        <f aca="false">Tabella527911247916182022242628303234363840424446[[#This Row],[Colonna4]]*$Q3</f>
        <v>3.2</v>
      </c>
      <c r="W31" s="14" t="n">
        <f aca="false">Tabella527911247916182022242628303234363840424446[[#This Row],[Colonna5]]*$Q3</f>
        <v>1.6</v>
      </c>
      <c r="X31" s="14" t="n">
        <f aca="false">Tabella527911247916182022242628303234363840424446[[#This Row],[Colonna6]]*$Q3</f>
        <v>2.4</v>
      </c>
      <c r="Y31" s="14" t="n">
        <f aca="false">Tabella527911247916182022242628303234363840424446[[#This Row],[Colonna7]]*$Q3</f>
        <v>10.4</v>
      </c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 t="n">
        <v>769</v>
      </c>
      <c r="H34" s="13" t="n">
        <v>1218</v>
      </c>
      <c r="I34" s="13" t="n">
        <v>2700</v>
      </c>
      <c r="J34" s="13" t="n">
        <v>1257</v>
      </c>
      <c r="K34" s="13" t="n">
        <v>2706</v>
      </c>
      <c r="L34" s="13" t="n">
        <v>2900</v>
      </c>
      <c r="M34" s="13" t="n">
        <v>1187</v>
      </c>
      <c r="P34" s="9" t="s">
        <v>41</v>
      </c>
      <c r="Q34" s="9"/>
      <c r="R34" s="9"/>
      <c r="S34" s="14" t="n">
        <f aca="false">Tabella527911247916182022242628303234363840424446[[#This Row],[Colonna1]]*$Q3</f>
        <v>307.6</v>
      </c>
      <c r="T34" s="14" t="n">
        <f aca="false">Tabella527911247916182022242628303234363840424446[[#This Row],[Colonna2]]*$Q3</f>
        <v>487.2</v>
      </c>
      <c r="U34" s="14" t="n">
        <f aca="false">Tabella527911247916182022242628303234363840424446[[#This Row],[Colonna3]]*$Q3</f>
        <v>1080</v>
      </c>
      <c r="V34" s="14" t="n">
        <f aca="false">Tabella527911247916182022242628303234363840424446[[#This Row],[Colonna4]]*$Q3</f>
        <v>502.8</v>
      </c>
      <c r="W34" s="14" t="n">
        <f aca="false">Tabella527911247916182022242628303234363840424446[[#This Row],[Colonna5]]*$Q3</f>
        <v>1082.4</v>
      </c>
      <c r="X34" s="14" t="n">
        <f aca="false">Tabella527911247916182022242628303234363840424446[[#This Row],[Colonna6]]*$Q3</f>
        <v>1160</v>
      </c>
      <c r="Y34" s="14" t="n">
        <f aca="false">Tabella527911247916182022242628303234363840424446[[#This Row],[Colonna7]]*$Q3</f>
        <v>474.8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7</v>
      </c>
      <c r="H38" s="13" t="n">
        <v>9</v>
      </c>
      <c r="I38" s="13" t="n">
        <v>7</v>
      </c>
      <c r="J38" s="13"/>
      <c r="K38" s="13"/>
      <c r="L38" s="13"/>
      <c r="M38" s="13"/>
      <c r="P38" s="16" t="s">
        <v>45</v>
      </c>
      <c r="Q38" s="16"/>
      <c r="R38" s="16"/>
      <c r="S38" s="14" t="n">
        <f aca="false">Tabella527911247916182022242628303234363840424446[[#This Row],[Colonna1]]*$Q3</f>
        <v>2.8</v>
      </c>
      <c r="T38" s="14" t="n">
        <f aca="false">Tabella527911247916182022242628303234363840424446[[#This Row],[Colonna2]]*$Q3</f>
        <v>3.6</v>
      </c>
      <c r="U38" s="14" t="n">
        <f aca="false">Tabella527911247916182022242628303234363840424446[[#This Row],[Colonna3]]*$Q3</f>
        <v>2.8</v>
      </c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2</v>
      </c>
      <c r="H41" s="13" t="n">
        <v>3</v>
      </c>
      <c r="I41" s="13" t="n">
        <v>2</v>
      </c>
      <c r="J41" s="13" t="n">
        <v>5</v>
      </c>
      <c r="K41" s="13" t="n">
        <v>0</v>
      </c>
      <c r="L41" s="13" t="n">
        <v>4</v>
      </c>
      <c r="M41" s="13" t="n">
        <v>14</v>
      </c>
      <c r="P41" s="18" t="s">
        <v>48</v>
      </c>
      <c r="Q41" s="18"/>
      <c r="R41" s="18"/>
      <c r="S41" s="14" t="n">
        <f aca="false">Tabella527911247916182022242628303234363840424446[[#This Row],[Colonna1]]*$Q3</f>
        <v>0.8</v>
      </c>
      <c r="T41" s="14" t="n">
        <f aca="false">Tabella527911247916182022242628303234363840424446[[#This Row],[Colonna2]]*$Q3</f>
        <v>1.2</v>
      </c>
      <c r="U41" s="14" t="n">
        <f aca="false">Tabella527911247916182022242628303234363840424446[[#This Row],[Colonna3]]*$Q3</f>
        <v>0.8</v>
      </c>
      <c r="V41" s="14" t="n">
        <f aca="false">Tabella527911247916182022242628303234363840424446[[#This Row],[Colonna4]]*$Q3</f>
        <v>2</v>
      </c>
      <c r="W41" s="14" t="n">
        <f aca="false">Tabella527911247916182022242628303234363840424446[[#This Row],[Colonna5]]*$Q3</f>
        <v>0</v>
      </c>
      <c r="X41" s="14" t="n">
        <f aca="false">Tabella527911247916182022242628303234363840424446[[#This Row],[Colonna6]]*$Q3</f>
        <v>1.6</v>
      </c>
      <c r="Y41" s="14" t="n">
        <f aca="false">Tabella527911247916182022242628303234363840424446[[#This Row],[Colonna7]]*$Q3</f>
        <v>5.6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16</v>
      </c>
      <c r="H43" s="13" t="n">
        <v>139</v>
      </c>
      <c r="I43" s="13" t="n">
        <v>120</v>
      </c>
      <c r="J43" s="13" t="n">
        <v>183</v>
      </c>
      <c r="K43" s="13" t="n">
        <v>53</v>
      </c>
      <c r="L43" s="13" t="n">
        <v>15</v>
      </c>
      <c r="M43" s="13" t="n">
        <v>88</v>
      </c>
      <c r="P43" s="18" t="s">
        <v>50</v>
      </c>
      <c r="Q43" s="18"/>
      <c r="R43" s="18"/>
      <c r="S43" s="14" t="n">
        <f aca="false">Tabella527911247916182022242628303234363840424446[[#This Row],[Colonna1]]*$Q3</f>
        <v>6.4</v>
      </c>
      <c r="T43" s="14" t="n">
        <f aca="false">Tabella527911247916182022242628303234363840424446[[#This Row],[Colonna2]]*$Q3</f>
        <v>55.6</v>
      </c>
      <c r="U43" s="14" t="n">
        <f aca="false">Tabella527911247916182022242628303234363840424446[[#This Row],[Colonna3]]*$Q3</f>
        <v>48</v>
      </c>
      <c r="V43" s="14" t="n">
        <f aca="false">Tabella527911247916182022242628303234363840424446[[#This Row],[Colonna4]]*$Q3</f>
        <v>73.2</v>
      </c>
      <c r="W43" s="14" t="n">
        <f aca="false">Tabella527911247916182022242628303234363840424446[[#This Row],[Colonna5]]*$Q3</f>
        <v>21.2</v>
      </c>
      <c r="X43" s="14" t="n">
        <f aca="false">Tabella527911247916182022242628303234363840424446[[#This Row],[Colonna6]]*$Q3</f>
        <v>6</v>
      </c>
      <c r="Y43" s="14" t="n">
        <f aca="false">Tabella527911247916182022242628303234363840424446[[#This Row],[Colonna7]]*$Q3</f>
        <v>35.2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7</v>
      </c>
      <c r="H44" s="13" t="n">
        <v>3</v>
      </c>
      <c r="I44" s="13" t="n">
        <v>6</v>
      </c>
      <c r="J44" s="13" t="n">
        <v>13</v>
      </c>
      <c r="K44" s="13" t="n">
        <v>7</v>
      </c>
      <c r="L44" s="13" t="n">
        <v>2</v>
      </c>
      <c r="M44" s="13" t="n">
        <v>3</v>
      </c>
      <c r="P44" s="12" t="s">
        <v>51</v>
      </c>
      <c r="Q44" s="12"/>
      <c r="R44" s="12"/>
      <c r="S44" s="14" t="n">
        <f aca="false">Tabella527911247916182022242628303234363840424446[[#This Row],[Colonna1]]*$Q3</f>
        <v>2.8</v>
      </c>
      <c r="T44" s="14" t="n">
        <f aca="false">Tabella527911247916182022242628303234363840424446[[#This Row],[Colonna2]]*$Q3</f>
        <v>1.2</v>
      </c>
      <c r="U44" s="14" t="n">
        <f aca="false">Tabella527911247916182022242628303234363840424446[[#This Row],[Colonna3]]*$Q3</f>
        <v>2.4</v>
      </c>
      <c r="V44" s="14" t="n">
        <f aca="false">Tabella527911247916182022242628303234363840424446[[#This Row],[Colonna4]]*$Q3</f>
        <v>5.2</v>
      </c>
      <c r="W44" s="14" t="n">
        <f aca="false">Tabella527911247916182022242628303234363840424446[[#This Row],[Colonna5]]*$Q3</f>
        <v>2.8</v>
      </c>
      <c r="X44" s="14" t="n">
        <f aca="false">Tabella527911247916182022242628303234363840424446[[#This Row],[Colonna6]]*$Q3</f>
        <v>0.8</v>
      </c>
      <c r="Y44" s="14" t="n">
        <f aca="false">Tabella527911247916182022242628303234363840424446[[#This Row],[Colonna7]]*$Q3</f>
        <v>1.2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 t="n">
        <v>6</v>
      </c>
      <c r="J47" s="13"/>
      <c r="K47" s="13" t="n">
        <v>4</v>
      </c>
      <c r="L47" s="13" t="n">
        <v>1</v>
      </c>
      <c r="M47" s="13" t="n">
        <v>2</v>
      </c>
      <c r="P47" s="16" t="s">
        <v>54</v>
      </c>
      <c r="Q47" s="16"/>
      <c r="R47" s="16"/>
      <c r="S47" s="14"/>
      <c r="T47" s="14"/>
      <c r="U47" s="14" t="n">
        <f aca="false">Tabella527911247916182022242628303234363840424446[[#This Row],[Colonna3]]*$Q3</f>
        <v>2.4</v>
      </c>
      <c r="V47" s="14"/>
      <c r="W47" s="14" t="n">
        <f aca="false">Tabella527911247916182022242628303234363840424446[[#This Row],[Colonna5]]*$Q3</f>
        <v>1.6</v>
      </c>
      <c r="X47" s="14" t="n">
        <f aca="false">Tabella527911247916182022242628303234363840424446[[#This Row],[Colonna6]]*$Q3</f>
        <v>0.4</v>
      </c>
      <c r="Y47" s="14" t="n">
        <f aca="false">Tabella527911247916182022242628303234363840424446[[#This Row],[Colonna7]]*$Q3</f>
        <v>0.8</v>
      </c>
    </row>
    <row r="48" customFormat="false" ht="15" hidden="false" customHeight="false" outlineLevel="0" collapsed="false">
      <c r="D48" s="12" t="s">
        <v>55</v>
      </c>
      <c r="E48" s="12"/>
      <c r="F48" s="12"/>
      <c r="G48" s="13" t="n">
        <v>11</v>
      </c>
      <c r="H48" s="13" t="n">
        <v>1</v>
      </c>
      <c r="I48" s="13" t="n">
        <v>10</v>
      </c>
      <c r="J48" s="13" t="n">
        <v>13</v>
      </c>
      <c r="K48" s="13" t="n">
        <v>2</v>
      </c>
      <c r="L48" s="13" t="n">
        <v>3</v>
      </c>
      <c r="M48" s="13" t="n">
        <v>11</v>
      </c>
      <c r="P48" s="12" t="s">
        <v>55</v>
      </c>
      <c r="Q48" s="12"/>
      <c r="R48" s="12"/>
      <c r="S48" s="14" t="n">
        <f aca="false">Tabella527911247916182022242628303234363840424446[[#This Row],[Colonna1]]*$Q3</f>
        <v>4.4</v>
      </c>
      <c r="T48" s="14" t="n">
        <f aca="false">Tabella527911247916182022242628303234363840424446[[#This Row],[Colonna2]]*$Q3</f>
        <v>0.4</v>
      </c>
      <c r="U48" s="14" t="n">
        <f aca="false">Tabella527911247916182022242628303234363840424446[[#This Row],[Colonna3]]*$Q3</f>
        <v>4</v>
      </c>
      <c r="V48" s="14" t="n">
        <f aca="false">Tabella527911247916182022242628303234363840424446[[#This Row],[Colonna4]]*$Q3</f>
        <v>5.2</v>
      </c>
      <c r="W48" s="14" t="n">
        <f aca="false">Tabella527911247916182022242628303234363840424446[[#This Row],[Colonna5]]*$Q3</f>
        <v>0.8</v>
      </c>
      <c r="X48" s="14" t="n">
        <f aca="false">Tabella527911247916182022242628303234363840424446[[#This Row],[Colonna6]]*$Q3</f>
        <v>1.2</v>
      </c>
      <c r="Y48" s="14" t="n">
        <f aca="false">Tabella527911247916182022242628303234363840424446[[#This Row],[Colonna7]]*$Q3</f>
        <v>4.4</v>
      </c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 t="n">
        <v>1</v>
      </c>
      <c r="K50" s="13" t="n">
        <v>1</v>
      </c>
      <c r="L50" s="13"/>
      <c r="M50" s="13"/>
      <c r="P50" s="9" t="s">
        <v>57</v>
      </c>
      <c r="Q50" s="9"/>
      <c r="R50" s="9"/>
      <c r="S50" s="14"/>
      <c r="T50" s="14"/>
      <c r="U50" s="14"/>
      <c r="V50" s="14" t="n">
        <f aca="false">Tabella527911247916182022242628303234363840424446[[#This Row],[Colonna4]]*$Q3</f>
        <v>0.4</v>
      </c>
      <c r="W50" s="14" t="n">
        <f aca="false">Tabella527911247916182022242628303234363840424446[[#This Row],[Colonna5]]*$Q3</f>
        <v>0.4</v>
      </c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24</v>
      </c>
      <c r="H52" s="13" t="n">
        <v>26</v>
      </c>
      <c r="I52" s="13" t="n">
        <v>42</v>
      </c>
      <c r="J52" s="13" t="n">
        <v>26</v>
      </c>
      <c r="K52" s="13" t="n">
        <v>23</v>
      </c>
      <c r="L52" s="13" t="n">
        <v>13</v>
      </c>
      <c r="M52" s="13" t="n">
        <v>10</v>
      </c>
      <c r="P52" s="12" t="s">
        <v>59</v>
      </c>
      <c r="Q52" s="12"/>
      <c r="R52" s="12"/>
      <c r="S52" s="14" t="n">
        <f aca="false">Tabella527911247916182022242628303234363840424446[[#This Row],[Colonna1]]*$Q3</f>
        <v>9.6</v>
      </c>
      <c r="T52" s="14" t="n">
        <f aca="false">Tabella527911247916182022242628303234363840424446[[#This Row],[Colonna2]]*$Q3</f>
        <v>10.4</v>
      </c>
      <c r="U52" s="14" t="n">
        <f aca="false">Tabella527911247916182022242628303234363840424446[[#This Row],[Colonna3]]*$Q3</f>
        <v>16.8</v>
      </c>
      <c r="V52" s="14" t="n">
        <f aca="false">Tabella527911247916182022242628303234363840424446[[#This Row],[Colonna4]]*$Q3</f>
        <v>10.4</v>
      </c>
      <c r="W52" s="14" t="n">
        <f aca="false">Tabella527911247916182022242628303234363840424446[[#This Row],[Colonna5]]*$Q3</f>
        <v>9.2</v>
      </c>
      <c r="X52" s="14" t="n">
        <f aca="false">Tabella527911247916182022242628303234363840424446[[#This Row],[Colonna6]]*$Q3</f>
        <v>5.2</v>
      </c>
      <c r="Y52" s="14" t="n">
        <f aca="false">Tabella527911247916182022242628303234363840424446[[#This Row],[Colonna7]]*$Q3</f>
        <v>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SUM(G52,G48,G44,G43,G41,G38,G34,G31,G29,G28,G27,G23,G22,G19,G10,G7,G6)</f>
        <v>1016</v>
      </c>
      <c r="H53" s="55" t="n">
        <f aca="false">SUM(H52,H48,H44,H43,H41,H38,H34,H31,H29,H28,H22,H20,H19,H10)</f>
        <v>1704</v>
      </c>
      <c r="I53" s="55" t="n">
        <f aca="false">SUM(I52,I48,I47,I44,I43,I41,I38,I34,I31,I29,I28,I27,I23,I22,I20,I19,I7,I10,I15)</f>
        <v>3363</v>
      </c>
      <c r="J53" s="55" t="n">
        <f aca="false">SUM(J52,J50,J48,J44,J43,J41,J34,J31,J29,J28,J22,J20,J19,J10,J7)</f>
        <v>1828</v>
      </c>
      <c r="K53" s="55" t="n">
        <f aca="false">SUM(K52,K50,K48,K47,K44,K43,K34,K31,K29,K28,K27,K23,K22,K21,K20,K10,K7,K6)</f>
        <v>2926</v>
      </c>
      <c r="L53" s="55" t="n">
        <f aca="false">SUM(L52,L48,L47,L44,L43,L41,L34,L31,L29,L28,L23,L22,L21,L20,L10,L9,L7,L6)</f>
        <v>3169</v>
      </c>
      <c r="M53" s="55" t="n">
        <f aca="false">SUM(M52,M48,M47,M44,M43,M41,M34,M31,M29,M28,M27,M23,M22,M21,M20,M19,M10,M9,M7,M6)</f>
        <v>1902</v>
      </c>
      <c r="P53" s="17" t="s">
        <v>60</v>
      </c>
      <c r="Q53" s="17"/>
      <c r="R53" s="17"/>
      <c r="S53" s="56" t="n">
        <f aca="false">Tabella527911247916182022242628303234363840424446[[#This Row],[Colonna1]]*$Q3</f>
        <v>406.4</v>
      </c>
      <c r="T53" s="56" t="n">
        <f aca="false">Tabella527911247916182022242628303234363840424446[[#This Row],[Colonna2]]*$Q3</f>
        <v>681.6</v>
      </c>
      <c r="U53" s="56" t="n">
        <f aca="false">Tabella527911247916182022242628303234363840424446[[#This Row],[Colonna3]]*$Q3</f>
        <v>1345.2</v>
      </c>
      <c r="V53" s="56" t="n">
        <f aca="false">Tabella527911247916182022242628303234363840424446[[#This Row],[Colonna4]]*$Q3</f>
        <v>731.2</v>
      </c>
      <c r="W53" s="56" t="n">
        <f aca="false">Tabella527911247916182022242628303234363840424446[[#This Row],[Colonna5]]*$Q3</f>
        <v>1170.4</v>
      </c>
      <c r="X53" s="56" t="n">
        <f aca="false">Tabella527911247916182022242628303234363840424446[[#This Row],[Colonna6]]*$Q3</f>
        <v>1267.6</v>
      </c>
      <c r="Y53" s="56" t="n">
        <f aca="false">Tabella527911247916182022242628303234363840424446[[#This Row],[Colonna7]]*$Q3</f>
        <v>760.8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8</v>
      </c>
      <c r="H58" s="26" t="n">
        <v>9</v>
      </c>
      <c r="I58" s="26" t="n">
        <v>17</v>
      </c>
      <c r="J58" s="26" t="n">
        <v>16</v>
      </c>
      <c r="K58" s="26" t="n">
        <v>34</v>
      </c>
      <c r="L58" s="26" t="n">
        <v>44</v>
      </c>
      <c r="M58" s="26" t="n">
        <v>32</v>
      </c>
      <c r="P58" s="23" t="s">
        <v>62</v>
      </c>
      <c r="Q58" s="23"/>
      <c r="R58" s="23"/>
      <c r="S58" s="57" t="n">
        <f aca="false">G58*$Q3</f>
        <v>3.2</v>
      </c>
      <c r="T58" s="57" t="n">
        <f aca="false">H58*$Q3</f>
        <v>3.6</v>
      </c>
      <c r="U58" s="57" t="n">
        <f aca="false">I58*$Q3</f>
        <v>6.8</v>
      </c>
      <c r="V58" s="57" t="n">
        <f aca="false">J58*$Q3</f>
        <v>6.4</v>
      </c>
      <c r="W58" s="57" t="n">
        <f aca="false">K58*$Q3</f>
        <v>13.6</v>
      </c>
      <c r="X58" s="57" t="n">
        <f aca="false">L58*$Q3</f>
        <v>17.6</v>
      </c>
      <c r="Y58" s="57" t="n">
        <f aca="false">M58*$Q3</f>
        <v>12.8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 t="n">
        <v>1</v>
      </c>
      <c r="L62" s="26" t="n">
        <v>1</v>
      </c>
      <c r="M62" s="26"/>
      <c r="P62" s="9" t="s">
        <v>66</v>
      </c>
      <c r="Q62" s="9"/>
      <c r="R62" s="9"/>
      <c r="S62" s="57"/>
      <c r="T62" s="57"/>
      <c r="U62" s="57"/>
      <c r="V62" s="57"/>
      <c r="W62" s="27" t="n">
        <f aca="false">K62*$Q3</f>
        <v>0.4</v>
      </c>
      <c r="X62" s="27" t="n">
        <f aca="false">L62*$Q3</f>
        <v>0.4</v>
      </c>
      <c r="Y62" s="27"/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/>
      <c r="K63" s="26" t="n">
        <v>2</v>
      </c>
      <c r="L63" s="26" t="n">
        <v>1</v>
      </c>
      <c r="M63" s="26" t="n">
        <v>3</v>
      </c>
      <c r="P63" s="9" t="s">
        <v>67</v>
      </c>
      <c r="Q63" s="9"/>
      <c r="R63" s="9"/>
      <c r="S63" s="57"/>
      <c r="T63" s="27"/>
      <c r="U63" s="27"/>
      <c r="V63" s="27"/>
      <c r="W63" s="27" t="n">
        <f aca="false">K63*$Q3</f>
        <v>0.8</v>
      </c>
      <c r="X63" s="27" t="n">
        <f aca="false">L63*$Q3</f>
        <v>0.4</v>
      </c>
      <c r="Y63" s="27" t="n">
        <f aca="false">M63*$Q3</f>
        <v>1.2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1</v>
      </c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0.4</v>
      </c>
      <c r="T64" s="27"/>
      <c r="U64" s="27"/>
      <c r="V64" s="27"/>
      <c r="W64" s="27"/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 t="n">
        <v>2</v>
      </c>
      <c r="J65" s="26" t="n">
        <v>59</v>
      </c>
      <c r="K65" s="26" t="n">
        <v>9</v>
      </c>
      <c r="L65" s="26" t="n">
        <v>5</v>
      </c>
      <c r="M65" s="26"/>
      <c r="P65" s="9" t="s">
        <v>69</v>
      </c>
      <c r="Q65" s="9"/>
      <c r="R65" s="9"/>
      <c r="S65" s="57"/>
      <c r="T65" s="27"/>
      <c r="U65" s="27" t="n">
        <f aca="false">I65*$Q3</f>
        <v>0.8</v>
      </c>
      <c r="V65" s="27" t="n">
        <f aca="false">J65*$Q3</f>
        <v>23.6</v>
      </c>
      <c r="W65" s="27" t="n">
        <f aca="false">K65*$Q3</f>
        <v>3.6</v>
      </c>
      <c r="X65" s="27" t="n">
        <f aca="false">L65*$Q3</f>
        <v>2</v>
      </c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1</v>
      </c>
      <c r="H67" s="26" t="n">
        <v>2</v>
      </c>
      <c r="I67" s="26" t="n">
        <v>1</v>
      </c>
      <c r="J67" s="26" t="n">
        <v>4</v>
      </c>
      <c r="K67" s="26" t="n">
        <v>12</v>
      </c>
      <c r="L67" s="26" t="n">
        <v>10</v>
      </c>
      <c r="M67" s="26" t="n">
        <v>12</v>
      </c>
      <c r="P67" s="9" t="s">
        <v>71</v>
      </c>
      <c r="Q67" s="9"/>
      <c r="R67" s="9"/>
      <c r="S67" s="57" t="n">
        <f aca="false">G67*$Q3</f>
        <v>0.4</v>
      </c>
      <c r="T67" s="57" t="n">
        <f aca="false">H67*$Q3</f>
        <v>0.8</v>
      </c>
      <c r="U67" s="57" t="n">
        <f aca="false">I67*$Q3</f>
        <v>0.4</v>
      </c>
      <c r="V67" s="57" t="n">
        <f aca="false">J67*$Q3</f>
        <v>1.6</v>
      </c>
      <c r="W67" s="57" t="n">
        <f aca="false">K67*$Q3</f>
        <v>4.8</v>
      </c>
      <c r="X67" s="57" t="n">
        <f aca="false">L67*$Q3</f>
        <v>4</v>
      </c>
      <c r="Y67" s="57" t="n">
        <f aca="false">M67*$Q3</f>
        <v>4.8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3</v>
      </c>
      <c r="H68" s="30" t="n">
        <v>6</v>
      </c>
      <c r="I68" s="30" t="n">
        <v>9</v>
      </c>
      <c r="J68" s="30" t="n">
        <v>31</v>
      </c>
      <c r="K68" s="30" t="n">
        <v>5</v>
      </c>
      <c r="L68" s="30" t="n">
        <v>7</v>
      </c>
      <c r="M68" s="30" t="n">
        <v>9</v>
      </c>
      <c r="P68" s="9" t="s">
        <v>72</v>
      </c>
      <c r="Q68" s="9"/>
      <c r="R68" s="9"/>
      <c r="S68" s="59" t="n">
        <f aca="false">G68*$Q3</f>
        <v>1.2</v>
      </c>
      <c r="T68" s="59" t="n">
        <f aca="false">H68*$Q3</f>
        <v>2.4</v>
      </c>
      <c r="U68" s="59" t="n">
        <f aca="false">I68*$Q3</f>
        <v>3.6</v>
      </c>
      <c r="V68" s="59" t="n">
        <f aca="false">J68*$Q3</f>
        <v>12.4</v>
      </c>
      <c r="W68" s="59" t="n">
        <f aca="false">K68*$Q3</f>
        <v>2</v>
      </c>
      <c r="X68" s="59" t="n">
        <f aca="false">L68*$Q3</f>
        <v>2.8</v>
      </c>
      <c r="Y68" s="59" t="n">
        <f aca="false">M68*$Q3</f>
        <v>3.6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</v>
      </c>
      <c r="H69" s="30" t="n">
        <v>1</v>
      </c>
      <c r="I69" s="30" t="n">
        <v>7</v>
      </c>
      <c r="J69" s="30" t="n">
        <v>4</v>
      </c>
      <c r="K69" s="30"/>
      <c r="L69" s="30" t="n">
        <v>4</v>
      </c>
      <c r="M69" s="30"/>
      <c r="P69" s="9" t="s">
        <v>73</v>
      </c>
      <c r="Q69" s="9"/>
      <c r="R69" s="9"/>
      <c r="S69" s="59" t="n">
        <f aca="false">G69*$Q3</f>
        <v>0.4</v>
      </c>
      <c r="T69" s="59" t="n">
        <f aca="false">H69*$Q3</f>
        <v>0.4</v>
      </c>
      <c r="U69" s="59" t="n">
        <f aca="false">I69*$Q3</f>
        <v>2.8</v>
      </c>
      <c r="V69" s="59" t="n">
        <f aca="false">J69*$Q3</f>
        <v>1.6</v>
      </c>
      <c r="W69" s="59"/>
      <c r="X69" s="59" t="n">
        <f aca="false">L69*$Q3</f>
        <v>1.6</v>
      </c>
      <c r="Y69" s="31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SUM(G58,G64,G67,G68,G69)</f>
        <v>14</v>
      </c>
      <c r="H70" s="60" t="n">
        <f aca="false">SUM(H58,H67,H68,H69)</f>
        <v>18</v>
      </c>
      <c r="I70" s="60" t="n">
        <f aca="false">SUM(I58,I65,I67,I68,I69)</f>
        <v>36</v>
      </c>
      <c r="J70" s="60" t="n">
        <f aca="false">SUM(J58,J65,J67,J68,J69)</f>
        <v>114</v>
      </c>
      <c r="K70" s="12" t="n">
        <f aca="false">SUM(K58,K62,K63,K65,K67,K68)</f>
        <v>63</v>
      </c>
      <c r="L70" s="12" t="n">
        <f aca="false">SUM(L58,L62,L63,L65,L67,L68,L69)</f>
        <v>72</v>
      </c>
      <c r="M70" s="12" t="n">
        <f aca="false">SUM(M58,M63,M67,M68)</f>
        <v>56</v>
      </c>
      <c r="P70" s="9" t="s">
        <v>60</v>
      </c>
      <c r="Q70" s="9"/>
      <c r="R70" s="9"/>
      <c r="S70" s="61" t="n">
        <f aca="false">G70*$Q3</f>
        <v>5.6</v>
      </c>
      <c r="T70" s="61" t="n">
        <f aca="false">H70*$Q3</f>
        <v>7.2</v>
      </c>
      <c r="U70" s="61" t="n">
        <f aca="false">I70*$Q3</f>
        <v>14.4</v>
      </c>
      <c r="V70" s="61" t="n">
        <f aca="false">J70*$Q3</f>
        <v>45.6</v>
      </c>
      <c r="W70" s="61" t="n">
        <f aca="false">K70*$Q3</f>
        <v>25.2</v>
      </c>
      <c r="X70" s="61" t="n">
        <f aca="false">L70*$Q3</f>
        <v>28.8</v>
      </c>
      <c r="Y70" s="61" t="n">
        <f aca="false">M70*$Q3</f>
        <v>22.4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L31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45040</v>
      </c>
      <c r="K3" s="5" t="n">
        <v>45046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45040</v>
      </c>
      <c r="W3" s="5" t="n">
        <v>45046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6</v>
      </c>
      <c r="H7" s="13" t="n">
        <v>5</v>
      </c>
      <c r="I7" s="13" t="n">
        <v>4</v>
      </c>
      <c r="J7" s="13" t="n">
        <v>3</v>
      </c>
      <c r="K7" s="13" t="n">
        <v>1</v>
      </c>
      <c r="L7" s="13" t="n">
        <v>3</v>
      </c>
      <c r="M7" s="13"/>
      <c r="P7" s="12" t="s">
        <v>14</v>
      </c>
      <c r="Q7" s="12"/>
      <c r="R7" s="12"/>
      <c r="S7" s="14" t="n">
        <f aca="false">Tabella52791124791618202224262830323436384042444648[[#This Row],[Colonna1]]*$Q3</f>
        <v>2.4</v>
      </c>
      <c r="T7" s="14" t="n">
        <f aca="false">Tabella52791124791618202224262830323436384042444648[[#This Row],[Colonna2]]*$Q3</f>
        <v>2</v>
      </c>
      <c r="U7" s="14" t="n">
        <f aca="false">Tabella52791124791618202224262830323436384042444648[[#This Row],[Colonna3]]*$Q3</f>
        <v>1.6</v>
      </c>
      <c r="V7" s="14" t="n">
        <f aca="false">Tabella52791124791618202224262830323436384042444648[[#This Row],[Colonna4]]*$Q3</f>
        <v>1.2</v>
      </c>
      <c r="W7" s="14" t="n">
        <f aca="false">Tabella52791124791618202224262830323436384042444648[[#This Row],[Colonna5]]*$Q3</f>
        <v>0.4</v>
      </c>
      <c r="X7" s="14" t="n">
        <f aca="false">Tabella52791124791618202224262830323436384042444648[[#This Row],[Colonna6]]*$Q3</f>
        <v>1.2</v>
      </c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1</v>
      </c>
      <c r="H9" s="13" t="n">
        <v>1</v>
      </c>
      <c r="I9" s="13"/>
      <c r="J9" s="13"/>
      <c r="K9" s="13"/>
      <c r="L9" s="13"/>
      <c r="M9" s="13"/>
      <c r="P9" s="12" t="s">
        <v>16</v>
      </c>
      <c r="Q9" s="12"/>
      <c r="R9" s="12"/>
      <c r="S9" s="14" t="n">
        <f aca="false">Tabella52791124791618202224262830323436384042444648[[#This Row],[Colonna1]]*$Q3</f>
        <v>0.4</v>
      </c>
      <c r="T9" s="14" t="n">
        <f aca="false">Tabella52791124791618202224262830323436384042444648[[#This Row],[Colonna2]]*$Q3</f>
        <v>0.4</v>
      </c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43</v>
      </c>
      <c r="H10" s="13" t="n">
        <v>25</v>
      </c>
      <c r="I10" s="13" t="n">
        <v>62</v>
      </c>
      <c r="J10" s="13" t="n">
        <v>58</v>
      </c>
      <c r="K10" s="13" t="n">
        <v>51</v>
      </c>
      <c r="L10" s="13" t="n">
        <v>13</v>
      </c>
      <c r="M10" s="13" t="n">
        <v>2</v>
      </c>
      <c r="P10" s="12" t="s">
        <v>17</v>
      </c>
      <c r="Q10" s="12"/>
      <c r="R10" s="12"/>
      <c r="S10" s="14" t="n">
        <f aca="false">Tabella52791124791618202224262830323436384042444648[[#This Row],[Colonna1]]*$Q3</f>
        <v>17.2</v>
      </c>
      <c r="T10" s="14" t="n">
        <f aca="false">Tabella52791124791618202224262830323436384042444648[[#This Row],[Colonna2]]*$Q3</f>
        <v>10</v>
      </c>
      <c r="U10" s="14" t="n">
        <f aca="false">Tabella52791124791618202224262830323436384042444648[[#This Row],[Colonna3]]*$Q3</f>
        <v>24.8</v>
      </c>
      <c r="V10" s="14" t="n">
        <f aca="false">Tabella52791124791618202224262830323436384042444648[[#This Row],[Colonna4]]*$Q3</f>
        <v>23.2</v>
      </c>
      <c r="W10" s="14" t="n">
        <f aca="false">Tabella52791124791618202224262830323436384042444648[[#This Row],[Colonna5]]*$Q3</f>
        <v>20.4</v>
      </c>
      <c r="X10" s="14" t="n">
        <f aca="false">Tabella52791124791618202224262830323436384042444648[[#This Row],[Colonna6]]*$Q3</f>
        <v>5.2</v>
      </c>
      <c r="Y10" s="14" t="n">
        <f aca="false">Tabella52791124791618202224262830323436384042444648[[#This Row],[Colonna7]]*$Q3</f>
        <v>0.8</v>
      </c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 t="n">
        <v>8</v>
      </c>
      <c r="H19" s="13" t="n">
        <v>6</v>
      </c>
      <c r="I19" s="13" t="n">
        <v>8</v>
      </c>
      <c r="J19" s="13" t="n">
        <v>6</v>
      </c>
      <c r="K19" s="13" t="n">
        <v>14</v>
      </c>
      <c r="L19" s="13" t="n">
        <v>4</v>
      </c>
      <c r="M19" s="13" t="n">
        <v>1</v>
      </c>
      <c r="P19" s="9" t="s">
        <v>26</v>
      </c>
      <c r="Q19" s="9"/>
      <c r="R19" s="9"/>
      <c r="S19" s="14" t="n">
        <f aca="false">Tabella52791124791618202224262830323436384042444648[[#This Row],[Colonna1]]*$Q3</f>
        <v>3.2</v>
      </c>
      <c r="T19" s="14" t="n">
        <f aca="false">Tabella52791124791618202224262830323436384042444648[[#This Row],[Colonna2]]*$Q3</f>
        <v>2.4</v>
      </c>
      <c r="U19" s="14" t="n">
        <f aca="false">Tabella52791124791618202224262830323436384042444648[[#This Row],[Colonna3]]*$Q3</f>
        <v>3.2</v>
      </c>
      <c r="V19" s="14" t="n">
        <f aca="false">Tabella52791124791618202224262830323436384042444648[[#This Row],[Colonna4]]*$Q3</f>
        <v>2.4</v>
      </c>
      <c r="W19" s="14" t="n">
        <f aca="false">Tabella52791124791618202224262830323436384042444648[[#This Row],[Colonna5]]*$Q3</f>
        <v>5.6</v>
      </c>
      <c r="X19" s="14" t="n">
        <f aca="false">Tabella52791124791618202224262830323436384042444648[[#This Row],[Colonna6]]*$Q3</f>
        <v>1.6</v>
      </c>
      <c r="Y19" s="14" t="n">
        <f aca="false">Tabella52791124791618202224262830323436384042444648[[#This Row],[Colonna7]]*$Q3</f>
        <v>0.4</v>
      </c>
    </row>
    <row r="20" customFormat="false" ht="15" hidden="false" customHeight="false" outlineLevel="0" collapsed="false">
      <c r="D20" s="9" t="s">
        <v>27</v>
      </c>
      <c r="E20" s="9"/>
      <c r="F20" s="9"/>
      <c r="G20" s="13" t="n">
        <v>51</v>
      </c>
      <c r="H20" s="13" t="n">
        <v>14</v>
      </c>
      <c r="I20" s="13" t="n">
        <v>57</v>
      </c>
      <c r="J20" s="13" t="n">
        <v>113</v>
      </c>
      <c r="K20" s="13" t="n">
        <v>120</v>
      </c>
      <c r="L20" s="13" t="n">
        <v>38</v>
      </c>
      <c r="M20" s="13" t="n">
        <v>11</v>
      </c>
      <c r="P20" s="9" t="s">
        <v>27</v>
      </c>
      <c r="Q20" s="9"/>
      <c r="R20" s="9"/>
      <c r="S20" s="14" t="n">
        <f aca="false">Tabella52791124791618202224262830323436384042444648[[#This Row],[Colonna1]]*$Q3</f>
        <v>20.4</v>
      </c>
      <c r="T20" s="14" t="n">
        <f aca="false">Tabella52791124791618202224262830323436384042444648[[#This Row],[Colonna2]]*$Q3</f>
        <v>5.6</v>
      </c>
      <c r="U20" s="14" t="n">
        <f aca="false">Tabella52791124791618202224262830323436384042444648[[#This Row],[Colonna3]]*$Q3</f>
        <v>22.8</v>
      </c>
      <c r="V20" s="14" t="n">
        <f aca="false">Tabella52791124791618202224262830323436384042444648[[#This Row],[Colonna4]]*$Q3</f>
        <v>45.2</v>
      </c>
      <c r="W20" s="14" t="n">
        <f aca="false">Tabella52791124791618202224262830323436384042444648[[#This Row],[Colonna5]]*$Q3</f>
        <v>48</v>
      </c>
      <c r="X20" s="14" t="n">
        <f aca="false">Tabella52791124791618202224262830323436384042444648[[#This Row],[Colonna6]]*$Q3</f>
        <v>15.2</v>
      </c>
      <c r="Y20" s="14" t="n">
        <f aca="false">Tabella52791124791618202224262830323436384042444648[[#This Row],[Colonna7]]*$Q3</f>
        <v>4.4</v>
      </c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1</v>
      </c>
      <c r="H21" s="13"/>
      <c r="I21" s="13" t="n">
        <v>7</v>
      </c>
      <c r="J21" s="13" t="n">
        <v>14</v>
      </c>
      <c r="K21" s="13" t="n">
        <v>8</v>
      </c>
      <c r="L21" s="13"/>
      <c r="M21" s="13" t="n">
        <v>1</v>
      </c>
      <c r="P21" s="16" t="s">
        <v>28</v>
      </c>
      <c r="Q21" s="16"/>
      <c r="R21" s="16"/>
      <c r="S21" s="14" t="n">
        <f aca="false">Tabella52791124791618202224262830323436384042444648[[#This Row],[Colonna1]]*$Q3</f>
        <v>0.4</v>
      </c>
      <c r="T21" s="14"/>
      <c r="U21" s="14" t="n">
        <f aca="false">Tabella52791124791618202224262830323436384042444648[[#This Row],[Colonna3]]*$Q3</f>
        <v>2.8</v>
      </c>
      <c r="V21" s="14" t="n">
        <f aca="false">Tabella52791124791618202224262830323436384042444648[[#This Row],[Colonna4]]*$Q3</f>
        <v>5.6</v>
      </c>
      <c r="W21" s="14" t="n">
        <f aca="false">Tabella52791124791618202224262830323436384042444648[[#This Row],[Colonna5]]*$Q3</f>
        <v>3.2</v>
      </c>
      <c r="X21" s="14"/>
      <c r="Y21" s="14" t="n">
        <f aca="false">Tabella52791124791618202224262830323436384042444648[[#This Row],[Colonna7]]*$Q3</f>
        <v>0.4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</v>
      </c>
      <c r="H22" s="13" t="n">
        <v>4</v>
      </c>
      <c r="I22" s="13" t="n">
        <v>3</v>
      </c>
      <c r="J22" s="13" t="n">
        <v>7</v>
      </c>
      <c r="K22" s="13" t="n">
        <v>17</v>
      </c>
      <c r="L22" s="13" t="n">
        <v>16</v>
      </c>
      <c r="M22" s="13" t="n">
        <v>13</v>
      </c>
      <c r="P22" s="12" t="s">
        <v>29</v>
      </c>
      <c r="Q22" s="12"/>
      <c r="R22" s="12"/>
      <c r="S22" s="14" t="n">
        <f aca="false">Tabella52791124791618202224262830323436384042444648[[#This Row],[Colonna1]]*$Q3</f>
        <v>0.8</v>
      </c>
      <c r="T22" s="14" t="n">
        <f aca="false">Tabella52791124791618202224262830323436384042444648[[#This Row],[Colonna2]]*$Q3</f>
        <v>1.6</v>
      </c>
      <c r="U22" s="14" t="n">
        <f aca="false">Tabella52791124791618202224262830323436384042444648[[#This Row],[Colonna3]]*$Q3</f>
        <v>1.2</v>
      </c>
      <c r="V22" s="14" t="n">
        <f aca="false">Tabella52791124791618202224262830323436384042444648[[#This Row],[Colonna4]]*$Q3</f>
        <v>2.8</v>
      </c>
      <c r="W22" s="14" t="n">
        <f aca="false">Tabella52791124791618202224262830323436384042444648[[#This Row],[Colonna5]]*$Q3</f>
        <v>6.8</v>
      </c>
      <c r="X22" s="14" t="n">
        <f aca="false">Tabella52791124791618202224262830323436384042444648[[#This Row],[Colonna6]]*$Q3</f>
        <v>6.4</v>
      </c>
      <c r="Y22" s="14" t="n">
        <f aca="false">Tabella52791124791618202224262830323436384042444648[[#This Row],[Colonna7]]*$Q3</f>
        <v>5.2</v>
      </c>
    </row>
    <row r="23" customFormat="false" ht="15" hidden="false" customHeight="false" outlineLevel="0" collapsed="false">
      <c r="D23" s="17" t="s">
        <v>30</v>
      </c>
      <c r="E23" s="17"/>
      <c r="F23" s="17"/>
      <c r="G23" s="13" t="n">
        <v>7</v>
      </c>
      <c r="H23" s="13" t="n">
        <v>3</v>
      </c>
      <c r="I23" s="13"/>
      <c r="J23" s="13" t="n">
        <v>5</v>
      </c>
      <c r="K23" s="13" t="n">
        <v>7</v>
      </c>
      <c r="L23" s="13" t="n">
        <v>1</v>
      </c>
      <c r="M23" s="13"/>
      <c r="P23" s="17" t="s">
        <v>30</v>
      </c>
      <c r="Q23" s="17"/>
      <c r="R23" s="17"/>
      <c r="S23" s="14" t="n">
        <f aca="false">Tabella52791124791618202224262830323436384042444648[[#This Row],[Colonna1]]*$Q3</f>
        <v>2.8</v>
      </c>
      <c r="T23" s="14" t="n">
        <f aca="false">Tabella52791124791618202224262830323436384042444648[[#This Row],[Colonna2]]*$Q3</f>
        <v>1.2</v>
      </c>
      <c r="U23" s="14"/>
      <c r="V23" s="14" t="n">
        <f aca="false">Tabella52791124791618202224262830323436384042444648[[#This Row],[Colonna4]]*$Q3</f>
        <v>2</v>
      </c>
      <c r="W23" s="14" t="n">
        <f aca="false">Tabella52791124791618202224262830323436384042444648[[#This Row],[Colonna5]]*$Q3</f>
        <v>2.8</v>
      </c>
      <c r="X23" s="14" t="n">
        <f aca="false">Tabella52791124791618202224262830323436384042444648[[#This Row],[Colonna6]]*$Q3</f>
        <v>0.4</v>
      </c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2</v>
      </c>
      <c r="H27" s="13" t="n">
        <v>2</v>
      </c>
      <c r="I27" s="13"/>
      <c r="J27" s="13" t="n">
        <v>7</v>
      </c>
      <c r="K27" s="13" t="n">
        <v>3</v>
      </c>
      <c r="L27" s="13" t="n">
        <v>6</v>
      </c>
      <c r="M27" s="13" t="n">
        <v>1</v>
      </c>
      <c r="P27" s="12" t="s">
        <v>34</v>
      </c>
      <c r="Q27" s="12"/>
      <c r="R27" s="12"/>
      <c r="S27" s="14" t="n">
        <f aca="false">Tabella52791124791618202224262830323436384042444648[[#This Row],[Colonna1]]*$Q3</f>
        <v>0.8</v>
      </c>
      <c r="T27" s="14" t="n">
        <f aca="false">Tabella52791124791618202224262830323436384042444648[[#This Row],[Colonna2]]*$Q3</f>
        <v>0.8</v>
      </c>
      <c r="U27" s="14"/>
      <c r="V27" s="14" t="n">
        <f aca="false">Tabella52791124791618202224262830323436384042444648[[#This Row],[Colonna4]]*$Q3</f>
        <v>2.8</v>
      </c>
      <c r="W27" s="14" t="n">
        <f aca="false">Tabella52791124791618202224262830323436384042444648[[#This Row],[Colonna5]]*$Q3</f>
        <v>1.2</v>
      </c>
      <c r="X27" s="14" t="n">
        <f aca="false">Tabella52791124791618202224262830323436384042444648[[#This Row],[Colonna6]]*$Q3</f>
        <v>2.4</v>
      </c>
      <c r="Y27" s="14" t="n">
        <f aca="false">Tabella52791124791618202224262830323436384042444648[[#This Row],[Colonna7]]*$Q3</f>
        <v>0.4</v>
      </c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42</v>
      </c>
      <c r="H28" s="13" t="n">
        <v>41</v>
      </c>
      <c r="I28" s="13" t="n">
        <v>22</v>
      </c>
      <c r="J28" s="13" t="n">
        <v>46</v>
      </c>
      <c r="K28" s="13" t="n">
        <v>70</v>
      </c>
      <c r="L28" s="13" t="n">
        <v>30</v>
      </c>
      <c r="M28" s="13" t="n">
        <v>2</v>
      </c>
      <c r="P28" s="12" t="s">
        <v>35</v>
      </c>
      <c r="Q28" s="12"/>
      <c r="R28" s="12"/>
      <c r="S28" s="14" t="n">
        <f aca="false">Tabella52791124791618202224262830323436384042444648[[#This Row],[Colonna1]]*$Q3</f>
        <v>16.8</v>
      </c>
      <c r="T28" s="14" t="n">
        <f aca="false">Tabella52791124791618202224262830323436384042444648[[#This Row],[Colonna2]]*$Q3</f>
        <v>16.4</v>
      </c>
      <c r="U28" s="14" t="n">
        <f aca="false">Tabella52791124791618202224262830323436384042444648[[#This Row],[Colonna3]]*$Q3</f>
        <v>8.8</v>
      </c>
      <c r="V28" s="14" t="n">
        <f aca="false">Tabella52791124791618202224262830323436384042444648[[#This Row],[Colonna4]]*$Q3</f>
        <v>18.4</v>
      </c>
      <c r="W28" s="14" t="n">
        <f aca="false">Tabella52791124791618202224262830323436384042444648[[#This Row],[Colonna5]]*$Q3</f>
        <v>28</v>
      </c>
      <c r="X28" s="14" t="n">
        <f aca="false">Tabella52791124791618202224262830323436384042444648[[#This Row],[Colonna6]]*$Q3</f>
        <v>12</v>
      </c>
      <c r="Y28" s="14" t="n">
        <f aca="false">Tabella52791124791618202224262830323436384042444648[[#This Row],[Colonna7]]*$Q3</f>
        <v>0.8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85</v>
      </c>
      <c r="H29" s="13" t="n">
        <v>195</v>
      </c>
      <c r="I29" s="13" t="n">
        <v>103</v>
      </c>
      <c r="J29" s="13" t="n">
        <v>427</v>
      </c>
      <c r="K29" s="13" t="n">
        <v>269</v>
      </c>
      <c r="L29" s="13" t="n">
        <v>55</v>
      </c>
      <c r="M29" s="13" t="n">
        <v>90</v>
      </c>
      <c r="P29" s="12" t="s">
        <v>36</v>
      </c>
      <c r="Q29" s="12"/>
      <c r="R29" s="12"/>
      <c r="S29" s="14" t="n">
        <f aca="false">Tabella52791124791618202224262830323436384042444648[[#This Row],[Colonna1]]*$Q3</f>
        <v>34</v>
      </c>
      <c r="T29" s="14" t="n">
        <f aca="false">Tabella52791124791618202224262830323436384042444648[[#This Row],[Colonna2]]*$Q3</f>
        <v>78</v>
      </c>
      <c r="U29" s="14" t="n">
        <f aca="false">Tabella52791124791618202224262830323436384042444648[[#This Row],[Colonna3]]*$Q3</f>
        <v>41.2</v>
      </c>
      <c r="V29" s="14" t="n">
        <f aca="false">Tabella52791124791618202224262830323436384042444648[[#This Row],[Colonna4]]*$Q3</f>
        <v>170.8</v>
      </c>
      <c r="W29" s="14" t="n">
        <f aca="false">Tabella52791124791618202224262830323436384042444648[[#This Row],[Colonna5]]*$Q3</f>
        <v>107.6</v>
      </c>
      <c r="X29" s="14" t="n">
        <f aca="false">Tabella52791124791618202224262830323436384042444648[[#This Row],[Colonna6]]*$Q3</f>
        <v>22</v>
      </c>
      <c r="Y29" s="14" t="n">
        <f aca="false">Tabella52791124791618202224262830323436384042444648[[#This Row],[Colonna7]]*$Q3</f>
        <v>36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8</v>
      </c>
      <c r="H31" s="13" t="n">
        <v>11</v>
      </c>
      <c r="I31" s="13" t="n">
        <v>2</v>
      </c>
      <c r="J31" s="13" t="n">
        <v>11</v>
      </c>
      <c r="K31" s="13" t="n">
        <v>7</v>
      </c>
      <c r="L31" s="13" t="n">
        <v>4</v>
      </c>
      <c r="M31" s="13" t="n">
        <v>2</v>
      </c>
      <c r="P31" s="9" t="s">
        <v>38</v>
      </c>
      <c r="Q31" s="9"/>
      <c r="R31" s="9"/>
      <c r="S31" s="14" t="n">
        <f aca="false">Tabella52791124791618202224262830323436384042444648[[#This Row],[Colonna1]]*$Q3</f>
        <v>3.2</v>
      </c>
      <c r="T31" s="14" t="n">
        <f aca="false">Tabella52791124791618202224262830323436384042444648[[#This Row],[Colonna2]]*$Q3</f>
        <v>4.4</v>
      </c>
      <c r="U31" s="14" t="n">
        <f aca="false">Tabella52791124791618202224262830323436384042444648[[#This Row],[Colonna3]]*$Q3</f>
        <v>0.8</v>
      </c>
      <c r="V31" s="14" t="n">
        <f aca="false">Tabella52791124791618202224262830323436384042444648[[#This Row],[Colonna4]]*$Q3</f>
        <v>4.4</v>
      </c>
      <c r="W31" s="14" t="n">
        <f aca="false">Tabella52791124791618202224262830323436384042444648[[#This Row],[Colonna5]]*$Q3</f>
        <v>2.8</v>
      </c>
      <c r="X31" s="14" t="n">
        <f aca="false">Tabella52791124791618202224262830323436384042444648[[#This Row],[Colonna6]]*$Q3</f>
        <v>1.6</v>
      </c>
      <c r="Y31" s="14" t="n">
        <f aca="false">Tabella52791124791618202224262830323436384042444648[[#This Row],[Colonna7]]*$Q3</f>
        <v>0.8</v>
      </c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 t="n">
        <v>655</v>
      </c>
      <c r="H34" s="13" t="n">
        <v>441</v>
      </c>
      <c r="I34" s="13" t="n">
        <v>1311</v>
      </c>
      <c r="J34" s="13" t="n">
        <v>780</v>
      </c>
      <c r="K34" s="13" t="n">
        <v>493</v>
      </c>
      <c r="L34" s="13" t="n">
        <v>301</v>
      </c>
      <c r="M34" s="13" t="n">
        <v>169</v>
      </c>
      <c r="P34" s="9" t="s">
        <v>41</v>
      </c>
      <c r="Q34" s="9"/>
      <c r="R34" s="9"/>
      <c r="S34" s="14" t="n">
        <f aca="false">Tabella52791124791618202224262830323436384042444648[[#This Row],[Colonna1]]*$Q3</f>
        <v>262</v>
      </c>
      <c r="T34" s="14" t="n">
        <f aca="false">Tabella52791124791618202224262830323436384042444648[[#This Row],[Colonna2]]*$Q3</f>
        <v>176.4</v>
      </c>
      <c r="U34" s="14" t="n">
        <f aca="false">Tabella52791124791618202224262830323436384042444648[[#This Row],[Colonna3]]*$Q3</f>
        <v>524.4</v>
      </c>
      <c r="V34" s="14" t="n">
        <f aca="false">Tabella52791124791618202224262830323436384042444648[[#This Row],[Colonna4]]*$Q3</f>
        <v>312</v>
      </c>
      <c r="W34" s="14" t="n">
        <f aca="false">Tabella52791124791618202224262830323436384042444648[[#This Row],[Colonna5]]*$Q3</f>
        <v>197.2</v>
      </c>
      <c r="X34" s="14" t="n">
        <f aca="false">Tabella52791124791618202224262830323436384042444648[[#This Row],[Colonna6]]*$Q3</f>
        <v>120.4</v>
      </c>
      <c r="Y34" s="14" t="n">
        <f aca="false">Tabella52791124791618202224262830323436384042444648[[#This Row],[Colonna7]]*$Q3</f>
        <v>67.6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12</v>
      </c>
      <c r="H38" s="13" t="n">
        <v>9</v>
      </c>
      <c r="I38" s="13" t="n">
        <v>2</v>
      </c>
      <c r="J38" s="13" t="n">
        <v>18</v>
      </c>
      <c r="K38" s="13" t="n">
        <v>27</v>
      </c>
      <c r="L38" s="13" t="n">
        <v>19</v>
      </c>
      <c r="M38" s="13" t="n">
        <v>5</v>
      </c>
      <c r="P38" s="16" t="s">
        <v>45</v>
      </c>
      <c r="Q38" s="16"/>
      <c r="R38" s="16"/>
      <c r="S38" s="14" t="n">
        <f aca="false">Tabella52791124791618202224262830323436384042444648[[#This Row],[Colonna1]]*$Q3</f>
        <v>4.8</v>
      </c>
      <c r="T38" s="14" t="n">
        <f aca="false">Tabella52791124791618202224262830323436384042444648[[#This Row],[Colonna2]]*$Q3</f>
        <v>3.6</v>
      </c>
      <c r="U38" s="14" t="n">
        <f aca="false">Tabella52791124791618202224262830323436384042444648[[#This Row],[Colonna3]]*$Q3</f>
        <v>0.8</v>
      </c>
      <c r="V38" s="14" t="n">
        <f aca="false">Tabella52791124791618202224262830323436384042444648[[#This Row],[Colonna4]]*$Q3</f>
        <v>7.2</v>
      </c>
      <c r="W38" s="14" t="n">
        <f aca="false">Tabella52791124791618202224262830323436384042444648[[#This Row],[Colonna5]]*$Q3</f>
        <v>10.8</v>
      </c>
      <c r="X38" s="14" t="n">
        <f aca="false">Tabella52791124791618202224262830323436384042444648[[#This Row],[Colonna6]]*$Q3</f>
        <v>7.6</v>
      </c>
      <c r="Y38" s="14" t="n">
        <f aca="false">Tabella52791124791618202224262830323436384042444648[[#This Row],[Colonna7]]*$Q3</f>
        <v>2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6</v>
      </c>
      <c r="H41" s="13" t="n">
        <v>13</v>
      </c>
      <c r="I41" s="13" t="n">
        <v>3</v>
      </c>
      <c r="J41" s="13" t="n">
        <v>36</v>
      </c>
      <c r="K41" s="13" t="n">
        <v>22</v>
      </c>
      <c r="L41" s="13" t="n">
        <v>4</v>
      </c>
      <c r="M41" s="13" t="n">
        <v>3</v>
      </c>
      <c r="P41" s="18" t="s">
        <v>48</v>
      </c>
      <c r="Q41" s="18"/>
      <c r="R41" s="18"/>
      <c r="S41" s="14" t="n">
        <f aca="false">Tabella52791124791618202224262830323436384042444648[[#This Row],[Colonna1]]*$Q3</f>
        <v>2.4</v>
      </c>
      <c r="T41" s="14" t="n">
        <f aca="false">Tabella52791124791618202224262830323436384042444648[[#This Row],[Colonna2]]*$Q3</f>
        <v>5.2</v>
      </c>
      <c r="U41" s="14" t="n">
        <f aca="false">Tabella52791124791618202224262830323436384042444648[[#This Row],[Colonna3]]*$Q3</f>
        <v>1.2</v>
      </c>
      <c r="V41" s="14" t="n">
        <f aca="false">Tabella52791124791618202224262830323436384042444648[[#This Row],[Colonna4]]*$Q3</f>
        <v>14.4</v>
      </c>
      <c r="W41" s="14" t="n">
        <f aca="false">Tabella52791124791618202224262830323436384042444648[[#This Row],[Colonna5]]*$Q3</f>
        <v>8.8</v>
      </c>
      <c r="X41" s="14" t="n">
        <f aca="false">Tabella52791124791618202224262830323436384042444648[[#This Row],[Colonna6]]*$Q3</f>
        <v>1.6</v>
      </c>
      <c r="Y41" s="14" t="n">
        <f aca="false">Tabella52791124791618202224262830323436384042444648[[#This Row],[Colonna7]]*$Q3</f>
        <v>1.2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82</v>
      </c>
      <c r="H43" s="13" t="n">
        <v>35</v>
      </c>
      <c r="I43" s="13" t="n">
        <v>21</v>
      </c>
      <c r="J43" s="13" t="n">
        <v>12</v>
      </c>
      <c r="K43" s="13" t="n">
        <v>18</v>
      </c>
      <c r="L43" s="13" t="n">
        <v>21</v>
      </c>
      <c r="M43" s="13" t="n">
        <v>6</v>
      </c>
      <c r="P43" s="18" t="s">
        <v>50</v>
      </c>
      <c r="Q43" s="18"/>
      <c r="R43" s="18"/>
      <c r="S43" s="14" t="n">
        <f aca="false">Tabella52791124791618202224262830323436384042444648[[#This Row],[Colonna1]]*$Q3</f>
        <v>32.8</v>
      </c>
      <c r="T43" s="14" t="n">
        <f aca="false">Tabella52791124791618202224262830323436384042444648[[#This Row],[Colonna2]]*$Q3</f>
        <v>14</v>
      </c>
      <c r="U43" s="14" t="n">
        <f aca="false">Tabella52791124791618202224262830323436384042444648[[#This Row],[Colonna3]]*$Q3</f>
        <v>8.4</v>
      </c>
      <c r="V43" s="14" t="n">
        <f aca="false">Tabella52791124791618202224262830323436384042444648[[#This Row],[Colonna4]]*$Q3</f>
        <v>4.8</v>
      </c>
      <c r="W43" s="14" t="n">
        <f aca="false">Tabella52791124791618202224262830323436384042444648[[#This Row],[Colonna5]]*$Q3</f>
        <v>7.2</v>
      </c>
      <c r="X43" s="14" t="n">
        <f aca="false">Tabella52791124791618202224262830323436384042444648[[#This Row],[Colonna6]]*$Q3</f>
        <v>8.4</v>
      </c>
      <c r="Y43" s="14" t="n">
        <f aca="false">Tabella52791124791618202224262830323436384042444648[[#This Row],[Colonna7]]*$Q3</f>
        <v>2.4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3</v>
      </c>
      <c r="H44" s="13" t="n">
        <v>1</v>
      </c>
      <c r="I44" s="13" t="n">
        <v>2</v>
      </c>
      <c r="J44" s="13" t="n">
        <v>8</v>
      </c>
      <c r="K44" s="13" t="n">
        <v>1</v>
      </c>
      <c r="L44" s="13"/>
      <c r="M44" s="13" t="n">
        <v>1</v>
      </c>
      <c r="P44" s="12" t="s">
        <v>51</v>
      </c>
      <c r="Q44" s="12"/>
      <c r="R44" s="12"/>
      <c r="S44" s="14" t="n">
        <f aca="false">Tabella52791124791618202224262830323436384042444648[[#This Row],[Colonna1]]*$Q3</f>
        <v>1.2</v>
      </c>
      <c r="T44" s="14" t="n">
        <f aca="false">Tabella52791124791618202224262830323436384042444648[[#This Row],[Colonna2]]*$Q3</f>
        <v>0.4</v>
      </c>
      <c r="U44" s="14" t="n">
        <f aca="false">Tabella52791124791618202224262830323436384042444648[[#This Row],[Colonna3]]*$Q3</f>
        <v>0.8</v>
      </c>
      <c r="V44" s="14" t="n">
        <f aca="false">Tabella52791124791618202224262830323436384042444648[[#This Row],[Colonna4]]*$Q3</f>
        <v>3.2</v>
      </c>
      <c r="W44" s="14" t="n">
        <f aca="false">Tabella52791124791618202224262830323436384042444648[[#This Row],[Colonna5]]*$Q3</f>
        <v>0.4</v>
      </c>
      <c r="X44" s="14"/>
      <c r="Y44" s="14" t="n">
        <f aca="false">Tabella52791124791618202224262830323436384042444648[[#This Row],[Colonna7]]*$Q3</f>
        <v>0.4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1</v>
      </c>
      <c r="H47" s="13" t="n">
        <v>1</v>
      </c>
      <c r="I47" s="13"/>
      <c r="J47" s="13"/>
      <c r="K47" s="13"/>
      <c r="L47" s="13"/>
      <c r="M47" s="13"/>
      <c r="P47" s="16" t="s">
        <v>54</v>
      </c>
      <c r="Q47" s="16"/>
      <c r="R47" s="16"/>
      <c r="S47" s="14" t="n">
        <f aca="false">Tabella52791124791618202224262830323436384042444648[[#This Row],[Colonna1]]*$Q3</f>
        <v>0.4</v>
      </c>
      <c r="T47" s="14" t="n">
        <f aca="false">Tabella52791124791618202224262830323436384042444648[[#This Row],[Colonna2]]*$Q3</f>
        <v>0.4</v>
      </c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 t="n">
        <v>11</v>
      </c>
      <c r="H48" s="13" t="n">
        <v>2</v>
      </c>
      <c r="I48" s="13" t="n">
        <v>2</v>
      </c>
      <c r="J48" s="13" t="n">
        <v>1</v>
      </c>
      <c r="K48" s="13"/>
      <c r="L48" s="13"/>
      <c r="M48" s="13"/>
      <c r="P48" s="12" t="s">
        <v>55</v>
      </c>
      <c r="Q48" s="12"/>
      <c r="R48" s="12"/>
      <c r="S48" s="14" t="n">
        <f aca="false">Tabella52791124791618202224262830323436384042444648[[#This Row],[Colonna1]]*$Q3</f>
        <v>4.4</v>
      </c>
      <c r="T48" s="14" t="n">
        <f aca="false">Tabella52791124791618202224262830323436384042444648[[#This Row],[Colonna2]]*$Q3</f>
        <v>0.8</v>
      </c>
      <c r="U48" s="14" t="n">
        <f aca="false">Tabella52791124791618202224262830323436384042444648[[#This Row],[Colonna3]]*$Q3</f>
        <v>0.8</v>
      </c>
      <c r="V48" s="14" t="n">
        <f aca="false">Tabella52791124791618202224262830323436384042444648[[#This Row],[Colonna4]]*$Q3</f>
        <v>0.4</v>
      </c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 t="n">
        <v>1</v>
      </c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 t="n">
        <f aca="false">Tabella52791124791618202224262830323436384042444648[[#This Row],[Colonna2]]*$Q3</f>
        <v>0.4</v>
      </c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7</v>
      </c>
      <c r="H52" s="13" t="n">
        <v>2</v>
      </c>
      <c r="I52" s="13" t="n">
        <v>7</v>
      </c>
      <c r="J52" s="13" t="n">
        <v>6</v>
      </c>
      <c r="K52" s="13" t="n">
        <v>8</v>
      </c>
      <c r="L52" s="13" t="n">
        <v>5</v>
      </c>
      <c r="M52" s="13" t="n">
        <v>1</v>
      </c>
      <c r="P52" s="12" t="s">
        <v>59</v>
      </c>
      <c r="Q52" s="12"/>
      <c r="R52" s="12"/>
      <c r="S52" s="14" t="n">
        <f aca="false">Tabella52791124791618202224262830323436384042444648[[#This Row],[Colonna1]]*$Q3</f>
        <v>2.8</v>
      </c>
      <c r="T52" s="14" t="n">
        <f aca="false">Tabella52791124791618202224262830323436384042444648[[#This Row],[Colonna2]]*$Q3</f>
        <v>0.8</v>
      </c>
      <c r="U52" s="14" t="n">
        <f aca="false">Tabella52791124791618202224262830323436384042444648[[#This Row],[Colonna3]]*$Q3</f>
        <v>2.8</v>
      </c>
      <c r="V52" s="14" t="n">
        <f aca="false">Tabella52791124791618202224262830323436384042444648[[#This Row],[Colonna4]]*$Q3</f>
        <v>2.4</v>
      </c>
      <c r="W52" s="14" t="n">
        <f aca="false">Tabella52791124791618202224262830323436384042444648[[#This Row],[Colonna5]]*$Q3</f>
        <v>3.2</v>
      </c>
      <c r="X52" s="14" t="n">
        <f aca="false">Tabella52791124791618202224262830323436384042444648[[#This Row],[Colonna6]]*$Q3</f>
        <v>2</v>
      </c>
      <c r="Y52" s="14" t="n">
        <f aca="false">Tabella52791124791618202224262830323436384042444648[[#This Row],[Colonna7]]*$Q3</f>
        <v>0.4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SUM(G7,G9,G10,G19,G20,G21,G22,G23,G27,G28,G29,G31,G34,G38,G41,G43,G44,G47,G48,G52)</f>
        <v>1033</v>
      </c>
      <c r="H53" s="55" t="n">
        <f aca="false">SUM(H52,H50,H48,H47,H44,H43,H41,H38,H34,H31,H29,H27,H23,H22,H20,H19,H10,H9,H7)</f>
        <v>771</v>
      </c>
      <c r="I53" s="55" t="n">
        <f aca="false">SUM(I7,I10,I19,I20,I21,I22,I28,I29,I31,I34,I38,I41,I43,I44,I48,I52)</f>
        <v>1616</v>
      </c>
      <c r="J53" s="55" t="n">
        <f aca="false">SUM(J52,J48,J44,J43,J41,J38,J34,J31,J29,J28,J27,J23,J22,J21,J20,J19,J10,J7)</f>
        <v>1558</v>
      </c>
      <c r="K53" s="55" t="n">
        <f aca="false">SUM(K52,K44,K43,K41,K38,K34,K31,K29,K28,K27,K23,K22,K21,K20,K19,K10,K7)</f>
        <v>1136</v>
      </c>
      <c r="L53" s="55" t="n">
        <f aca="false">SUM(L52,L43,L41,L38,L34,L31,L29,L28,L27,L23,L22,L20,L19,L10,L7)</f>
        <v>520</v>
      </c>
      <c r="M53" s="55" t="n">
        <f aca="false">SUM(M52,M44,M43,M41,M38,M34,M31,M29,M28,M27,M22,M21,M20,M19,M10)</f>
        <v>308</v>
      </c>
      <c r="P53" s="17" t="s">
        <v>60</v>
      </c>
      <c r="Q53" s="17"/>
      <c r="R53" s="17"/>
      <c r="S53" s="56" t="n">
        <f aca="false">Tabella52791124791618202224262830323436384042444648[[#This Row],[Colonna1]]*$Q3</f>
        <v>413.2</v>
      </c>
      <c r="T53" s="56" t="n">
        <f aca="false">Tabella52791124791618202224262830323436384042444648[[#This Row],[Colonna2]]*$Q3</f>
        <v>308.4</v>
      </c>
      <c r="U53" s="56" t="n">
        <f aca="false">Tabella52791124791618202224262830323436384042444648[[#This Row],[Colonna3]]*$Q3</f>
        <v>646.4</v>
      </c>
      <c r="V53" s="56" t="n">
        <f aca="false">Tabella52791124791618202224262830323436384042444648[[#This Row],[Colonna4]]*$Q3</f>
        <v>623.2</v>
      </c>
      <c r="W53" s="56" t="n">
        <f aca="false">Tabella52791124791618202224262830323436384042444648[[#This Row],[Colonna5]]*$Q3</f>
        <v>454.4</v>
      </c>
      <c r="X53" s="56" t="n">
        <f aca="false">Tabella52791124791618202224262830323436384042444648[[#This Row],[Colonna6]]*$Q3</f>
        <v>208</v>
      </c>
      <c r="Y53" s="56" t="n">
        <f aca="false">Tabella52791124791618202224262830323436384042444648[[#This Row],[Colonna7]]*$Q3</f>
        <v>123.2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29</v>
      </c>
      <c r="H58" s="26" t="n">
        <v>22</v>
      </c>
      <c r="I58" s="26" t="n">
        <v>34</v>
      </c>
      <c r="J58" s="26" t="n">
        <v>46</v>
      </c>
      <c r="K58" s="26" t="n">
        <v>39</v>
      </c>
      <c r="L58" s="26" t="n">
        <v>10</v>
      </c>
      <c r="M58" s="26" t="n">
        <v>18</v>
      </c>
      <c r="P58" s="23" t="s">
        <v>62</v>
      </c>
      <c r="Q58" s="23"/>
      <c r="R58" s="23"/>
      <c r="S58" s="57" t="n">
        <f aca="false">G58*$Q3</f>
        <v>11.6</v>
      </c>
      <c r="T58" s="57" t="n">
        <f aca="false">H58*$Q3</f>
        <v>8.8</v>
      </c>
      <c r="U58" s="57" t="n">
        <f aca="false">I58*$Q3</f>
        <v>13.6</v>
      </c>
      <c r="V58" s="57" t="n">
        <f aca="false">J58*$Q3</f>
        <v>18.4</v>
      </c>
      <c r="W58" s="57" t="n">
        <f aca="false">K58*$Q3</f>
        <v>15.6</v>
      </c>
      <c r="X58" s="57" t="n">
        <f aca="false">L58*$Q3</f>
        <v>4</v>
      </c>
      <c r="Y58" s="57" t="n">
        <f aca="false">M58*$Q3</f>
        <v>7.2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 t="n">
        <v>2</v>
      </c>
      <c r="J62" s="26"/>
      <c r="K62" s="26"/>
      <c r="L62" s="26"/>
      <c r="M62" s="26"/>
      <c r="P62" s="9" t="s">
        <v>66</v>
      </c>
      <c r="Q62" s="9"/>
      <c r="R62" s="9"/>
      <c r="S62" s="57"/>
      <c r="T62" s="57"/>
      <c r="U62" s="57" t="n">
        <f aca="false">I62*$Q3</f>
        <v>0.8</v>
      </c>
      <c r="V62" s="57"/>
      <c r="W62" s="27"/>
      <c r="X62" s="27"/>
      <c r="Y62" s="27"/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 t="n">
        <v>1</v>
      </c>
      <c r="J63" s="26" t="n">
        <v>3</v>
      </c>
      <c r="K63" s="26"/>
      <c r="L63" s="26"/>
      <c r="M63" s="26"/>
      <c r="P63" s="9" t="s">
        <v>67</v>
      </c>
      <c r="Q63" s="9"/>
      <c r="R63" s="9"/>
      <c r="S63" s="57"/>
      <c r="T63" s="27"/>
      <c r="U63" s="27" t="n">
        <f aca="false">I63*$Q3</f>
        <v>0.4</v>
      </c>
      <c r="V63" s="27" t="n">
        <f aca="false">J63*$Q3</f>
        <v>1.2</v>
      </c>
      <c r="W63" s="27"/>
      <c r="X63" s="2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 t="n">
        <v>1</v>
      </c>
      <c r="L64" s="26"/>
      <c r="M64" s="26"/>
      <c r="P64" s="9" t="s">
        <v>68</v>
      </c>
      <c r="Q64" s="9"/>
      <c r="R64" s="9"/>
      <c r="S64" s="57"/>
      <c r="T64" s="27"/>
      <c r="U64" s="27"/>
      <c r="V64" s="27"/>
      <c r="W64" s="27" t="n">
        <f aca="false">K64*$Q3</f>
        <v>0.4</v>
      </c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26</v>
      </c>
      <c r="H65" s="26" t="n">
        <v>34</v>
      </c>
      <c r="I65" s="26" t="n">
        <v>12</v>
      </c>
      <c r="J65" s="26"/>
      <c r="K65" s="26"/>
      <c r="L65" s="26" t="n">
        <v>4</v>
      </c>
      <c r="M65" s="26"/>
      <c r="P65" s="9" t="s">
        <v>69</v>
      </c>
      <c r="Q65" s="9"/>
      <c r="R65" s="9"/>
      <c r="S65" s="57" t="n">
        <f aca="false">G65*$Q3</f>
        <v>10.4</v>
      </c>
      <c r="T65" s="57" t="n">
        <f aca="false">H65*$Q3</f>
        <v>13.6</v>
      </c>
      <c r="U65" s="57" t="n">
        <f aca="false">I65*$Q3</f>
        <v>4.8</v>
      </c>
      <c r="V65" s="57"/>
      <c r="W65" s="57"/>
      <c r="X65" s="57" t="n">
        <f aca="false">L65*$Q3</f>
        <v>1.6</v>
      </c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2</v>
      </c>
      <c r="H67" s="26" t="n">
        <v>10</v>
      </c>
      <c r="I67" s="26" t="n">
        <v>27</v>
      </c>
      <c r="J67" s="26" t="n">
        <v>9</v>
      </c>
      <c r="K67" s="26" t="n">
        <v>17</v>
      </c>
      <c r="L67" s="26" t="n">
        <v>2</v>
      </c>
      <c r="M67" s="26" t="n">
        <v>9</v>
      </c>
      <c r="P67" s="9" t="s">
        <v>71</v>
      </c>
      <c r="Q67" s="9"/>
      <c r="R67" s="9"/>
      <c r="S67" s="57" t="n">
        <f aca="false">G67*$Q3</f>
        <v>0.8</v>
      </c>
      <c r="T67" s="57" t="n">
        <f aca="false">H67*$Q3</f>
        <v>4</v>
      </c>
      <c r="U67" s="57" t="n">
        <f aca="false">I67*$Q3</f>
        <v>10.8</v>
      </c>
      <c r="V67" s="57" t="n">
        <f aca="false">J67*$Q3</f>
        <v>3.6</v>
      </c>
      <c r="W67" s="57" t="n">
        <f aca="false">K67*$Q3</f>
        <v>6.8</v>
      </c>
      <c r="X67" s="57" t="n">
        <f aca="false">L67*$Q3</f>
        <v>0.8</v>
      </c>
      <c r="Y67" s="57" t="n">
        <f aca="false">M67*$Q3</f>
        <v>3.6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20</v>
      </c>
      <c r="H68" s="30" t="n">
        <v>15</v>
      </c>
      <c r="I68" s="30" t="n">
        <v>16</v>
      </c>
      <c r="J68" s="30" t="n">
        <v>8</v>
      </c>
      <c r="K68" s="30" t="n">
        <v>8</v>
      </c>
      <c r="L68" s="30" t="n">
        <v>2</v>
      </c>
      <c r="M68" s="30" t="n">
        <v>1</v>
      </c>
      <c r="P68" s="9" t="s">
        <v>72</v>
      </c>
      <c r="Q68" s="9"/>
      <c r="R68" s="9"/>
      <c r="S68" s="59" t="n">
        <f aca="false">G68*$Q3</f>
        <v>8</v>
      </c>
      <c r="T68" s="59" t="n">
        <f aca="false">H68*$Q3</f>
        <v>6</v>
      </c>
      <c r="U68" s="59" t="n">
        <f aca="false">I68*$Q3</f>
        <v>6.4</v>
      </c>
      <c r="V68" s="59" t="n">
        <f aca="false">J68*$Q3</f>
        <v>3.2</v>
      </c>
      <c r="W68" s="59" t="n">
        <f aca="false">K68*$Q3</f>
        <v>3.2</v>
      </c>
      <c r="X68" s="59" t="n">
        <f aca="false">L68*$Q3</f>
        <v>0.8</v>
      </c>
      <c r="Y68" s="59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3</v>
      </c>
      <c r="H69" s="30" t="n">
        <v>1</v>
      </c>
      <c r="I69" s="30" t="n">
        <v>7</v>
      </c>
      <c r="J69" s="30" t="n">
        <v>1</v>
      </c>
      <c r="K69" s="30"/>
      <c r="L69" s="30" t="n">
        <v>4</v>
      </c>
      <c r="M69" s="30" t="n">
        <v>1</v>
      </c>
      <c r="P69" s="9" t="s">
        <v>73</v>
      </c>
      <c r="Q69" s="9"/>
      <c r="R69" s="9"/>
      <c r="S69" s="59" t="n">
        <f aca="false">G69*$Q3</f>
        <v>1.2</v>
      </c>
      <c r="T69" s="59" t="n">
        <f aca="false">H69*$Q3</f>
        <v>0.4</v>
      </c>
      <c r="U69" s="59" t="n">
        <f aca="false">I69*$Q3</f>
        <v>2.8</v>
      </c>
      <c r="V69" s="59" t="n">
        <f aca="false">J69*$Q3</f>
        <v>0.4</v>
      </c>
      <c r="W69" s="59"/>
      <c r="X69" s="59" t="n">
        <f aca="false">L69*$Q3</f>
        <v>1.6</v>
      </c>
      <c r="Y69" s="59" t="n">
        <f aca="false">M69*$Q3</f>
        <v>0.4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SUM(G58,G65,G67,G68,G69)</f>
        <v>80</v>
      </c>
      <c r="H70" s="60" t="n">
        <f aca="false">SUM(H58,H65,H67,H68,H69)</f>
        <v>82</v>
      </c>
      <c r="I70" s="60" t="n">
        <f aca="false">SUM(I58,I62,I63,I65,I67,I68,I69)</f>
        <v>99</v>
      </c>
      <c r="J70" s="60" t="n">
        <f aca="false">SUM(J58,J63,J67,J68,J69)</f>
        <v>67</v>
      </c>
      <c r="K70" s="12" t="n">
        <f aca="false">SUM(K68,K67,K64,K58)</f>
        <v>65</v>
      </c>
      <c r="L70" s="12" t="n">
        <f aca="false">SUM(L69,L68,L67,L65,L58)</f>
        <v>22</v>
      </c>
      <c r="M70" s="12" t="n">
        <f aca="false">SUM(M58,M67,M68,M69)</f>
        <v>29</v>
      </c>
      <c r="P70" s="9" t="s">
        <v>60</v>
      </c>
      <c r="Q70" s="9"/>
      <c r="R70" s="9"/>
      <c r="S70" s="61" t="n">
        <f aca="false">G70*$Q3</f>
        <v>32</v>
      </c>
      <c r="T70" s="61" t="n">
        <f aca="false">H70*$Q3</f>
        <v>32.8</v>
      </c>
      <c r="U70" s="61" t="n">
        <f aca="false">I70*$Q3</f>
        <v>39.6</v>
      </c>
      <c r="V70" s="61" t="n">
        <f aca="false">J70*$Q3</f>
        <v>26.8</v>
      </c>
      <c r="W70" s="61" t="n">
        <f aca="false">K70*$Q3</f>
        <v>26</v>
      </c>
      <c r="X70" s="61" t="n">
        <f aca="false">L70*$Q3</f>
        <v>8.8</v>
      </c>
      <c r="Y70" s="61" t="n">
        <f aca="false">M70*$Q3</f>
        <v>11.6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O28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45047</v>
      </c>
      <c r="K3" s="5" t="n">
        <v>45053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45047</v>
      </c>
      <c r="W3" s="5" t="n">
        <v>45053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2</v>
      </c>
      <c r="H7" s="13"/>
      <c r="I7" s="13" t="n">
        <v>1</v>
      </c>
      <c r="J7" s="13" t="n">
        <v>4</v>
      </c>
      <c r="K7" s="13" t="n">
        <v>10</v>
      </c>
      <c r="L7" s="13" t="n">
        <v>2</v>
      </c>
      <c r="M7" s="13" t="n">
        <v>2</v>
      </c>
      <c r="P7" s="12" t="s">
        <v>14</v>
      </c>
      <c r="Q7" s="12"/>
      <c r="R7" s="12"/>
      <c r="S7" s="14" t="n">
        <f aca="false">Tabella5279112479161820222426283032343638404244464850[[#This Row],[Colonna1]]*$Q3</f>
        <v>0.8</v>
      </c>
      <c r="T7" s="14"/>
      <c r="U7" s="14" t="n">
        <f aca="false">Tabella5279112479161820222426283032343638404244464850[[#This Row],[Colonna3]]*$Q3</f>
        <v>0.4</v>
      </c>
      <c r="V7" s="14" t="n">
        <f aca="false">Tabella5279112479161820222426283032343638404244464850[[#This Row],[Colonna4]]*$Q3</f>
        <v>1.6</v>
      </c>
      <c r="W7" s="14" t="n">
        <f aca="false">Tabella5279112479161820222426283032343638404244464850[[#This Row],[Colonna5]]*$Q3</f>
        <v>4</v>
      </c>
      <c r="X7" s="14" t="n">
        <f aca="false">Tabella5279112479161820222426283032343638404244464850[[#This Row],[Colonna6]]*$Q3</f>
        <v>0.8</v>
      </c>
      <c r="Y7" s="14" t="n">
        <f aca="false">Tabella5279112479161820222426283032343638404244464850[[#This Row],[Colonna7]]*$Q3</f>
        <v>0.8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5</v>
      </c>
      <c r="H10" s="13"/>
      <c r="I10" s="13" t="n">
        <v>6</v>
      </c>
      <c r="J10" s="13" t="n">
        <v>9</v>
      </c>
      <c r="K10" s="13" t="n">
        <v>31</v>
      </c>
      <c r="L10" s="13" t="n">
        <v>33</v>
      </c>
      <c r="M10" s="13" t="n">
        <v>42</v>
      </c>
      <c r="P10" s="12" t="s">
        <v>17</v>
      </c>
      <c r="Q10" s="12"/>
      <c r="R10" s="12"/>
      <c r="S10" s="14" t="n">
        <f aca="false">Tabella5279112479161820222426283032343638404244464850[[#This Row],[Colonna1]]*$Q3</f>
        <v>2</v>
      </c>
      <c r="T10" s="14"/>
      <c r="U10" s="14" t="n">
        <f aca="false">Tabella5279112479161820222426283032343638404244464850[[#This Row],[Colonna3]]*$Q3</f>
        <v>2.4</v>
      </c>
      <c r="V10" s="14" t="n">
        <f aca="false">Tabella5279112479161820222426283032343638404244464850[[#This Row],[Colonna4]]*$Q3</f>
        <v>3.6</v>
      </c>
      <c r="W10" s="14" t="n">
        <f aca="false">Tabella5279112479161820222426283032343638404244464850[[#This Row],[Colonna5]]*$Q3</f>
        <v>12.4</v>
      </c>
      <c r="X10" s="14" t="n">
        <f aca="false">Tabella5279112479161820222426283032343638404244464850[[#This Row],[Colonna6]]*$Q3</f>
        <v>13.2</v>
      </c>
      <c r="Y10" s="14" t="n">
        <f aca="false">Tabella5279112479161820222426283032343638404244464850[[#This Row],[Colonna7]]*$Q3</f>
        <v>16.8</v>
      </c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 t="n">
        <v>3</v>
      </c>
      <c r="K19" s="13" t="n">
        <v>13</v>
      </c>
      <c r="L19" s="13" t="n">
        <v>6</v>
      </c>
      <c r="M19" s="13" t="n">
        <v>12</v>
      </c>
      <c r="P19" s="9" t="s">
        <v>26</v>
      </c>
      <c r="Q19" s="9"/>
      <c r="R19" s="9"/>
      <c r="S19" s="14"/>
      <c r="T19" s="14"/>
      <c r="U19" s="14"/>
      <c r="V19" s="14" t="n">
        <f aca="false">Tabella5279112479161820222426283032343638404244464850[[#This Row],[Colonna4]]*$Q3</f>
        <v>1.2</v>
      </c>
      <c r="W19" s="14" t="n">
        <f aca="false">Tabella5279112479161820222426283032343638404244464850[[#This Row],[Colonna5]]*$Q3</f>
        <v>5.2</v>
      </c>
      <c r="X19" s="14" t="n">
        <f aca="false">Tabella5279112479161820222426283032343638404244464850[[#This Row],[Colonna6]]*$Q3</f>
        <v>2.4</v>
      </c>
      <c r="Y19" s="14" t="n">
        <f aca="false">Tabella5279112479161820222426283032343638404244464850[[#This Row],[Colonna7]]*$Q3</f>
        <v>4.8</v>
      </c>
    </row>
    <row r="20" customFormat="false" ht="15" hidden="false" customHeight="false" outlineLevel="0" collapsed="false">
      <c r="D20" s="9" t="s">
        <v>27</v>
      </c>
      <c r="E20" s="9"/>
      <c r="F20" s="9"/>
      <c r="G20" s="13" t="n">
        <v>4</v>
      </c>
      <c r="H20" s="13" t="n">
        <v>2</v>
      </c>
      <c r="I20" s="13" t="n">
        <v>4</v>
      </c>
      <c r="J20" s="13" t="n">
        <v>38</v>
      </c>
      <c r="K20" s="13" t="n">
        <v>90</v>
      </c>
      <c r="L20" s="13" t="n">
        <v>210</v>
      </c>
      <c r="M20" s="13" t="n">
        <v>162</v>
      </c>
      <c r="P20" s="9" t="s">
        <v>27</v>
      </c>
      <c r="Q20" s="9"/>
      <c r="R20" s="9"/>
      <c r="S20" s="14" t="n">
        <f aca="false">Tabella5279112479161820222426283032343638404244464850[[#This Row],[Colonna1]]*$Q3</f>
        <v>1.6</v>
      </c>
      <c r="T20" s="14" t="n">
        <f aca="false">Tabella5279112479161820222426283032343638404244464850[[#This Row],[Colonna2]]*$Q3</f>
        <v>0.8</v>
      </c>
      <c r="U20" s="14" t="n">
        <f aca="false">Tabella5279112479161820222426283032343638404244464850[[#This Row],[Colonna3]]*$Q3</f>
        <v>1.6</v>
      </c>
      <c r="V20" s="14" t="n">
        <f aca="false">Tabella5279112479161820222426283032343638404244464850[[#This Row],[Colonna4]]*$Q3</f>
        <v>15.2</v>
      </c>
      <c r="W20" s="14" t="n">
        <f aca="false">Tabella5279112479161820222426283032343638404244464850[[#This Row],[Colonna5]]*$Q3</f>
        <v>36</v>
      </c>
      <c r="X20" s="14" t="n">
        <f aca="false">Tabella5279112479161820222426283032343638404244464850[[#This Row],[Colonna6]]*$Q3</f>
        <v>84</v>
      </c>
      <c r="Y20" s="14" t="n">
        <f aca="false">Tabella5279112479161820222426283032343638404244464850[[#This Row],[Colonna7]]*$Q3</f>
        <v>64.8</v>
      </c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 t="n">
        <v>4</v>
      </c>
      <c r="L21" s="13" t="n">
        <v>1</v>
      </c>
      <c r="M21" s="13" t="n">
        <v>1</v>
      </c>
      <c r="P21" s="16" t="s">
        <v>28</v>
      </c>
      <c r="Q21" s="16"/>
      <c r="R21" s="16"/>
      <c r="S21" s="14"/>
      <c r="T21" s="14"/>
      <c r="U21" s="14"/>
      <c r="V21" s="14"/>
      <c r="W21" s="14" t="n">
        <f aca="false">Tabella5279112479161820222426283032343638404244464850[[#This Row],[Colonna5]]*$Q3</f>
        <v>1.6</v>
      </c>
      <c r="X21" s="14" t="n">
        <f aca="false">Tabella5279112479161820222426283032343638404244464850[[#This Row],[Colonna6]]*$Q3</f>
        <v>0.4</v>
      </c>
      <c r="Y21" s="14" t="n">
        <f aca="false">Tabella5279112479161820222426283032343638404244464850[[#This Row],[Colonna7]]*$Q3</f>
        <v>0.4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4</v>
      </c>
      <c r="H22" s="13"/>
      <c r="I22" s="13" t="n">
        <v>7</v>
      </c>
      <c r="J22" s="13" t="n">
        <v>4</v>
      </c>
      <c r="K22" s="13" t="n">
        <v>14</v>
      </c>
      <c r="L22" s="13" t="n">
        <v>28</v>
      </c>
      <c r="M22" s="13" t="n">
        <v>53</v>
      </c>
      <c r="P22" s="12" t="s">
        <v>29</v>
      </c>
      <c r="Q22" s="12"/>
      <c r="R22" s="12"/>
      <c r="S22" s="14" t="n">
        <f aca="false">Tabella5279112479161820222426283032343638404244464850[[#This Row],[Colonna1]]*$Q3</f>
        <v>1.6</v>
      </c>
      <c r="T22" s="14"/>
      <c r="U22" s="14" t="n">
        <f aca="false">Tabella5279112479161820222426283032343638404244464850[[#This Row],[Colonna3]]*$Q3</f>
        <v>2.8</v>
      </c>
      <c r="V22" s="14" t="n">
        <f aca="false">Tabella5279112479161820222426283032343638404244464850[[#This Row],[Colonna4]]*$Q3</f>
        <v>1.6</v>
      </c>
      <c r="W22" s="14" t="n">
        <f aca="false">Tabella5279112479161820222426283032343638404244464850[[#This Row],[Colonna5]]*$Q3</f>
        <v>5.6</v>
      </c>
      <c r="X22" s="14" t="n">
        <f aca="false">Tabella5279112479161820222426283032343638404244464850[[#This Row],[Colonna6]]*$Q3</f>
        <v>11.2</v>
      </c>
      <c r="Y22" s="14" t="n">
        <f aca="false">Tabella5279112479161820222426283032343638404244464850[[#This Row],[Colonna7]]*$Q3</f>
        <v>21.2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 t="n">
        <v>1</v>
      </c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 t="n">
        <f aca="false">Tabella5279112479161820222426283032343638404244464850[[#This Row],[Colonna6]]*$Q3</f>
        <v>0.4</v>
      </c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 t="n">
        <v>1</v>
      </c>
      <c r="J27" s="13"/>
      <c r="K27" s="13" t="n">
        <v>28</v>
      </c>
      <c r="L27" s="13" t="n">
        <v>52</v>
      </c>
      <c r="M27" s="13" t="n">
        <v>145</v>
      </c>
      <c r="P27" s="12" t="s">
        <v>34</v>
      </c>
      <c r="Q27" s="12"/>
      <c r="R27" s="12"/>
      <c r="S27" s="14"/>
      <c r="T27" s="14"/>
      <c r="U27" s="14" t="n">
        <f aca="false">Tabella5279112479161820222426283032343638404244464850[[#This Row],[Colonna3]]*$Q3</f>
        <v>0.4</v>
      </c>
      <c r="V27" s="14"/>
      <c r="W27" s="14" t="n">
        <f aca="false">Tabella5279112479161820222426283032343638404244464850[[#This Row],[Colonna5]]*$Q3</f>
        <v>11.2</v>
      </c>
      <c r="X27" s="14" t="n">
        <f aca="false">Tabella5279112479161820222426283032343638404244464850[[#This Row],[Colonna6]]*$Q3</f>
        <v>20.8</v>
      </c>
      <c r="Y27" s="14" t="n">
        <f aca="false">Tabella5279112479161820222426283032343638404244464850[[#This Row],[Colonna7]]*$Q3</f>
        <v>58</v>
      </c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6</v>
      </c>
      <c r="H28" s="13"/>
      <c r="I28" s="13" t="n">
        <v>1</v>
      </c>
      <c r="J28" s="13" t="n">
        <v>11</v>
      </c>
      <c r="K28" s="13" t="n">
        <v>118</v>
      </c>
      <c r="L28" s="13" t="n">
        <v>103</v>
      </c>
      <c r="M28" s="13" t="n">
        <v>199</v>
      </c>
      <c r="P28" s="12" t="s">
        <v>35</v>
      </c>
      <c r="Q28" s="12"/>
      <c r="R28" s="12"/>
      <c r="S28" s="14" t="n">
        <f aca="false">Tabella5279112479161820222426283032343638404244464850[[#This Row],[Colonna1]]*$Q3</f>
        <v>2.4</v>
      </c>
      <c r="T28" s="14"/>
      <c r="U28" s="14" t="n">
        <f aca="false">Tabella5279112479161820222426283032343638404244464850[[#This Row],[Colonna3]]*$Q3</f>
        <v>0.4</v>
      </c>
      <c r="V28" s="14" t="n">
        <f aca="false">Tabella5279112479161820222426283032343638404244464850[[#This Row],[Colonna4]]*$Q3</f>
        <v>4.4</v>
      </c>
      <c r="W28" s="14" t="n">
        <f aca="false">Tabella5279112479161820222426283032343638404244464850[[#This Row],[Colonna5]]*$Q3</f>
        <v>47.2</v>
      </c>
      <c r="X28" s="14" t="n">
        <f aca="false">Tabella5279112479161820222426283032343638404244464850[[#This Row],[Colonna6]]*$Q3</f>
        <v>41.2</v>
      </c>
      <c r="Y28" s="14" t="n">
        <f aca="false">Tabella5279112479161820222426283032343638404244464850[[#This Row],[Colonna7]]*$Q3</f>
        <v>79.6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20</v>
      </c>
      <c r="H29" s="13" t="n">
        <v>9</v>
      </c>
      <c r="I29" s="13" t="n">
        <v>25</v>
      </c>
      <c r="J29" s="13" t="n">
        <v>212</v>
      </c>
      <c r="K29" s="13" t="n">
        <v>157</v>
      </c>
      <c r="L29" s="13" t="n">
        <v>174</v>
      </c>
      <c r="M29" s="13" t="n">
        <v>119</v>
      </c>
      <c r="P29" s="12" t="s">
        <v>36</v>
      </c>
      <c r="Q29" s="12"/>
      <c r="R29" s="12"/>
      <c r="S29" s="14" t="n">
        <f aca="false">Tabella5279112479161820222426283032343638404244464850[[#This Row],[Colonna1]]*$Q3</f>
        <v>8</v>
      </c>
      <c r="T29" s="14" t="n">
        <f aca="false">Tabella5279112479161820222426283032343638404244464850[[#This Row],[Colonna2]]*$Q3</f>
        <v>3.6</v>
      </c>
      <c r="U29" s="14" t="n">
        <f aca="false">Tabella5279112479161820222426283032343638404244464850[[#This Row],[Colonna3]]*$Q3</f>
        <v>10</v>
      </c>
      <c r="V29" s="14" t="n">
        <f aca="false">Tabella5279112479161820222426283032343638404244464850[[#This Row],[Colonna4]]*$Q3</f>
        <v>84.8</v>
      </c>
      <c r="W29" s="14" t="n">
        <f aca="false">Tabella5279112479161820222426283032343638404244464850[[#This Row],[Colonna5]]*$Q3</f>
        <v>62.8</v>
      </c>
      <c r="X29" s="14" t="n">
        <f aca="false">Tabella5279112479161820222426283032343638404244464850[[#This Row],[Colonna6]]*$Q3</f>
        <v>69.6</v>
      </c>
      <c r="Y29" s="14" t="n">
        <f aca="false">Tabella5279112479161820222426283032343638404244464850[[#This Row],[Colonna7]]*$Q3</f>
        <v>47.6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 t="n">
        <v>2</v>
      </c>
      <c r="J31" s="13" t="n">
        <v>9</v>
      </c>
      <c r="K31" s="13" t="n">
        <v>5</v>
      </c>
      <c r="L31" s="13" t="n">
        <v>11</v>
      </c>
      <c r="M31" s="13" t="n">
        <v>7</v>
      </c>
      <c r="P31" s="9" t="s">
        <v>38</v>
      </c>
      <c r="Q31" s="9"/>
      <c r="R31" s="9"/>
      <c r="S31" s="14"/>
      <c r="T31" s="14"/>
      <c r="U31" s="14" t="n">
        <f aca="false">Tabella5279112479161820222426283032343638404244464850[[#This Row],[Colonna3]]*$Q3</f>
        <v>0.8</v>
      </c>
      <c r="V31" s="14" t="n">
        <f aca="false">Tabella5279112479161820222426283032343638404244464850[[#This Row],[Colonna4]]*$Q3</f>
        <v>3.6</v>
      </c>
      <c r="W31" s="14" t="n">
        <f aca="false">Tabella5279112479161820222426283032343638404244464850[[#This Row],[Colonna5]]*$Q3</f>
        <v>2</v>
      </c>
      <c r="X31" s="14" t="n">
        <f aca="false">Tabella5279112479161820222426283032343638404244464850[[#This Row],[Colonna6]]*$Q3</f>
        <v>4.4</v>
      </c>
      <c r="Y31" s="14" t="n">
        <f aca="false">Tabella5279112479161820222426283032343638404244464850[[#This Row],[Colonna7]]*$Q3</f>
        <v>2.8</v>
      </c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 t="n">
        <v>110</v>
      </c>
      <c r="H34" s="13" t="n">
        <v>108</v>
      </c>
      <c r="I34" s="13" t="n">
        <v>147</v>
      </c>
      <c r="J34" s="13" t="n">
        <v>203</v>
      </c>
      <c r="K34" s="13" t="n">
        <v>106</v>
      </c>
      <c r="L34" s="13" t="n">
        <v>75</v>
      </c>
      <c r="M34" s="13" t="n">
        <v>35</v>
      </c>
      <c r="P34" s="9" t="s">
        <v>41</v>
      </c>
      <c r="Q34" s="9"/>
      <c r="R34" s="9"/>
      <c r="S34" s="14" t="n">
        <f aca="false">Tabella5279112479161820222426283032343638404244464850[[#This Row],[Colonna1]]*$Q3</f>
        <v>44</v>
      </c>
      <c r="T34" s="14" t="n">
        <f aca="false">Tabella5279112479161820222426283032343638404244464850[[#This Row],[Colonna2]]*$Q3</f>
        <v>43.2</v>
      </c>
      <c r="U34" s="14" t="n">
        <f aca="false">Tabella5279112479161820222426283032343638404244464850[[#This Row],[Colonna3]]*$Q3</f>
        <v>58.8</v>
      </c>
      <c r="V34" s="14" t="n">
        <f aca="false">Tabella5279112479161820222426283032343638404244464850[[#This Row],[Colonna4]]*$Q3</f>
        <v>81.2</v>
      </c>
      <c r="W34" s="14" t="n">
        <f aca="false">Tabella5279112479161820222426283032343638404244464850[[#This Row],[Colonna5]]*$Q3</f>
        <v>42.4</v>
      </c>
      <c r="X34" s="14" t="n">
        <f aca="false">Tabella5279112479161820222426283032343638404244464850[[#This Row],[Colonna6]]*$Q3</f>
        <v>30</v>
      </c>
      <c r="Y34" s="14" t="n">
        <f aca="false">Tabella5279112479161820222426283032343638404244464850[[#This Row],[Colonna7]]*$Q3</f>
        <v>14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 t="n">
        <v>5</v>
      </c>
      <c r="K37" s="13"/>
      <c r="L37" s="13" t="n">
        <v>60</v>
      </c>
      <c r="M37" s="13" t="n">
        <v>51</v>
      </c>
      <c r="P37" s="12" t="s">
        <v>44</v>
      </c>
      <c r="Q37" s="12"/>
      <c r="R37" s="12"/>
      <c r="S37" s="14"/>
      <c r="T37" s="14"/>
      <c r="U37" s="14"/>
      <c r="V37" s="14" t="n">
        <f aca="false">Tabella5279112479161820222426283032343638404244464850[[#This Row],[Colonna4]]*$Q3</f>
        <v>2</v>
      </c>
      <c r="W37" s="14"/>
      <c r="X37" s="14" t="n">
        <f aca="false">Tabella5279112479161820222426283032343638404244464850[[#This Row],[Colonna6]]*$Q3</f>
        <v>24</v>
      </c>
      <c r="Y37" s="14" t="n">
        <f aca="false">Tabella5279112479161820222426283032343638404244464850[[#This Row],[Colonna7]]*$Q3</f>
        <v>20.4</v>
      </c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1</v>
      </c>
      <c r="H38" s="13" t="n">
        <v>2</v>
      </c>
      <c r="I38" s="13" t="n">
        <v>6</v>
      </c>
      <c r="J38" s="13" t="n">
        <v>11</v>
      </c>
      <c r="K38" s="13" t="n">
        <v>22</v>
      </c>
      <c r="L38" s="13" t="n">
        <v>33</v>
      </c>
      <c r="M38" s="13" t="n">
        <v>44</v>
      </c>
      <c r="P38" s="16" t="s">
        <v>45</v>
      </c>
      <c r="Q38" s="16"/>
      <c r="R38" s="16"/>
      <c r="S38" s="14" t="n">
        <f aca="false">Tabella5279112479161820222426283032343638404244464850[[#This Row],[Colonna1]]*$Q3</f>
        <v>0.4</v>
      </c>
      <c r="T38" s="14" t="n">
        <f aca="false">Tabella5279112479161820222426283032343638404244464850[[#This Row],[Colonna2]]*$Q3</f>
        <v>0.8</v>
      </c>
      <c r="U38" s="14" t="n">
        <f aca="false">Tabella5279112479161820222426283032343638404244464850[[#This Row],[Colonna3]]*$Q3</f>
        <v>2.4</v>
      </c>
      <c r="V38" s="14" t="n">
        <f aca="false">Tabella5279112479161820222426283032343638404244464850[[#This Row],[Colonna4]]*$Q3</f>
        <v>4.4</v>
      </c>
      <c r="W38" s="14" t="n">
        <f aca="false">Tabella5279112479161820222426283032343638404244464850[[#This Row],[Colonna5]]*$Q3</f>
        <v>8.8</v>
      </c>
      <c r="X38" s="14" t="n">
        <f aca="false">Tabella5279112479161820222426283032343638404244464850[[#This Row],[Colonna6]]*$Q3</f>
        <v>13.2</v>
      </c>
      <c r="Y38" s="14" t="n">
        <f aca="false">Tabella5279112479161820222426283032343638404244464850[[#This Row],[Colonna7]]*$Q3</f>
        <v>17.6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 t="n">
        <v>1</v>
      </c>
      <c r="H40" s="13"/>
      <c r="I40" s="13"/>
      <c r="J40" s="13"/>
      <c r="K40" s="13" t="n">
        <v>1</v>
      </c>
      <c r="L40" s="13"/>
      <c r="M40" s="13"/>
      <c r="P40" s="12" t="s">
        <v>47</v>
      </c>
      <c r="Q40" s="12"/>
      <c r="R40" s="12"/>
      <c r="S40" s="14" t="n">
        <f aca="false">Tabella5279112479161820222426283032343638404244464850[[#This Row],[Colonna1]]*$Q3</f>
        <v>0.4</v>
      </c>
      <c r="T40" s="14"/>
      <c r="U40" s="14"/>
      <c r="V40" s="14"/>
      <c r="W40" s="14" t="n">
        <f aca="false">Tabella5279112479161820222426283032343638404244464850[[#This Row],[Colonna5]]*$Q3</f>
        <v>0.4</v>
      </c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 t="n">
        <v>1</v>
      </c>
      <c r="J41" s="13" t="n">
        <v>5</v>
      </c>
      <c r="K41" s="13" t="n">
        <v>10</v>
      </c>
      <c r="L41" s="13" t="n">
        <v>19</v>
      </c>
      <c r="M41" s="13" t="n">
        <v>25</v>
      </c>
      <c r="P41" s="18" t="s">
        <v>48</v>
      </c>
      <c r="Q41" s="18"/>
      <c r="R41" s="18"/>
      <c r="S41" s="14"/>
      <c r="T41" s="14"/>
      <c r="U41" s="14" t="n">
        <f aca="false">Tabella5279112479161820222426283032343638404244464850[[#This Row],[Colonna3]]*$Q3</f>
        <v>0.4</v>
      </c>
      <c r="V41" s="14" t="n">
        <f aca="false">Tabella5279112479161820222426283032343638404244464850[[#This Row],[Colonna4]]*$Q3</f>
        <v>2</v>
      </c>
      <c r="W41" s="14" t="n">
        <f aca="false">Tabella5279112479161820222426283032343638404244464850[[#This Row],[Colonna5]]*$Q3</f>
        <v>4</v>
      </c>
      <c r="X41" s="14" t="n">
        <f aca="false">Tabella5279112479161820222426283032343638404244464850[[#This Row],[Colonna6]]*$Q3</f>
        <v>7.6</v>
      </c>
      <c r="Y41" s="14" t="n">
        <f aca="false">Tabella5279112479161820222426283032343638404244464850[[#This Row],[Colonna7]]*$Q3</f>
        <v>10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 t="n">
        <v>1</v>
      </c>
      <c r="J42" s="13" t="n">
        <v>3</v>
      </c>
      <c r="K42" s="13" t="n">
        <v>3</v>
      </c>
      <c r="L42" s="13" t="n">
        <v>4</v>
      </c>
      <c r="M42" s="13" t="n">
        <v>2</v>
      </c>
      <c r="P42" s="9" t="s">
        <v>49</v>
      </c>
      <c r="Q42" s="9"/>
      <c r="R42" s="9"/>
      <c r="S42" s="14"/>
      <c r="T42" s="14"/>
      <c r="U42" s="14" t="n">
        <f aca="false">Tabella5279112479161820222426283032343638404244464850[[#This Row],[Colonna3]]*$Q3</f>
        <v>0.4</v>
      </c>
      <c r="V42" s="14" t="n">
        <f aca="false">Tabella5279112479161820222426283032343638404244464850[[#This Row],[Colonna4]]*$Q3</f>
        <v>1.2</v>
      </c>
      <c r="W42" s="14" t="n">
        <f aca="false">Tabella5279112479161820222426283032343638404244464850[[#This Row],[Colonna5]]*$Q3</f>
        <v>1.2</v>
      </c>
      <c r="X42" s="14" t="n">
        <f aca="false">Tabella5279112479161820222426283032343638404244464850[[#This Row],[Colonna6]]*$Q3</f>
        <v>1.6</v>
      </c>
      <c r="Y42" s="14" t="n">
        <f aca="false">Tabella5279112479161820222426283032343638404244464850[[#This Row],[Colonna7]]*$Q3</f>
        <v>0.8</v>
      </c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4</v>
      </c>
      <c r="H43" s="13" t="n">
        <v>4</v>
      </c>
      <c r="I43" s="13"/>
      <c r="J43" s="13" t="n">
        <v>3</v>
      </c>
      <c r="K43" s="13" t="n">
        <v>8</v>
      </c>
      <c r="L43" s="13" t="n">
        <v>3</v>
      </c>
      <c r="M43" s="13"/>
      <c r="P43" s="18" t="s">
        <v>50</v>
      </c>
      <c r="Q43" s="18"/>
      <c r="R43" s="18"/>
      <c r="S43" s="14" t="n">
        <f aca="false">Tabella5279112479161820222426283032343638404244464850[[#This Row],[Colonna1]]*$Q3</f>
        <v>1.6</v>
      </c>
      <c r="T43" s="14" t="n">
        <f aca="false">Tabella5279112479161820222426283032343638404244464850[[#This Row],[Colonna2]]*$Q3</f>
        <v>1.6</v>
      </c>
      <c r="U43" s="14"/>
      <c r="V43" s="14" t="n">
        <f aca="false">Tabella5279112479161820222426283032343638404244464850[[#This Row],[Colonna4]]*$Q3</f>
        <v>1.2</v>
      </c>
      <c r="W43" s="14" t="n">
        <f aca="false">Tabella5279112479161820222426283032343638404244464850[[#This Row],[Colonna5]]*$Q3</f>
        <v>3.2</v>
      </c>
      <c r="X43" s="14" t="n">
        <f aca="false">Tabella5279112479161820222426283032343638404244464850[[#This Row],[Colonna6]]*$Q3</f>
        <v>1.2</v>
      </c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5</v>
      </c>
      <c r="H44" s="13" t="n">
        <v>1</v>
      </c>
      <c r="I44" s="13" t="n">
        <v>8</v>
      </c>
      <c r="J44" s="13" t="n">
        <v>9</v>
      </c>
      <c r="K44" s="13" t="n">
        <v>27</v>
      </c>
      <c r="L44" s="13" t="n">
        <v>21</v>
      </c>
      <c r="M44" s="13" t="n">
        <v>11</v>
      </c>
      <c r="P44" s="12" t="s">
        <v>51</v>
      </c>
      <c r="Q44" s="12"/>
      <c r="R44" s="12"/>
      <c r="S44" s="14" t="n">
        <f aca="false">Tabella5279112479161820222426283032343638404244464850[[#This Row],[Colonna1]]*$Q3</f>
        <v>2</v>
      </c>
      <c r="T44" s="14" t="n">
        <f aca="false">Tabella5279112479161820222426283032343638404244464850[[#This Row],[Colonna2]]*$Q3</f>
        <v>0.4</v>
      </c>
      <c r="U44" s="14" t="n">
        <f aca="false">Tabella5279112479161820222426283032343638404244464850[[#This Row],[Colonna3]]*$Q3</f>
        <v>3.2</v>
      </c>
      <c r="V44" s="14" t="n">
        <f aca="false">Tabella5279112479161820222426283032343638404244464850[[#This Row],[Colonna4]]*$Q3</f>
        <v>3.6</v>
      </c>
      <c r="W44" s="14" t="n">
        <f aca="false">Tabella5279112479161820222426283032343638404244464850[[#This Row],[Colonna5]]*$Q3</f>
        <v>10.8</v>
      </c>
      <c r="X44" s="14" t="n">
        <f aca="false">Tabella5279112479161820222426283032343638404244464850[[#This Row],[Colonna6]]*$Q3</f>
        <v>8.4</v>
      </c>
      <c r="Y44" s="14" t="n">
        <f aca="false">Tabella5279112479161820222426283032343638404244464850[[#This Row],[Colonna7]]*$Q3</f>
        <v>4.4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 t="n">
        <v>11</v>
      </c>
      <c r="M48" s="13" t="n">
        <v>3</v>
      </c>
      <c r="P48" s="12" t="s">
        <v>55</v>
      </c>
      <c r="Q48" s="12"/>
      <c r="R48" s="12"/>
      <c r="S48" s="14"/>
      <c r="T48" s="14"/>
      <c r="U48" s="14"/>
      <c r="V48" s="14"/>
      <c r="W48" s="14"/>
      <c r="X48" s="14" t="n">
        <f aca="false">Tabella5279112479161820222426283032343638404244464850[[#This Row],[Colonna6]]*$Q3</f>
        <v>4.4</v>
      </c>
      <c r="Y48" s="14" t="n">
        <f aca="false">Tabella5279112479161820222426283032343638404244464850[[#This Row],[Colonna7]]*$Q3</f>
        <v>1.2</v>
      </c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 t="n">
        <v>1</v>
      </c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 t="n">
        <f aca="false">Tabella5279112479161820222426283032343638404244464850[[#This Row],[Colonna5]]*$Q3</f>
        <v>0.4</v>
      </c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4</v>
      </c>
      <c r="H52" s="13"/>
      <c r="I52" s="13" t="n">
        <v>9</v>
      </c>
      <c r="J52" s="13" t="n">
        <v>15</v>
      </c>
      <c r="K52" s="13" t="n">
        <v>20</v>
      </c>
      <c r="L52" s="13" t="n">
        <v>32</v>
      </c>
      <c r="M52" s="13" t="n">
        <v>26</v>
      </c>
      <c r="P52" s="12" t="s">
        <v>59</v>
      </c>
      <c r="Q52" s="12"/>
      <c r="R52" s="12"/>
      <c r="S52" s="14" t="n">
        <f aca="false">Tabella5279112479161820222426283032343638404244464850[[#This Row],[Colonna1]]*$Q3</f>
        <v>1.6</v>
      </c>
      <c r="T52" s="14"/>
      <c r="U52" s="14" t="n">
        <f aca="false">Tabella5279112479161820222426283032343638404244464850[[#This Row],[Colonna3]]*$Q3</f>
        <v>3.6</v>
      </c>
      <c r="V52" s="14" t="n">
        <f aca="false">Tabella5279112479161820222426283032343638404244464850[[#This Row],[Colonna4]]*$Q3</f>
        <v>6</v>
      </c>
      <c r="W52" s="14" t="n">
        <f aca="false">Tabella5279112479161820222426283032343638404244464850[[#This Row],[Colonna5]]*$Q3</f>
        <v>8</v>
      </c>
      <c r="X52" s="14" t="n">
        <f aca="false">Tabella5279112479161820222426283032343638404244464850[[#This Row],[Colonna6]]*$Q3</f>
        <v>12.8</v>
      </c>
      <c r="Y52" s="14" t="n">
        <f aca="false">Tabella5279112479161820222426283032343638404244464850[[#This Row],[Colonna7]]*$Q3</f>
        <v>10.4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SUM(G7,G10,G20,G22,G28,G29,G34,G38,G40,G43,G44,G52)</f>
        <v>166</v>
      </c>
      <c r="H53" s="55" t="n">
        <f aca="false">SUM(H44,H43,H38,H34,H29,H20)</f>
        <v>126</v>
      </c>
      <c r="I53" s="55" t="n">
        <f aca="false">SUM(I52,I44,I42,I41,I38,I34,I31,I29,I28,I27,I22,I20,I10,I7)</f>
        <v>219</v>
      </c>
      <c r="J53" s="55" t="n">
        <f aca="false">SUM(J52,J44,J43,J42,J41,J38,J37,J34,J31,J29,J28,J22,J20,J19,J10,J7)</f>
        <v>544</v>
      </c>
      <c r="K53" s="55" t="n">
        <f aca="false">SUM(K7,K10,K19,K20,K21,K22,K27,K28,K29,K31,K34,K38,K40,K41,K42,K43,K44,K49,K52)</f>
        <v>668</v>
      </c>
      <c r="L53" s="55" t="n">
        <f aca="false">SUM(L52,L48,L44,L43,L42,L41,L38,L37,L34,L31,L29,L28,L27,L23,L22,L21,L20,L19,L10,L7)</f>
        <v>879</v>
      </c>
      <c r="M53" s="55" t="n">
        <f aca="false">SUM(M52,M48,M44,M42,M41,M38,M37,M34,M31,M29,M28,M27,M22,M21,M20,M19,M10,M7)</f>
        <v>939</v>
      </c>
      <c r="P53" s="17" t="s">
        <v>60</v>
      </c>
      <c r="Q53" s="17"/>
      <c r="R53" s="17"/>
      <c r="S53" s="56" t="n">
        <f aca="false">Tabella5279112479161820222426283032343638404244464850[[#This Row],[Colonna1]]*$Q3</f>
        <v>66.4</v>
      </c>
      <c r="T53" s="56" t="n">
        <f aca="false">Tabella5279112479161820222426283032343638404244464850[[#This Row],[Colonna2]]*$Q3</f>
        <v>50.4</v>
      </c>
      <c r="U53" s="56" t="n">
        <f aca="false">Tabella5279112479161820222426283032343638404244464850[[#This Row],[Colonna3]]*$Q3</f>
        <v>87.6</v>
      </c>
      <c r="V53" s="56" t="n">
        <f aca="false">Tabella5279112479161820222426283032343638404244464850[[#This Row],[Colonna4]]*$Q3</f>
        <v>217.6</v>
      </c>
      <c r="W53" s="56" t="n">
        <f aca="false">Tabella5279112479161820222426283032343638404244464850[[#This Row],[Colonna5]]*$Q3</f>
        <v>267.2</v>
      </c>
      <c r="X53" s="56" t="n">
        <f aca="false">Tabella5279112479161820222426283032343638404244464850[[#This Row],[Colonna6]]*$Q3</f>
        <v>351.6</v>
      </c>
      <c r="Y53" s="56" t="n">
        <f aca="false">Tabella5279112479161820222426283032343638404244464850[[#This Row],[Colonna7]]*$Q3</f>
        <v>375.6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14</v>
      </c>
      <c r="H58" s="26" t="n">
        <v>2</v>
      </c>
      <c r="I58" s="26" t="n">
        <v>10</v>
      </c>
      <c r="J58" s="26" t="n">
        <v>82</v>
      </c>
      <c r="K58" s="26" t="n">
        <v>87</v>
      </c>
      <c r="L58" s="26" t="n">
        <v>123</v>
      </c>
      <c r="M58" s="26" t="n">
        <v>116</v>
      </c>
      <c r="P58" s="23" t="s">
        <v>62</v>
      </c>
      <c r="Q58" s="23"/>
      <c r="R58" s="23"/>
      <c r="S58" s="57" t="n">
        <f aca="false">G58*$Q3</f>
        <v>5.6</v>
      </c>
      <c r="T58" s="57" t="n">
        <f aca="false">H58*$Q3</f>
        <v>0.8</v>
      </c>
      <c r="U58" s="57" t="n">
        <f aca="false">I58*$Q3</f>
        <v>4</v>
      </c>
      <c r="V58" s="57" t="n">
        <f aca="false">J58*$Q3</f>
        <v>32.8</v>
      </c>
      <c r="W58" s="57" t="n">
        <f aca="false">K58*$Q3</f>
        <v>34.8</v>
      </c>
      <c r="X58" s="57" t="n">
        <f aca="false">L58*$Q3</f>
        <v>49.2</v>
      </c>
      <c r="Y58" s="57" t="n">
        <f aca="false">M58*$Q3</f>
        <v>46.4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 t="n">
        <v>2</v>
      </c>
      <c r="J62" s="26" t="n">
        <v>8</v>
      </c>
      <c r="K62" s="26" t="n">
        <v>2</v>
      </c>
      <c r="L62" s="26" t="n">
        <v>6</v>
      </c>
      <c r="M62" s="26" t="n">
        <v>8</v>
      </c>
      <c r="P62" s="9" t="s">
        <v>66</v>
      </c>
      <c r="Q62" s="9"/>
      <c r="R62" s="9"/>
      <c r="S62" s="57"/>
      <c r="T62" s="57"/>
      <c r="U62" s="57" t="n">
        <f aca="false">I62*$Q3</f>
        <v>0.8</v>
      </c>
      <c r="V62" s="57" t="n">
        <f aca="false">J62*$Q3</f>
        <v>3.2</v>
      </c>
      <c r="W62" s="57" t="n">
        <f aca="false">K62*$Q3</f>
        <v>0.8</v>
      </c>
      <c r="X62" s="57" t="n">
        <f aca="false">L62*$Q3</f>
        <v>2.4</v>
      </c>
      <c r="Y62" s="57" t="n">
        <f aca="false">M62*$Q3</f>
        <v>3.2</v>
      </c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 t="n">
        <v>1</v>
      </c>
      <c r="K63" s="26" t="n">
        <v>2</v>
      </c>
      <c r="L63" s="26" t="n">
        <v>5</v>
      </c>
      <c r="M63" s="26" t="n">
        <v>3</v>
      </c>
      <c r="P63" s="9" t="s">
        <v>67</v>
      </c>
      <c r="Q63" s="9"/>
      <c r="R63" s="9"/>
      <c r="S63" s="57"/>
      <c r="T63" s="27"/>
      <c r="U63" s="27"/>
      <c r="V63" s="27" t="n">
        <f aca="false">J63*$Q3</f>
        <v>0.4</v>
      </c>
      <c r="W63" s="27" t="n">
        <f aca="false">K63*$Q3</f>
        <v>0.8</v>
      </c>
      <c r="X63" s="27" t="n">
        <f aca="false">L63*$Q3</f>
        <v>2</v>
      </c>
      <c r="Y63" s="27" t="n">
        <f aca="false">M63*$Q3</f>
        <v>1.2</v>
      </c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 t="n">
        <v>1</v>
      </c>
      <c r="J64" s="26"/>
      <c r="K64" s="26" t="n">
        <v>2</v>
      </c>
      <c r="L64" s="26"/>
      <c r="M64" s="26"/>
      <c r="P64" s="9" t="s">
        <v>68</v>
      </c>
      <c r="Q64" s="9"/>
      <c r="R64" s="9"/>
      <c r="S64" s="57"/>
      <c r="T64" s="27"/>
      <c r="U64" s="27" t="n">
        <f aca="false">I64*$Q3</f>
        <v>0.4</v>
      </c>
      <c r="V64" s="27"/>
      <c r="W64" s="27" t="n">
        <f aca="false">K64*$Q3</f>
        <v>0.8</v>
      </c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9</v>
      </c>
      <c r="H65" s="26" t="n">
        <v>11</v>
      </c>
      <c r="I65" s="26" t="n">
        <v>18</v>
      </c>
      <c r="J65" s="26" t="n">
        <v>4</v>
      </c>
      <c r="K65" s="26" t="n">
        <v>1</v>
      </c>
      <c r="L65" s="26" t="n">
        <v>4</v>
      </c>
      <c r="M65" s="26" t="n">
        <v>1</v>
      </c>
      <c r="P65" s="9" t="s">
        <v>69</v>
      </c>
      <c r="Q65" s="9"/>
      <c r="R65" s="9"/>
      <c r="S65" s="57" t="n">
        <f aca="false">G65*$Q3</f>
        <v>3.6</v>
      </c>
      <c r="T65" s="57" t="n">
        <f aca="false">H65*$Q3</f>
        <v>4.4</v>
      </c>
      <c r="U65" s="57" t="n">
        <f aca="false">I65*$Q3</f>
        <v>7.2</v>
      </c>
      <c r="V65" s="57" t="n">
        <f aca="false">J65*$Q3</f>
        <v>1.6</v>
      </c>
      <c r="W65" s="57" t="n">
        <f aca="false">K65*$Q3</f>
        <v>0.4</v>
      </c>
      <c r="X65" s="57" t="n">
        <f aca="false">L65*$Q3</f>
        <v>1.6</v>
      </c>
      <c r="Y65" s="57" t="n">
        <f aca="false">M65*$Q3</f>
        <v>0.4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5</v>
      </c>
      <c r="H67" s="26"/>
      <c r="I67" s="26" t="n">
        <v>1</v>
      </c>
      <c r="J67" s="26" t="n">
        <v>34</v>
      </c>
      <c r="K67" s="26" t="n">
        <v>43</v>
      </c>
      <c r="L67" s="26" t="n">
        <v>66</v>
      </c>
      <c r="M67" s="26" t="n">
        <v>43</v>
      </c>
      <c r="P67" s="9" t="s">
        <v>71</v>
      </c>
      <c r="Q67" s="9"/>
      <c r="R67" s="9"/>
      <c r="S67" s="57" t="n">
        <f aca="false">G67*$Q3</f>
        <v>2</v>
      </c>
      <c r="T67" s="57"/>
      <c r="U67" s="57" t="n">
        <f aca="false">I67*$Q3</f>
        <v>0.4</v>
      </c>
      <c r="V67" s="57" t="n">
        <f aca="false">J67*$Q3</f>
        <v>13.6</v>
      </c>
      <c r="W67" s="57" t="n">
        <f aca="false">K67*$Q3</f>
        <v>17.2</v>
      </c>
      <c r="X67" s="57" t="n">
        <f aca="false">L67*$Q3</f>
        <v>26.4</v>
      </c>
      <c r="Y67" s="57" t="n">
        <f aca="false">M67*$Q3</f>
        <v>17.2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</v>
      </c>
      <c r="H68" s="30" t="n">
        <v>4</v>
      </c>
      <c r="I68" s="30" t="n">
        <v>6</v>
      </c>
      <c r="J68" s="30" t="n">
        <v>23</v>
      </c>
      <c r="K68" s="30" t="n">
        <v>7</v>
      </c>
      <c r="L68" s="30" t="n">
        <v>22</v>
      </c>
      <c r="M68" s="30" t="n">
        <v>8</v>
      </c>
      <c r="P68" s="9" t="s">
        <v>72</v>
      </c>
      <c r="Q68" s="9"/>
      <c r="R68" s="9"/>
      <c r="S68" s="59" t="n">
        <f aca="false">G68*$Q3</f>
        <v>0.4</v>
      </c>
      <c r="T68" s="59" t="n">
        <f aca="false">H68*$Q3</f>
        <v>1.6</v>
      </c>
      <c r="U68" s="59" t="n">
        <f aca="false">I68*$Q3</f>
        <v>2.4</v>
      </c>
      <c r="V68" s="59" t="n">
        <f aca="false">J68*$Q3</f>
        <v>9.2</v>
      </c>
      <c r="W68" s="59" t="n">
        <f aca="false">K68*$Q3</f>
        <v>2.8</v>
      </c>
      <c r="X68" s="59" t="n">
        <f aca="false">L68*$Q3</f>
        <v>8.8</v>
      </c>
      <c r="Y68" s="59" t="n">
        <f aca="false">M68*$Q3</f>
        <v>3.2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5</v>
      </c>
      <c r="H69" s="30"/>
      <c r="I69" s="30" t="n">
        <v>1</v>
      </c>
      <c r="J69" s="30" t="n">
        <v>9</v>
      </c>
      <c r="K69" s="30" t="n">
        <v>9</v>
      </c>
      <c r="L69" s="30" t="n">
        <v>7</v>
      </c>
      <c r="M69" s="30" t="n">
        <v>18</v>
      </c>
      <c r="P69" s="9" t="s">
        <v>73</v>
      </c>
      <c r="Q69" s="9"/>
      <c r="R69" s="9"/>
      <c r="S69" s="59" t="n">
        <f aca="false">G69*$Q3</f>
        <v>2</v>
      </c>
      <c r="T69" s="59"/>
      <c r="U69" s="59" t="n">
        <f aca="false">I69*$Q3</f>
        <v>0.4</v>
      </c>
      <c r="V69" s="59" t="n">
        <f aca="false">J69*$Q3</f>
        <v>3.6</v>
      </c>
      <c r="W69" s="59" t="n">
        <f aca="false">K69*$Q3</f>
        <v>3.6</v>
      </c>
      <c r="X69" s="59" t="n">
        <f aca="false">L69*$Q3</f>
        <v>2.8</v>
      </c>
      <c r="Y69" s="59" t="n">
        <f aca="false">M69*$Q3</f>
        <v>7.2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SUM(G58,G65,G67,G68,G69)</f>
        <v>34</v>
      </c>
      <c r="H70" s="60" t="n">
        <f aca="false">SUM(H58,H65,H68)</f>
        <v>17</v>
      </c>
      <c r="I70" s="60" t="n">
        <f aca="false">SUM(I58,I62,I64,I65,I67,I68,I69)</f>
        <v>39</v>
      </c>
      <c r="J70" s="60" t="n">
        <f aca="false">SUM(J58,J62,J63,J65,J67,J69,J68)</f>
        <v>161</v>
      </c>
      <c r="K70" s="12" t="n">
        <f aca="false">SUM(K58,K62,K63,K64,K65,K67,K68,K69)</f>
        <v>153</v>
      </c>
      <c r="L70" s="12" t="n">
        <f aca="false">SUM(L58,L62,L63,L65,L67,L68,L69)</f>
        <v>233</v>
      </c>
      <c r="M70" s="12" t="n">
        <f aca="false">SUM(M58,M62,M63,M65,M67,M68,M69)</f>
        <v>197</v>
      </c>
      <c r="P70" s="9" t="s">
        <v>60</v>
      </c>
      <c r="Q70" s="9"/>
      <c r="R70" s="9"/>
      <c r="S70" s="61" t="n">
        <f aca="false">G70*$Q3</f>
        <v>13.6</v>
      </c>
      <c r="T70" s="61" t="n">
        <f aca="false">H70*$Q3</f>
        <v>6.8</v>
      </c>
      <c r="U70" s="61" t="n">
        <f aca="false">I70*$Q3</f>
        <v>15.6</v>
      </c>
      <c r="V70" s="61" t="n">
        <f aca="false">J70*$Q3</f>
        <v>64.4</v>
      </c>
      <c r="W70" s="61" t="n">
        <f aca="false">K70*$Q3</f>
        <v>61.2</v>
      </c>
      <c r="X70" s="61" t="n">
        <f aca="false">L70*$Q3</f>
        <v>93.2</v>
      </c>
      <c r="Y70" s="61" t="n">
        <f aca="false">M70*$Q3</f>
        <v>78.8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J49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45054</v>
      </c>
      <c r="K3" s="5" t="n">
        <v>45060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45054</v>
      </c>
      <c r="W3" s="5" t="n">
        <v>45060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K6" s="13" t="n">
        <v>1</v>
      </c>
      <c r="P6" s="9" t="s">
        <v>13</v>
      </c>
      <c r="Q6" s="9"/>
      <c r="R6" s="9"/>
      <c r="S6" s="14"/>
      <c r="T6" s="14"/>
      <c r="U6" s="14"/>
      <c r="V6" s="14"/>
      <c r="W6" s="14" t="n">
        <f aca="false">Tabella527911247916182022242628303234363840424446485052[[#This Row],[Colonna5]]*$Q3</f>
        <v>0.4</v>
      </c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2</v>
      </c>
      <c r="H7" s="13"/>
      <c r="I7" s="13" t="n">
        <v>2</v>
      </c>
      <c r="J7" s="13" t="n">
        <v>3</v>
      </c>
      <c r="K7" s="13"/>
      <c r="L7" s="13" t="n">
        <v>2</v>
      </c>
      <c r="M7" s="13"/>
      <c r="P7" s="12" t="s">
        <v>14</v>
      </c>
      <c r="Q7" s="12"/>
      <c r="R7" s="12"/>
      <c r="S7" s="14" t="n">
        <f aca="false">Tabella527911247916182022242628303234363840424446485052[[#This Row],[Colonna1]]*$Q3</f>
        <v>0.8</v>
      </c>
      <c r="T7" s="14"/>
      <c r="U7" s="14" t="n">
        <f aca="false">Tabella527911247916182022242628303234363840424446485052[[#This Row],[Colonna3]]*$Q3</f>
        <v>0.8</v>
      </c>
      <c r="V7" s="14" t="n">
        <f aca="false">Tabella527911247916182022242628303234363840424446485052[[#This Row],[Colonna4]]*$Q3</f>
        <v>1.2</v>
      </c>
      <c r="W7" s="14"/>
      <c r="X7" s="14" t="n">
        <f aca="false">Tabella527911247916182022242628303234363840424446485052[[#This Row],[Colonna6]]*$Q3</f>
        <v>0.8</v>
      </c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6</v>
      </c>
      <c r="H10" s="13" t="n">
        <v>4</v>
      </c>
      <c r="I10" s="13"/>
      <c r="J10" s="13"/>
      <c r="K10" s="13"/>
      <c r="L10" s="13"/>
      <c r="M10" s="13"/>
      <c r="P10" s="12" t="s">
        <v>17</v>
      </c>
      <c r="Q10" s="12"/>
      <c r="R10" s="12"/>
      <c r="S10" s="14" t="n">
        <f aca="false">Tabella527911247916182022242628303234363840424446485052[[#This Row],[Colonna1]]*$Q3</f>
        <v>2.4</v>
      </c>
      <c r="T10" s="14" t="n">
        <f aca="false">Tabella527911247916182022242628303234363840424446485052[[#This Row],[Colonna2]]*$Q3</f>
        <v>1.6</v>
      </c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1</v>
      </c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 t="n">
        <f aca="false">Tabella527911247916182022242628303234363840424446485052[[#This Row],[Colonna1]]*$Q3</f>
        <v>0.4</v>
      </c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 t="n">
        <v>1</v>
      </c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 t="n">
        <f aca="false">Tabella527911247916182022242628303234363840424446485052[[#This Row],[Colonna5]]*$Q3</f>
        <v>0.4</v>
      </c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 t="n">
        <v>7</v>
      </c>
      <c r="H19" s="13" t="n">
        <v>2</v>
      </c>
      <c r="I19" s="13"/>
      <c r="J19" s="13"/>
      <c r="K19" s="13"/>
      <c r="L19" s="13"/>
      <c r="M19" s="13"/>
      <c r="P19" s="9" t="s">
        <v>26</v>
      </c>
      <c r="Q19" s="9"/>
      <c r="R19" s="9"/>
      <c r="S19" s="14" t="n">
        <f aca="false">Tabella527911247916182022242628303234363840424446485052[[#This Row],[Colonna1]]*$Q3</f>
        <v>2.8</v>
      </c>
      <c r="T19" s="14" t="n">
        <f aca="false">Tabella527911247916182022242628303234363840424446485052[[#This Row],[Colonna2]]*$Q3</f>
        <v>0.8</v>
      </c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 t="n">
        <v>27</v>
      </c>
      <c r="H20" s="13" t="n">
        <v>11</v>
      </c>
      <c r="I20" s="13"/>
      <c r="J20" s="13"/>
      <c r="K20" s="13" t="n">
        <v>1</v>
      </c>
      <c r="L20" s="13" t="n">
        <v>2</v>
      </c>
      <c r="M20" s="13"/>
      <c r="P20" s="9" t="s">
        <v>27</v>
      </c>
      <c r="Q20" s="9"/>
      <c r="R20" s="9"/>
      <c r="S20" s="14" t="n">
        <f aca="false">Tabella527911247916182022242628303234363840424446485052[[#This Row],[Colonna1]]*$Q3</f>
        <v>10.8</v>
      </c>
      <c r="T20" s="14" t="n">
        <f aca="false">Tabella527911247916182022242628303234363840424446485052[[#This Row],[Colonna2]]*$Q3</f>
        <v>4.4</v>
      </c>
      <c r="U20" s="14"/>
      <c r="V20" s="14"/>
      <c r="W20" s="14" t="n">
        <f aca="false">Tabella527911247916182022242628303234363840424446485052[[#This Row],[Colonna5]]*$Q3</f>
        <v>0.4</v>
      </c>
      <c r="X20" s="14" t="n">
        <f aca="false">Tabella527911247916182022242628303234363840424446485052[[#This Row],[Colonna6]]*$Q3</f>
        <v>0.8</v>
      </c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 t="n">
        <v>1</v>
      </c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 t="n">
        <f aca="false">Tabella527911247916182022242628303234363840424446485052[[#This Row],[Colonna2]]*$Q3</f>
        <v>0.4</v>
      </c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28</v>
      </c>
      <c r="H22" s="13" t="n">
        <v>20</v>
      </c>
      <c r="I22" s="13"/>
      <c r="J22" s="13" t="n">
        <v>2</v>
      </c>
      <c r="K22" s="13" t="n">
        <v>5</v>
      </c>
      <c r="L22" s="13" t="n">
        <v>5</v>
      </c>
      <c r="M22" s="13"/>
      <c r="P22" s="12" t="s">
        <v>29</v>
      </c>
      <c r="Q22" s="12"/>
      <c r="R22" s="12"/>
      <c r="S22" s="14" t="n">
        <f aca="false">Tabella527911247916182022242628303234363840424446485052[[#This Row],[Colonna1]]*$Q3</f>
        <v>11.2</v>
      </c>
      <c r="T22" s="14" t="n">
        <f aca="false">Tabella527911247916182022242628303234363840424446485052[[#This Row],[Colonna2]]*$Q3</f>
        <v>8</v>
      </c>
      <c r="U22" s="14" t="n">
        <f aca="false">Tabella527911247916182022242628303234363840424446485052[[#This Row],[Colonna3]]*$Q3</f>
        <v>0</v>
      </c>
      <c r="V22" s="14" t="n">
        <f aca="false">Tabella527911247916182022242628303234363840424446485052[[#This Row],[Colonna4]]*$Q3</f>
        <v>0.8</v>
      </c>
      <c r="W22" s="14" t="n">
        <f aca="false">Tabella527911247916182022242628303234363840424446485052[[#This Row],[Colonna5]]*$Q3</f>
        <v>2</v>
      </c>
      <c r="X22" s="14" t="n">
        <f aca="false">Tabella527911247916182022242628303234363840424446485052[[#This Row],[Colonna6]]*$Q3</f>
        <v>2</v>
      </c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 t="n">
        <v>1</v>
      </c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 t="n">
        <f aca="false">Tabella527911247916182022242628303234363840424446485052[[#This Row],[Colonna6]]*$Q3</f>
        <v>0.4</v>
      </c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18</v>
      </c>
      <c r="H27" s="13" t="n">
        <v>2</v>
      </c>
      <c r="I27" s="13" t="n">
        <v>2</v>
      </c>
      <c r="J27" s="13" t="n">
        <v>1</v>
      </c>
      <c r="K27" s="13" t="n">
        <v>1</v>
      </c>
      <c r="L27" s="13" t="n">
        <v>8</v>
      </c>
      <c r="M27" s="13"/>
      <c r="P27" s="12" t="s">
        <v>34</v>
      </c>
      <c r="Q27" s="12"/>
      <c r="R27" s="12"/>
      <c r="S27" s="14" t="n">
        <f aca="false">Tabella527911247916182022242628303234363840424446485052[[#This Row],[Colonna1]]*$Q3</f>
        <v>7.2</v>
      </c>
      <c r="T27" s="14" t="n">
        <f aca="false">Tabella527911247916182022242628303234363840424446485052[[#This Row],[Colonna2]]*$Q3</f>
        <v>0.8</v>
      </c>
      <c r="U27" s="14" t="n">
        <f aca="false">Tabella527911247916182022242628303234363840424446485052[[#This Row],[Colonna3]]*$Q3</f>
        <v>0.8</v>
      </c>
      <c r="V27" s="14" t="n">
        <f aca="false">Tabella527911247916182022242628303234363840424446485052[[#This Row],[Colonna4]]*$Q3</f>
        <v>0.4</v>
      </c>
      <c r="W27" s="14" t="n">
        <f aca="false">Tabella527911247916182022242628303234363840424446485052[[#This Row],[Colonna5]]*$Q3</f>
        <v>0.4</v>
      </c>
      <c r="X27" s="14" t="n">
        <f aca="false">Tabella527911247916182022242628303234363840424446485052[[#This Row],[Colonna6]]*$Q3</f>
        <v>3.2</v>
      </c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34</v>
      </c>
      <c r="H28" s="13" t="n">
        <v>8</v>
      </c>
      <c r="I28" s="13" t="n">
        <v>3</v>
      </c>
      <c r="J28" s="13" t="n">
        <v>4</v>
      </c>
      <c r="K28" s="13" t="n">
        <v>2</v>
      </c>
      <c r="L28" s="13" t="n">
        <v>1</v>
      </c>
      <c r="M28" s="13"/>
      <c r="P28" s="12" t="s">
        <v>35</v>
      </c>
      <c r="Q28" s="12"/>
      <c r="R28" s="12"/>
      <c r="S28" s="14" t="n">
        <f aca="false">Tabella527911247916182022242628303234363840424446485052[[#This Row],[Colonna1]]*$Q3</f>
        <v>13.6</v>
      </c>
      <c r="T28" s="14" t="n">
        <f aca="false">Tabella527911247916182022242628303234363840424446485052[[#This Row],[Colonna2]]*$Q3</f>
        <v>3.2</v>
      </c>
      <c r="U28" s="14" t="n">
        <f aca="false">Tabella527911247916182022242628303234363840424446485052[[#This Row],[Colonna3]]*$Q3</f>
        <v>1.2</v>
      </c>
      <c r="V28" s="14" t="n">
        <f aca="false">Tabella527911247916182022242628303234363840424446485052[[#This Row],[Colonna4]]*$Q3</f>
        <v>1.6</v>
      </c>
      <c r="W28" s="14" t="n">
        <f aca="false">Tabella527911247916182022242628303234363840424446485052[[#This Row],[Colonna5]]*$Q3</f>
        <v>0.8</v>
      </c>
      <c r="X28" s="14" t="n">
        <f aca="false">Tabella527911247916182022242628303234363840424446485052[[#This Row],[Colonna6]]*$Q3</f>
        <v>0.4</v>
      </c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71</v>
      </c>
      <c r="H29" s="13" t="n">
        <v>87</v>
      </c>
      <c r="I29" s="13" t="n">
        <v>0</v>
      </c>
      <c r="J29" s="13" t="n">
        <v>10</v>
      </c>
      <c r="K29" s="13" t="n">
        <v>15</v>
      </c>
      <c r="L29" s="13" t="n">
        <v>38</v>
      </c>
      <c r="M29" s="13" t="n">
        <v>1</v>
      </c>
      <c r="P29" s="12" t="s">
        <v>36</v>
      </c>
      <c r="Q29" s="12"/>
      <c r="R29" s="12"/>
      <c r="S29" s="14" t="n">
        <f aca="false">Tabella527911247916182022242628303234363840424446485052[[#This Row],[Colonna1]]*$Q3</f>
        <v>28.4</v>
      </c>
      <c r="T29" s="14" t="n">
        <f aca="false">Tabella527911247916182022242628303234363840424446485052[[#This Row],[Colonna2]]*$Q3</f>
        <v>34.8</v>
      </c>
      <c r="U29" s="14"/>
      <c r="V29" s="14" t="n">
        <f aca="false">Tabella527911247916182022242628303234363840424446485052[[#This Row],[Colonna4]]*$Q3</f>
        <v>4</v>
      </c>
      <c r="W29" s="14" t="n">
        <f aca="false">Tabella527911247916182022242628303234363840424446485052[[#This Row],[Colonna5]]*$Q3</f>
        <v>6</v>
      </c>
      <c r="X29" s="14" t="n">
        <f aca="false">Tabella527911247916182022242628303234363840424446485052[[#This Row],[Colonna6]]*$Q3</f>
        <v>15.2</v>
      </c>
      <c r="Y29" s="14" t="n">
        <f aca="false">Tabella527911247916182022242628303234363840424446485052[[#This Row],[Colonna7]]*$Q3</f>
        <v>0.4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3</v>
      </c>
      <c r="H31" s="13" t="n">
        <v>3</v>
      </c>
      <c r="I31" s="13"/>
      <c r="J31" s="13" t="n">
        <v>2</v>
      </c>
      <c r="K31" s="13" t="n">
        <v>1</v>
      </c>
      <c r="L31" s="13"/>
      <c r="M31" s="13"/>
      <c r="P31" s="9" t="s">
        <v>38</v>
      </c>
      <c r="Q31" s="9"/>
      <c r="R31" s="9"/>
      <c r="S31" s="14" t="n">
        <f aca="false">Tabella527911247916182022242628303234363840424446485052[[#This Row],[Colonna1]]*$Q3</f>
        <v>1.2</v>
      </c>
      <c r="T31" s="14" t="n">
        <f aca="false">Tabella527911247916182022242628303234363840424446485052[[#This Row],[Colonna2]]*$Q3</f>
        <v>1.2</v>
      </c>
      <c r="U31" s="14"/>
      <c r="V31" s="14" t="n">
        <f aca="false">Tabella527911247916182022242628303234363840424446485052[[#This Row],[Colonna4]]*$Q3</f>
        <v>0.8</v>
      </c>
      <c r="W31" s="14" t="n">
        <f aca="false">Tabella527911247916182022242628303234363840424446485052[[#This Row],[Colonna5]]*$Q3</f>
        <v>0.4</v>
      </c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 t="n">
        <v>27</v>
      </c>
      <c r="H34" s="13" t="n">
        <v>23</v>
      </c>
      <c r="I34" s="13"/>
      <c r="J34" s="13" t="n">
        <v>5</v>
      </c>
      <c r="K34" s="13" t="n">
        <v>3</v>
      </c>
      <c r="L34" s="13" t="n">
        <v>1</v>
      </c>
      <c r="M34" s="13" t="n">
        <v>3</v>
      </c>
      <c r="P34" s="9" t="s">
        <v>41</v>
      </c>
      <c r="Q34" s="9"/>
      <c r="R34" s="9"/>
      <c r="S34" s="14" t="n">
        <f aca="false">Tabella527911247916182022242628303234363840424446485052[[#This Row],[Colonna1]]*$Q3</f>
        <v>10.8</v>
      </c>
      <c r="T34" s="14" t="n">
        <f aca="false">Tabella527911247916182022242628303234363840424446485052[[#This Row],[Colonna2]]*$Q3</f>
        <v>9.2</v>
      </c>
      <c r="U34" s="14"/>
      <c r="V34" s="14" t="n">
        <f aca="false">Tabella527911247916182022242628303234363840424446485052[[#This Row],[Colonna4]]*$Q3</f>
        <v>2</v>
      </c>
      <c r="W34" s="14" t="n">
        <f aca="false">Tabella527911247916182022242628303234363840424446485052[[#This Row],[Colonna5]]*$Q3</f>
        <v>1.2</v>
      </c>
      <c r="X34" s="14" t="n">
        <f aca="false">Tabella527911247916182022242628303234363840424446485052[[#This Row],[Colonna6]]*$Q3</f>
        <v>0.4</v>
      </c>
      <c r="Y34" s="14" t="n">
        <f aca="false">Tabella527911247916182022242628303234363840424446485052[[#This Row],[Colonna7]]*$Q3</f>
        <v>1.2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 t="n">
        <v>5</v>
      </c>
      <c r="H37" s="13" t="n">
        <v>6</v>
      </c>
      <c r="I37" s="13"/>
      <c r="J37" s="13"/>
      <c r="K37" s="13"/>
      <c r="L37" s="13" t="n">
        <v>1</v>
      </c>
      <c r="M37" s="13"/>
      <c r="P37" s="12" t="s">
        <v>44</v>
      </c>
      <c r="Q37" s="12"/>
      <c r="R37" s="12"/>
      <c r="S37" s="14" t="n">
        <f aca="false">Tabella527911247916182022242628303234363840424446485052[[#This Row],[Colonna1]]*$Q3</f>
        <v>2</v>
      </c>
      <c r="T37" s="14" t="n">
        <f aca="false">Tabella527911247916182022242628303234363840424446485052[[#This Row],[Colonna2]]*$Q3</f>
        <v>2.4</v>
      </c>
      <c r="U37" s="14" t="n">
        <f aca="false">Tabella527911247916182022242628303234363840424446485052[[#This Row],[Colonna3]]*$Q3</f>
        <v>0</v>
      </c>
      <c r="V37" s="14"/>
      <c r="W37" s="14"/>
      <c r="X37" s="14" t="n">
        <f aca="false">Tabella527911247916182022242628303234363840424446485052[[#This Row],[Colonna6]]*$Q3</f>
        <v>0.4</v>
      </c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14</v>
      </c>
      <c r="H38" s="13" t="n">
        <v>16</v>
      </c>
      <c r="I38" s="13" t="n">
        <v>1</v>
      </c>
      <c r="J38" s="13" t="n">
        <v>2</v>
      </c>
      <c r="K38" s="13" t="n">
        <v>3</v>
      </c>
      <c r="L38" s="13" t="n">
        <v>3</v>
      </c>
      <c r="M38" s="13"/>
      <c r="P38" s="16" t="s">
        <v>45</v>
      </c>
      <c r="Q38" s="16"/>
      <c r="R38" s="16"/>
      <c r="S38" s="14" t="n">
        <f aca="false">Tabella527911247916182022242628303234363840424446485052[[#This Row],[Colonna1]]*$Q3</f>
        <v>5.6</v>
      </c>
      <c r="T38" s="14" t="n">
        <f aca="false">Tabella527911247916182022242628303234363840424446485052[[#This Row],[Colonna2]]*$Q3</f>
        <v>6.4</v>
      </c>
      <c r="U38" s="14" t="n">
        <f aca="false">Tabella527911247916182022242628303234363840424446485052[[#This Row],[Colonna3]]*$Q3</f>
        <v>0.4</v>
      </c>
      <c r="V38" s="14" t="n">
        <f aca="false">Tabella527911247916182022242628303234363840424446485052[[#This Row],[Colonna4]]*$Q3</f>
        <v>0.8</v>
      </c>
      <c r="W38" s="14" t="n">
        <f aca="false">Tabella527911247916182022242628303234363840424446485052[[#This Row],[Colonna5]]*$Q3</f>
        <v>1.2</v>
      </c>
      <c r="X38" s="14" t="n">
        <f aca="false">Tabella527911247916182022242628303234363840424446485052[[#This Row],[Colonna6]]*$Q3</f>
        <v>1.2</v>
      </c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13</v>
      </c>
      <c r="H41" s="13" t="n">
        <v>9</v>
      </c>
      <c r="I41" s="13" t="n">
        <v>1</v>
      </c>
      <c r="J41" s="13"/>
      <c r="K41" s="13"/>
      <c r="L41" s="13" t="n">
        <v>1</v>
      </c>
      <c r="M41" s="13"/>
      <c r="P41" s="18" t="s">
        <v>48</v>
      </c>
      <c r="Q41" s="18"/>
      <c r="R41" s="18"/>
      <c r="S41" s="14" t="n">
        <f aca="false">Tabella527911247916182022242628303234363840424446485052[[#This Row],[Colonna1]]*$Q3</f>
        <v>5.2</v>
      </c>
      <c r="T41" s="14" t="n">
        <f aca="false">Tabella527911247916182022242628303234363840424446485052[[#This Row],[Colonna2]]*$Q3</f>
        <v>3.6</v>
      </c>
      <c r="U41" s="14" t="n">
        <f aca="false">Tabella527911247916182022242628303234363840424446485052[[#This Row],[Colonna3]]*$Q3</f>
        <v>0.4</v>
      </c>
      <c r="V41" s="14"/>
      <c r="W41" s="14"/>
      <c r="X41" s="14" t="n">
        <f aca="false">Tabella527911247916182022242628303234363840424446485052[[#This Row],[Colonna6]]*$Q3</f>
        <v>0.4</v>
      </c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 t="n">
        <v>3</v>
      </c>
      <c r="I42" s="13"/>
      <c r="J42" s="13" t="n">
        <v>1</v>
      </c>
      <c r="K42" s="13" t="n">
        <v>1</v>
      </c>
      <c r="L42" s="13"/>
      <c r="M42" s="13"/>
      <c r="P42" s="9" t="s">
        <v>49</v>
      </c>
      <c r="Q42" s="9"/>
      <c r="R42" s="9"/>
      <c r="S42" s="14"/>
      <c r="T42" s="14" t="n">
        <f aca="false">Tabella527911247916182022242628303234363840424446485052[[#This Row],[Colonna2]]*$Q3</f>
        <v>1.2</v>
      </c>
      <c r="U42" s="14"/>
      <c r="V42" s="14" t="n">
        <f aca="false">Tabella527911247916182022242628303234363840424446485052[[#This Row],[Colonna4]]*$Q3</f>
        <v>0.4</v>
      </c>
      <c r="W42" s="14" t="n">
        <f aca="false">Tabella527911247916182022242628303234363840424446485052[[#This Row],[Colonna5]]*$Q3</f>
        <v>0.4</v>
      </c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2</v>
      </c>
      <c r="H43" s="13" t="n">
        <v>2</v>
      </c>
      <c r="I43" s="13" t="n">
        <v>3</v>
      </c>
      <c r="J43" s="13" t="n">
        <v>1</v>
      </c>
      <c r="K43" s="13" t="n">
        <v>1</v>
      </c>
      <c r="L43" s="13" t="n">
        <v>1</v>
      </c>
      <c r="M43" s="13" t="n">
        <v>1</v>
      </c>
      <c r="P43" s="18" t="s">
        <v>50</v>
      </c>
      <c r="Q43" s="18"/>
      <c r="R43" s="18"/>
      <c r="S43" s="14" t="n">
        <f aca="false">Tabella527911247916182022242628303234363840424446485052[[#This Row],[Colonna1]]*$Q3</f>
        <v>0.8</v>
      </c>
      <c r="T43" s="14" t="n">
        <f aca="false">Tabella527911247916182022242628303234363840424446485052[[#This Row],[Colonna2]]*$Q3</f>
        <v>0.8</v>
      </c>
      <c r="U43" s="14" t="n">
        <f aca="false">Tabella527911247916182022242628303234363840424446485052[[#This Row],[Colonna3]]*$Q3</f>
        <v>1.2</v>
      </c>
      <c r="V43" s="14" t="n">
        <f aca="false">Tabella527911247916182022242628303234363840424446485052[[#This Row],[Colonna4]]*$Q3</f>
        <v>0.4</v>
      </c>
      <c r="W43" s="14" t="n">
        <f aca="false">Tabella527911247916182022242628303234363840424446485052[[#This Row],[Colonna5]]*$Q3</f>
        <v>0.4</v>
      </c>
      <c r="X43" s="14" t="n">
        <f aca="false">Tabella527911247916182022242628303234363840424446485052[[#This Row],[Colonna6]]*$Q3</f>
        <v>0.4</v>
      </c>
      <c r="Y43" s="14" t="n">
        <f aca="false">Tabella527911247916182022242628303234363840424446485052[[#This Row],[Colonna7]]*$Q3</f>
        <v>0.4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21</v>
      </c>
      <c r="H44" s="13" t="n">
        <v>9</v>
      </c>
      <c r="I44" s="13" t="n">
        <v>1</v>
      </c>
      <c r="J44" s="13" t="n">
        <v>5</v>
      </c>
      <c r="K44" s="13" t="n">
        <v>7</v>
      </c>
      <c r="L44" s="13" t="n">
        <v>2</v>
      </c>
      <c r="M44" s="13" t="n">
        <v>1</v>
      </c>
      <c r="P44" s="12" t="s">
        <v>51</v>
      </c>
      <c r="Q44" s="12"/>
      <c r="R44" s="12"/>
      <c r="S44" s="14" t="n">
        <f aca="false">Tabella527911247916182022242628303234363840424446485052[[#This Row],[Colonna1]]*$Q3</f>
        <v>8.4</v>
      </c>
      <c r="T44" s="14" t="n">
        <f aca="false">Tabella527911247916182022242628303234363840424446485052[[#This Row],[Colonna2]]*$Q3</f>
        <v>3.6</v>
      </c>
      <c r="U44" s="14" t="n">
        <f aca="false">Tabella527911247916182022242628303234363840424446485052[[#This Row],[Colonna3]]*$Q3</f>
        <v>0.4</v>
      </c>
      <c r="V44" s="14" t="n">
        <f aca="false">Tabella527911247916182022242628303234363840424446485052[[#This Row],[Colonna4]]*$Q3</f>
        <v>2</v>
      </c>
      <c r="W44" s="14" t="n">
        <f aca="false">Tabella527911247916182022242628303234363840424446485052[[#This Row],[Colonna5]]*$Q3</f>
        <v>2.8</v>
      </c>
      <c r="X44" s="14" t="n">
        <f aca="false">Tabella527911247916182022242628303234363840424446485052[[#This Row],[Colonna6]]*$Q3</f>
        <v>0.8</v>
      </c>
      <c r="Y44" s="14" t="n">
        <f aca="false">Tabella527911247916182022242628303234363840424446485052[[#This Row],[Colonna7]]*$Q3</f>
        <v>0.4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 t="n">
        <v>3</v>
      </c>
      <c r="I48" s="13"/>
      <c r="J48" s="13" t="n">
        <v>2</v>
      </c>
      <c r="K48" s="13"/>
      <c r="L48" s="13"/>
      <c r="M48" s="13"/>
      <c r="P48" s="12" t="s">
        <v>55</v>
      </c>
      <c r="Q48" s="12"/>
      <c r="R48" s="12"/>
      <c r="S48" s="14"/>
      <c r="T48" s="14" t="n">
        <f aca="false">Tabella527911247916182022242628303234363840424446485052[[#This Row],[Colonna2]]*$Q3</f>
        <v>1.2</v>
      </c>
      <c r="U48" s="14"/>
      <c r="V48" s="14" t="n">
        <f aca="false">Tabella527911247916182022242628303234363840424446485052[[#This Row],[Colonna4]]*$Q3</f>
        <v>0.8</v>
      </c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16</v>
      </c>
      <c r="H52" s="13" t="n">
        <v>15</v>
      </c>
      <c r="I52" s="13" t="n">
        <v>0</v>
      </c>
      <c r="J52" s="13" t="n">
        <v>18</v>
      </c>
      <c r="K52" s="13" t="n">
        <v>8</v>
      </c>
      <c r="L52" s="13" t="n">
        <v>5</v>
      </c>
      <c r="M52" s="13" t="n">
        <v>1</v>
      </c>
      <c r="P52" s="12" t="s">
        <v>59</v>
      </c>
      <c r="Q52" s="12"/>
      <c r="R52" s="12"/>
      <c r="S52" s="14" t="n">
        <f aca="false">Tabella527911247916182022242628303234363840424446485052[[#This Row],[Colonna1]]*$Q3</f>
        <v>6.4</v>
      </c>
      <c r="T52" s="14" t="n">
        <f aca="false">Tabella527911247916182022242628303234363840424446485052[[#This Row],[Colonna2]]*$Q3</f>
        <v>6</v>
      </c>
      <c r="U52" s="14" t="n">
        <f aca="false">Tabella527911247916182022242628303234363840424446485052[[#This Row],[Colonna3]]*$Q3</f>
        <v>0</v>
      </c>
      <c r="V52" s="14" t="n">
        <f aca="false">Tabella527911247916182022242628303234363840424446485052[[#This Row],[Colonna4]]*$Q3</f>
        <v>7.2</v>
      </c>
      <c r="W52" s="14" t="n">
        <f aca="false">Tabella527911247916182022242628303234363840424446485052[[#This Row],[Colonna5]]*$Q3</f>
        <v>3.2</v>
      </c>
      <c r="X52" s="14" t="n">
        <f aca="false">Tabella527911247916182022242628303234363840424446485052[[#This Row],[Colonna6]]*$Q3</f>
        <v>2</v>
      </c>
      <c r="Y52" s="14" t="n">
        <f aca="false">Tabella527911247916182022242628303234363840424446485052[[#This Row],[Colonna7]]*$Q3</f>
        <v>0.4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SUM(G52,G44,G43,G41,G38,G37,G34,G31,G29,G28,G27,G22,G20,G19,G15,G10,G7)</f>
        <v>295</v>
      </c>
      <c r="H53" s="55" t="n">
        <f aca="false">SUM(H52,H48,H44,H43,H42,H41,H38,H37,H34,H31,H29,H28,H27,H22,H21,H20,H19,H10)</f>
        <v>224</v>
      </c>
      <c r="I53" s="55" t="n">
        <f aca="false">SUM(I44,I43,I41,I38,I28,I27,I7)</f>
        <v>13</v>
      </c>
      <c r="J53" s="55" t="n">
        <f aca="false">SUM(J52,J48,J44,J43,J42,J38,J34,J31,J29,J28,J27,J22,J7)</f>
        <v>56</v>
      </c>
      <c r="K53" s="55" t="n">
        <f aca="false">SUM(K52,K44,K43,K42,K38,K34,K31,K29,K28,K27,K22,K20,K18,K6)</f>
        <v>50</v>
      </c>
      <c r="L53" s="55" t="n">
        <f aca="false">SUM(L52,L44,L43,L41,L38,L37,L34,L29,L28,L27,L23,L22,L20,L7)</f>
        <v>71</v>
      </c>
      <c r="M53" s="55" t="n">
        <f aca="false">SUM(M52,M44,M43,M34,M29)</f>
        <v>7</v>
      </c>
      <c r="P53" s="17" t="s">
        <v>60</v>
      </c>
      <c r="Q53" s="17"/>
      <c r="R53" s="17"/>
      <c r="S53" s="56" t="n">
        <f aca="false">Tabella527911247916182022242628303234363840424446485052[[#This Row],[Colonna1]]*$Q3</f>
        <v>118</v>
      </c>
      <c r="T53" s="56" t="n">
        <f aca="false">Tabella527911247916182022242628303234363840424446485052[[#This Row],[Colonna2]]*$Q3</f>
        <v>89.6</v>
      </c>
      <c r="U53" s="56" t="n">
        <f aca="false">Tabella527911247916182022242628303234363840424446485052[[#This Row],[Colonna3]]*$Q3</f>
        <v>5.2</v>
      </c>
      <c r="V53" s="56" t="n">
        <f aca="false">Tabella527911247916182022242628303234363840424446485052[[#This Row],[Colonna4]]*$Q3</f>
        <v>22.4</v>
      </c>
      <c r="W53" s="56" t="n">
        <f aca="false">Tabella527911247916182022242628303234363840424446485052[[#This Row],[Colonna5]]*$Q3</f>
        <v>20</v>
      </c>
      <c r="X53" s="56" t="n">
        <f aca="false">Tabella527911247916182022242628303234363840424446485052[[#This Row],[Colonna6]]*$Q3</f>
        <v>28.4</v>
      </c>
      <c r="Y53" s="56" t="n">
        <f aca="false">Tabella527911247916182022242628303234363840424446485052[[#This Row],[Colonna7]]*$Q3</f>
        <v>2.8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62</v>
      </c>
      <c r="H58" s="26" t="n">
        <v>66</v>
      </c>
      <c r="I58" s="26" t="n">
        <v>5</v>
      </c>
      <c r="J58" s="26" t="n">
        <v>32</v>
      </c>
      <c r="K58" s="26" t="n">
        <v>30</v>
      </c>
      <c r="L58" s="26" t="n">
        <v>29</v>
      </c>
      <c r="M58" s="26" t="n">
        <v>6</v>
      </c>
      <c r="P58" s="23" t="s">
        <v>62</v>
      </c>
      <c r="Q58" s="23"/>
      <c r="R58" s="23"/>
      <c r="S58" s="57" t="n">
        <f aca="false">G58*$Q3</f>
        <v>24.8</v>
      </c>
      <c r="T58" s="57" t="n">
        <f aca="false">H58*$Q3</f>
        <v>26.4</v>
      </c>
      <c r="U58" s="57" t="n">
        <f aca="false">I58*$Q3</f>
        <v>2</v>
      </c>
      <c r="V58" s="57" t="n">
        <f aca="false">J58*$Q3</f>
        <v>12.8</v>
      </c>
      <c r="W58" s="57" t="n">
        <f aca="false">K58*$Q3</f>
        <v>12</v>
      </c>
      <c r="X58" s="57" t="n">
        <f aca="false">L58*$Q3</f>
        <v>11.6</v>
      </c>
      <c r="Y58" s="57" t="n">
        <f aca="false">M58*$Q3</f>
        <v>2.4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14</v>
      </c>
      <c r="H62" s="26" t="n">
        <v>13</v>
      </c>
      <c r="I62" s="26"/>
      <c r="J62" s="26" t="n">
        <v>3</v>
      </c>
      <c r="K62" s="26" t="n">
        <v>5</v>
      </c>
      <c r="L62" s="26" t="n">
        <v>2</v>
      </c>
      <c r="M62" s="26"/>
      <c r="P62" s="9" t="s">
        <v>66</v>
      </c>
      <c r="Q62" s="9"/>
      <c r="R62" s="9"/>
      <c r="S62" s="57" t="n">
        <f aca="false">G62*$Q3</f>
        <v>5.6</v>
      </c>
      <c r="T62" s="57" t="n">
        <f aca="false">H62*$Q3</f>
        <v>5.2</v>
      </c>
      <c r="U62" s="57"/>
      <c r="V62" s="57" t="n">
        <f aca="false">J62*$Q3</f>
        <v>1.2</v>
      </c>
      <c r="W62" s="57" t="n">
        <f aca="false">K62*$Q3</f>
        <v>2</v>
      </c>
      <c r="X62" s="57" t="n">
        <f aca="false">L62*$Q3</f>
        <v>0.8</v>
      </c>
      <c r="Y62" s="57"/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 t="n">
        <v>1</v>
      </c>
      <c r="K63" s="26" t="n">
        <v>1</v>
      </c>
      <c r="L63" s="26" t="n">
        <v>2</v>
      </c>
      <c r="M63" s="26"/>
      <c r="P63" s="9" t="s">
        <v>67</v>
      </c>
      <c r="Q63" s="9"/>
      <c r="R63" s="9"/>
      <c r="S63" s="57"/>
      <c r="T63" s="27"/>
      <c r="U63" s="27"/>
      <c r="V63" s="27" t="n">
        <f aca="false">J63*$Q3</f>
        <v>0.4</v>
      </c>
      <c r="W63" s="27" t="n">
        <f aca="false">K63*$Q3</f>
        <v>0.4</v>
      </c>
      <c r="X63" s="27" t="n">
        <f aca="false">L63*$Q3</f>
        <v>0.8</v>
      </c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 t="n">
        <v>1</v>
      </c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27" t="n">
        <f aca="false">H64*$Q3</f>
        <v>0.4</v>
      </c>
      <c r="U64" s="27"/>
      <c r="V64" s="27"/>
      <c r="W64" s="27"/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6</v>
      </c>
      <c r="H65" s="26"/>
      <c r="I65" s="26" t="n">
        <v>5</v>
      </c>
      <c r="J65" s="26" t="n">
        <v>18</v>
      </c>
      <c r="K65" s="26" t="n">
        <v>4</v>
      </c>
      <c r="L65" s="26" t="n">
        <v>8</v>
      </c>
      <c r="M65" s="26" t="n">
        <v>16</v>
      </c>
      <c r="P65" s="9" t="s">
        <v>69</v>
      </c>
      <c r="Q65" s="9"/>
      <c r="R65" s="9"/>
      <c r="S65" s="57" t="n">
        <f aca="false">G65*$Q3</f>
        <v>2.4</v>
      </c>
      <c r="T65" s="57"/>
      <c r="U65" s="57" t="n">
        <f aca="false">I65*$Q3</f>
        <v>2</v>
      </c>
      <c r="V65" s="57" t="n">
        <f aca="false">J65*$Q3</f>
        <v>7.2</v>
      </c>
      <c r="W65" s="57" t="n">
        <f aca="false">K65*$Q3</f>
        <v>1.6</v>
      </c>
      <c r="X65" s="57" t="n">
        <f aca="false">L65*$Q3</f>
        <v>3.2</v>
      </c>
      <c r="Y65" s="57" t="n">
        <f aca="false">M65*$Q3</f>
        <v>6.4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21</v>
      </c>
      <c r="H67" s="26" t="n">
        <v>31</v>
      </c>
      <c r="I67" s="26"/>
      <c r="J67" s="26" t="n">
        <v>6</v>
      </c>
      <c r="K67" s="26" t="n">
        <v>15</v>
      </c>
      <c r="L67" s="26" t="n">
        <v>20</v>
      </c>
      <c r="M67" s="26"/>
      <c r="P67" s="9" t="s">
        <v>71</v>
      </c>
      <c r="Q67" s="9"/>
      <c r="R67" s="9"/>
      <c r="S67" s="57" t="n">
        <f aca="false">G67*$Q3</f>
        <v>8.4</v>
      </c>
      <c r="T67" s="57" t="n">
        <f aca="false">H67*$Q3</f>
        <v>12.4</v>
      </c>
      <c r="U67" s="57"/>
      <c r="V67" s="57" t="n">
        <f aca="false">J67*$Q3</f>
        <v>2.4</v>
      </c>
      <c r="W67" s="57" t="n">
        <f aca="false">K67*$Q3</f>
        <v>6</v>
      </c>
      <c r="X67" s="57" t="n">
        <f aca="false">L67*$Q3</f>
        <v>8</v>
      </c>
      <c r="Y67" s="27"/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18</v>
      </c>
      <c r="H68" s="30" t="n">
        <v>6</v>
      </c>
      <c r="I68" s="30" t="n">
        <v>8</v>
      </c>
      <c r="J68" s="30" t="n">
        <v>11</v>
      </c>
      <c r="K68" s="30" t="n">
        <v>4</v>
      </c>
      <c r="L68" s="30" t="n">
        <v>3</v>
      </c>
      <c r="M68" s="30" t="n">
        <v>3</v>
      </c>
      <c r="P68" s="9" t="s">
        <v>72</v>
      </c>
      <c r="Q68" s="9"/>
      <c r="R68" s="9"/>
      <c r="S68" s="59" t="n">
        <f aca="false">G68*$Q3</f>
        <v>7.2</v>
      </c>
      <c r="T68" s="59" t="n">
        <f aca="false">H68*$Q3</f>
        <v>2.4</v>
      </c>
      <c r="U68" s="59" t="n">
        <f aca="false">I68*$Q3</f>
        <v>3.2</v>
      </c>
      <c r="V68" s="59" t="n">
        <f aca="false">J68*$Q3</f>
        <v>4.4</v>
      </c>
      <c r="W68" s="59" t="n">
        <f aca="false">K68*$Q3</f>
        <v>1.6</v>
      </c>
      <c r="X68" s="59" t="n">
        <f aca="false">L68*$Q3</f>
        <v>1.2</v>
      </c>
      <c r="Y68" s="59" t="n">
        <f aca="false">M68*$Q3</f>
        <v>1.2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4</v>
      </c>
      <c r="H69" s="30" t="n">
        <v>5</v>
      </c>
      <c r="I69" s="30"/>
      <c r="J69" s="30"/>
      <c r="K69" s="30"/>
      <c r="L69" s="30"/>
      <c r="M69" s="30"/>
      <c r="P69" s="9" t="s">
        <v>73</v>
      </c>
      <c r="Q69" s="9"/>
      <c r="R69" s="9"/>
      <c r="S69" s="59" t="n">
        <f aca="false">G69*$Q3</f>
        <v>1.6</v>
      </c>
      <c r="T69" s="59" t="n">
        <f aca="false">H69*$Q3</f>
        <v>2</v>
      </c>
      <c r="U69" s="31"/>
      <c r="V69" s="31"/>
      <c r="W69" s="31"/>
      <c r="X69" s="31"/>
      <c r="Y69" s="31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SUM(G58,G62,G65,G67,G68,G69)</f>
        <v>125</v>
      </c>
      <c r="H70" s="60" t="n">
        <f aca="false">SUM(H58,H62,H64,H67,H68,H69)</f>
        <v>122</v>
      </c>
      <c r="I70" s="60" t="n">
        <f aca="false">SUM(I68,I65,I58)</f>
        <v>18</v>
      </c>
      <c r="J70" s="60" t="n">
        <f aca="false">SUM(J58,J62,J63,J65,J68,J67)</f>
        <v>71</v>
      </c>
      <c r="K70" s="12" t="n">
        <f aca="false">SUM(K58,K62,K63,K65,K67,K68)</f>
        <v>59</v>
      </c>
      <c r="L70" s="12" t="n">
        <f aca="false">SUM(L58,L62,L63,L65,L67,L68)</f>
        <v>64</v>
      </c>
      <c r="M70" s="12" t="n">
        <f aca="false">SUM(M58,M65,M68)</f>
        <v>25</v>
      </c>
      <c r="P70" s="9" t="s">
        <v>60</v>
      </c>
      <c r="Q70" s="9"/>
      <c r="R70" s="9"/>
      <c r="S70" s="61" t="n">
        <f aca="false">G70*$Q3</f>
        <v>50</v>
      </c>
      <c r="T70" s="61" t="n">
        <f aca="false">H70*$Q3</f>
        <v>48.8</v>
      </c>
      <c r="U70" s="61" t="n">
        <f aca="false">I70*$Q3</f>
        <v>7.2</v>
      </c>
      <c r="V70" s="61" t="n">
        <f aca="false">J70*$Q3</f>
        <v>28.4</v>
      </c>
      <c r="W70" s="61" t="n">
        <f aca="false">K70*$Q3</f>
        <v>23.6</v>
      </c>
      <c r="X70" s="61" t="n">
        <f aca="false">L70*$Q3</f>
        <v>25.6</v>
      </c>
      <c r="Y70" s="61" t="n">
        <f aca="false">M70*$Q3</f>
        <v>10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34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45061</v>
      </c>
      <c r="K3" s="5" t="n">
        <v>45067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45061</v>
      </c>
      <c r="W3" s="5" t="n">
        <v>45067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 t="n">
        <v>2</v>
      </c>
      <c r="J6" s="13" t="n">
        <v>1</v>
      </c>
      <c r="K6" s="13"/>
      <c r="L6" s="13"/>
      <c r="M6" s="13"/>
      <c r="P6" s="9" t="s">
        <v>13</v>
      </c>
      <c r="Q6" s="9"/>
      <c r="R6" s="9"/>
      <c r="S6" s="14"/>
      <c r="T6" s="14"/>
      <c r="U6" s="14" t="n">
        <f aca="false">Tabella52791124791618202224262830323436384042444648505254[[#This Row],[Colonna3]]*$Q3</f>
        <v>0.8</v>
      </c>
      <c r="V6" s="14" t="n">
        <f aca="false">Tabella52791124791618202224262830323436384042444648505254[[#This Row],[Colonna4]]*$Q3</f>
        <v>0.4</v>
      </c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 t="n">
        <v>2</v>
      </c>
      <c r="J7" s="13" t="n">
        <v>7</v>
      </c>
      <c r="K7" s="13"/>
      <c r="L7" s="13" t="n">
        <v>1</v>
      </c>
      <c r="M7" s="13" t="n">
        <v>2</v>
      </c>
      <c r="P7" s="12" t="s">
        <v>14</v>
      </c>
      <c r="Q7" s="12"/>
      <c r="R7" s="12"/>
      <c r="S7" s="14"/>
      <c r="T7" s="14"/>
      <c r="U7" s="14" t="n">
        <f aca="false">Tabella52791124791618202224262830323436384042444648505254[[#This Row],[Colonna3]]*$Q3</f>
        <v>0.8</v>
      </c>
      <c r="V7" s="14" t="n">
        <f aca="false">Tabella52791124791618202224262830323436384042444648505254[[#This Row],[Colonna4]]*$Q3</f>
        <v>2.8</v>
      </c>
      <c r="W7" s="14"/>
      <c r="X7" s="14" t="n">
        <f aca="false">Tabella52791124791618202224262830323436384042444648505254[[#This Row],[Colonna6]]*$Q3</f>
        <v>0.4</v>
      </c>
      <c r="Y7" s="14" t="n">
        <f aca="false">Tabella52791124791618202224262830323436384042444648505254[[#This Row],[Colonna7]]*$Q3</f>
        <v>0.8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1</v>
      </c>
      <c r="H10" s="13" t="n">
        <v>3</v>
      </c>
      <c r="I10" s="13"/>
      <c r="J10" s="13"/>
      <c r="K10" s="13"/>
      <c r="L10" s="13"/>
      <c r="M10" s="13"/>
      <c r="P10" s="12" t="s">
        <v>17</v>
      </c>
      <c r="Q10" s="12"/>
      <c r="R10" s="12"/>
      <c r="S10" s="14" t="n">
        <f aca="false">Tabella52791124791618202224262830323436384042444648505254[[#This Row],[Colonna1]]*$Q3</f>
        <v>0.4</v>
      </c>
      <c r="T10" s="14" t="n">
        <f aca="false">Tabella52791124791618202224262830323436384042444648505254[[#This Row],[Colonna2]]*$Q3</f>
        <v>1.2</v>
      </c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 t="n">
        <v>1</v>
      </c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 t="n">
        <f aca="false">Tabella52791124791618202224262830323436384042444648505254[[#This Row],[Colonna1]]*$Q3</f>
        <v>0.4</v>
      </c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 t="n">
        <v>3</v>
      </c>
      <c r="H20" s="13" t="n">
        <v>11</v>
      </c>
      <c r="I20" s="13" t="n">
        <v>5</v>
      </c>
      <c r="J20" s="13" t="n">
        <v>4</v>
      </c>
      <c r="K20" s="13"/>
      <c r="L20" s="13" t="n">
        <v>1</v>
      </c>
      <c r="M20" s="13" t="n">
        <v>3</v>
      </c>
      <c r="P20" s="9" t="s">
        <v>27</v>
      </c>
      <c r="Q20" s="9"/>
      <c r="R20" s="9"/>
      <c r="S20" s="14" t="n">
        <f aca="false">Tabella52791124791618202224262830323436384042444648505254[[#This Row],[Colonna1]]*$Q3</f>
        <v>1.2</v>
      </c>
      <c r="T20" s="14" t="n">
        <f aca="false">Tabella52791124791618202224262830323436384042444648505254[[#This Row],[Colonna2]]*$Q3</f>
        <v>4.4</v>
      </c>
      <c r="U20" s="14" t="n">
        <f aca="false">Tabella52791124791618202224262830323436384042444648505254[[#This Row],[Colonna3]]*$Q3</f>
        <v>2</v>
      </c>
      <c r="V20" s="14" t="n">
        <f aca="false">Tabella52791124791618202224262830323436384042444648505254[[#This Row],[Colonna4]]*$Q3</f>
        <v>1.6</v>
      </c>
      <c r="W20" s="14"/>
      <c r="X20" s="14" t="n">
        <f aca="false">Tabella52791124791618202224262830323436384042444648505254[[#This Row],[Colonna6]]*$Q3</f>
        <v>0.4</v>
      </c>
      <c r="Y20" s="14" t="n">
        <f aca="false">Tabella52791124791618202224262830323436384042444648505254[[#This Row],[Colonna7]]*$Q3</f>
        <v>1.2</v>
      </c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3</v>
      </c>
      <c r="H22" s="13" t="n">
        <v>16</v>
      </c>
      <c r="I22" s="13" t="n">
        <v>5</v>
      </c>
      <c r="J22" s="13" t="n">
        <v>13</v>
      </c>
      <c r="K22" s="13"/>
      <c r="L22" s="13" t="n">
        <v>4</v>
      </c>
      <c r="M22" s="13" t="n">
        <v>2</v>
      </c>
      <c r="P22" s="12" t="s">
        <v>29</v>
      </c>
      <c r="Q22" s="12"/>
      <c r="R22" s="12"/>
      <c r="S22" s="14" t="n">
        <f aca="false">Tabella52791124791618202224262830323436384042444648505254[[#This Row],[Colonna1]]*$Q3</f>
        <v>1.2</v>
      </c>
      <c r="T22" s="14" t="n">
        <f aca="false">Tabella52791124791618202224262830323436384042444648505254[[#This Row],[Colonna2]]*$Q3</f>
        <v>6.4</v>
      </c>
      <c r="U22" s="14" t="n">
        <f aca="false">Tabella52791124791618202224262830323436384042444648505254[[#This Row],[Colonna3]]*$Q3</f>
        <v>2</v>
      </c>
      <c r="V22" s="14" t="n">
        <f aca="false">Tabella52791124791618202224262830323436384042444648505254[[#This Row],[Colonna4]]*$Q3</f>
        <v>5.2</v>
      </c>
      <c r="W22" s="14"/>
      <c r="X22" s="14" t="n">
        <f aca="false">Tabella52791124791618202224262830323436384042444648505254[[#This Row],[Colonna6]]*$Q3</f>
        <v>1.6</v>
      </c>
      <c r="Y22" s="14" t="n">
        <f aca="false">Tabella52791124791618202224262830323436384042444648505254[[#This Row],[Colonna7]]*$Q3</f>
        <v>0.8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1</v>
      </c>
      <c r="H27" s="13" t="n">
        <v>1</v>
      </c>
      <c r="I27" s="13"/>
      <c r="J27" s="13"/>
      <c r="K27" s="13"/>
      <c r="L27" s="13"/>
      <c r="M27" s="13"/>
      <c r="P27" s="12" t="s">
        <v>34</v>
      </c>
      <c r="Q27" s="12"/>
      <c r="R27" s="12"/>
      <c r="S27" s="14" t="n">
        <f aca="false">Tabella52791124791618202224262830323436384042444648505254[[#This Row],[Colonna1]]*$Q3</f>
        <v>0.4</v>
      </c>
      <c r="T27" s="14" t="n">
        <f aca="false">Tabella52791124791618202224262830323436384042444648505254[[#This Row],[Colonna2]]*$Q3</f>
        <v>0.4</v>
      </c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2</v>
      </c>
      <c r="H28" s="13" t="n">
        <v>2</v>
      </c>
      <c r="I28" s="13"/>
      <c r="J28" s="13" t="n">
        <v>6</v>
      </c>
      <c r="K28" s="13" t="n">
        <v>2</v>
      </c>
      <c r="L28" s="13" t="n">
        <v>6</v>
      </c>
      <c r="M28" s="13" t="n">
        <v>1</v>
      </c>
      <c r="P28" s="12" t="s">
        <v>35</v>
      </c>
      <c r="Q28" s="12"/>
      <c r="R28" s="12"/>
      <c r="S28" s="14" t="n">
        <f aca="false">Tabella52791124791618202224262830323436384042444648505254[[#This Row],[Colonna1]]*$Q3</f>
        <v>0.8</v>
      </c>
      <c r="T28" s="14" t="n">
        <f aca="false">Tabella52791124791618202224262830323436384042444648505254[[#This Row],[Colonna2]]*$Q3</f>
        <v>0.8</v>
      </c>
      <c r="U28" s="14"/>
      <c r="V28" s="14" t="n">
        <f aca="false">Tabella52791124791618202224262830323436384042444648505254[[#This Row],[Colonna4]]*$Q3</f>
        <v>2.4</v>
      </c>
      <c r="W28" s="14" t="n">
        <f aca="false">Tabella52791124791618202224262830323436384042444648505254[[#This Row],[Colonna5]]*$Q3</f>
        <v>0.8</v>
      </c>
      <c r="X28" s="14" t="n">
        <f aca="false">Tabella52791124791618202224262830323436384042444648505254[[#This Row],[Colonna6]]*$Q3</f>
        <v>2.4</v>
      </c>
      <c r="Y28" s="14" t="n">
        <f aca="false">Tabella52791124791618202224262830323436384042444648505254[[#This Row],[Colonna7]]*$Q3</f>
        <v>0.4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133</v>
      </c>
      <c r="H29" s="13" t="n">
        <v>38</v>
      </c>
      <c r="I29" s="13" t="n">
        <v>7</v>
      </c>
      <c r="J29" s="13" t="n">
        <v>62</v>
      </c>
      <c r="K29" s="13" t="n">
        <v>9</v>
      </c>
      <c r="L29" s="13" t="n">
        <v>11</v>
      </c>
      <c r="M29" s="13" t="n">
        <v>55</v>
      </c>
      <c r="P29" s="12" t="s">
        <v>36</v>
      </c>
      <c r="Q29" s="12"/>
      <c r="R29" s="12"/>
      <c r="S29" s="14" t="n">
        <f aca="false">Tabella52791124791618202224262830323436384042444648505254[[#This Row],[Colonna1]]*$Q3</f>
        <v>53.2</v>
      </c>
      <c r="T29" s="14" t="n">
        <f aca="false">Tabella52791124791618202224262830323436384042444648505254[[#This Row],[Colonna2]]*$Q3</f>
        <v>15.2</v>
      </c>
      <c r="U29" s="14" t="n">
        <f aca="false">Tabella52791124791618202224262830323436384042444648505254[[#This Row],[Colonna3]]*$Q3</f>
        <v>2.8</v>
      </c>
      <c r="V29" s="14" t="n">
        <f aca="false">Tabella52791124791618202224262830323436384042444648505254[[#This Row],[Colonna4]]*$Q3</f>
        <v>24.8</v>
      </c>
      <c r="W29" s="14" t="n">
        <f aca="false">Tabella52791124791618202224262830323436384042444648505254[[#This Row],[Colonna5]]*$Q3</f>
        <v>3.6</v>
      </c>
      <c r="X29" s="14" t="n">
        <f aca="false">Tabella52791124791618202224262830323436384042444648505254[[#This Row],[Colonna6]]*$Q3</f>
        <v>4.4</v>
      </c>
      <c r="Y29" s="14" t="n">
        <f aca="false">Tabella52791124791618202224262830323436384042444648505254[[#This Row],[Colonna7]]*$Q3</f>
        <v>22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7</v>
      </c>
      <c r="H31" s="13" t="n">
        <v>5</v>
      </c>
      <c r="I31" s="13"/>
      <c r="J31" s="13" t="n">
        <v>3</v>
      </c>
      <c r="K31" s="13"/>
      <c r="L31" s="13"/>
      <c r="M31" s="13"/>
      <c r="P31" s="9" t="s">
        <v>38</v>
      </c>
      <c r="Q31" s="9"/>
      <c r="R31" s="9"/>
      <c r="S31" s="14" t="n">
        <f aca="false">Tabella52791124791618202224262830323436384042444648505254[[#This Row],[Colonna1]]*$Q3</f>
        <v>2.8</v>
      </c>
      <c r="T31" s="14" t="n">
        <f aca="false">Tabella52791124791618202224262830323436384042444648505254[[#This Row],[Colonna2]]*$Q3</f>
        <v>2</v>
      </c>
      <c r="U31" s="14"/>
      <c r="V31" s="14" t="n">
        <f aca="false">Tabella52791124791618202224262830323436384042444648505254[[#This Row],[Colonna4]]*$Q3</f>
        <v>1.2</v>
      </c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 t="n">
        <v>1</v>
      </c>
      <c r="H34" s="13"/>
      <c r="I34" s="13" t="n">
        <v>10</v>
      </c>
      <c r="J34" s="13" t="n">
        <v>4</v>
      </c>
      <c r="K34" s="13"/>
      <c r="L34" s="13"/>
      <c r="M34" s="13"/>
      <c r="P34" s="9" t="s">
        <v>41</v>
      </c>
      <c r="Q34" s="9"/>
      <c r="R34" s="9"/>
      <c r="S34" s="14" t="n">
        <f aca="false">Tabella52791124791618202224262830323436384042444648505254[[#This Row],[Colonna1]]*$Q3</f>
        <v>0.4</v>
      </c>
      <c r="T34" s="14"/>
      <c r="U34" s="14" t="n">
        <f aca="false">Tabella52791124791618202224262830323436384042444648505254[[#This Row],[Colonna3]]*$Q3</f>
        <v>4</v>
      </c>
      <c r="V34" s="14" t="n">
        <f aca="false">Tabella52791124791618202224262830323436384042444648505254[[#This Row],[Colonna4]]*$Q3</f>
        <v>1.6</v>
      </c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 t="n">
        <v>1</v>
      </c>
      <c r="I37" s="13" t="n">
        <v>3</v>
      </c>
      <c r="J37" s="13" t="n">
        <v>1</v>
      </c>
      <c r="K37" s="13"/>
      <c r="L37" s="13"/>
      <c r="M37" s="13" t="n">
        <v>2</v>
      </c>
      <c r="P37" s="12" t="s">
        <v>44</v>
      </c>
      <c r="Q37" s="12"/>
      <c r="R37" s="12"/>
      <c r="S37" s="14"/>
      <c r="T37" s="14" t="n">
        <f aca="false">Tabella52791124791618202224262830323436384042444648505254[[#This Row],[Colonna2]]*$Q3</f>
        <v>0.4</v>
      </c>
      <c r="U37" s="14" t="n">
        <f aca="false">Tabella52791124791618202224262830323436384042444648505254[[#This Row],[Colonna3]]*$Q3</f>
        <v>1.2</v>
      </c>
      <c r="V37" s="14" t="n">
        <f aca="false">Tabella52791124791618202224262830323436384042444648505254[[#This Row],[Colonna4]]*$Q3</f>
        <v>0.4</v>
      </c>
      <c r="W37" s="14"/>
      <c r="X37" s="14"/>
      <c r="Y37" s="14" t="n">
        <f aca="false">Tabella52791124791618202224262830323436384042444648505254[[#This Row],[Colonna7]]*$Q3</f>
        <v>0.8</v>
      </c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3</v>
      </c>
      <c r="H38" s="13" t="n">
        <v>3</v>
      </c>
      <c r="I38" s="13"/>
      <c r="J38" s="13" t="n">
        <v>2</v>
      </c>
      <c r="K38" s="13"/>
      <c r="L38" s="13" t="n">
        <v>3</v>
      </c>
      <c r="M38" s="13" t="n">
        <v>3</v>
      </c>
      <c r="P38" s="16" t="s">
        <v>45</v>
      </c>
      <c r="Q38" s="16"/>
      <c r="R38" s="16"/>
      <c r="S38" s="14" t="n">
        <f aca="false">Tabella52791124791618202224262830323436384042444648505254[[#This Row],[Colonna1]]*$Q3</f>
        <v>1.2</v>
      </c>
      <c r="T38" s="14" t="n">
        <f aca="false">Tabella52791124791618202224262830323436384042444648505254[[#This Row],[Colonna2]]*$Q3</f>
        <v>1.2</v>
      </c>
      <c r="U38" s="14"/>
      <c r="V38" s="14" t="n">
        <f aca="false">Tabella52791124791618202224262830323436384042444648505254[[#This Row],[Colonna4]]*$Q3</f>
        <v>0.8</v>
      </c>
      <c r="W38" s="14"/>
      <c r="X38" s="14" t="n">
        <f aca="false">Tabella52791124791618202224262830323436384042444648505254[[#This Row],[Colonna6]]*$Q3</f>
        <v>1.2</v>
      </c>
      <c r="Y38" s="14" t="n">
        <f aca="false">Tabella52791124791618202224262830323436384042444648505254[[#This Row],[Colonna7]]*$Q3</f>
        <v>1.2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13" t="n">
        <v>14</v>
      </c>
      <c r="I41" s="13" t="n">
        <v>1</v>
      </c>
      <c r="J41" s="13" t="n">
        <v>5</v>
      </c>
      <c r="K41" s="13"/>
      <c r="L41" s="13" t="n">
        <v>1</v>
      </c>
      <c r="M41" s="13" t="n">
        <v>3</v>
      </c>
      <c r="P41" s="18" t="s">
        <v>48</v>
      </c>
      <c r="Q41" s="18"/>
      <c r="R41" s="18"/>
      <c r="S41" s="14" t="n">
        <f aca="false">Tabella52791124791618202224262830323436384042444648505254[[#This Row],[Colonna1]]*$Q3</f>
        <v>0.4</v>
      </c>
      <c r="T41" s="14" t="n">
        <f aca="false">Tabella52791124791618202224262830323436384042444648505254[[#This Row],[Colonna2]]*$Q3</f>
        <v>5.6</v>
      </c>
      <c r="U41" s="14" t="n">
        <f aca="false">Tabella52791124791618202224262830323436384042444648505254[[#This Row],[Colonna3]]*$Q3</f>
        <v>0.4</v>
      </c>
      <c r="V41" s="14" t="n">
        <f aca="false">Tabella52791124791618202224262830323436384042444648505254[[#This Row],[Colonna4]]*$Q3</f>
        <v>2</v>
      </c>
      <c r="W41" s="14"/>
      <c r="X41" s="14" t="n">
        <f aca="false">Tabella52791124791618202224262830323436384042444648505254[[#This Row],[Colonna6]]*$Q3</f>
        <v>0.4</v>
      </c>
      <c r="Y41" s="14" t="n">
        <f aca="false">Tabella52791124791618202224262830323436384042444648505254[[#This Row],[Colonna7]]*$Q3</f>
        <v>1.2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 t="n">
        <v>2</v>
      </c>
      <c r="I42" s="13"/>
      <c r="J42" s="13" t="n">
        <v>2</v>
      </c>
      <c r="K42" s="13"/>
      <c r="L42" s="13"/>
      <c r="M42" s="13"/>
      <c r="P42" s="9" t="s">
        <v>49</v>
      </c>
      <c r="Q42" s="9"/>
      <c r="R42" s="9"/>
      <c r="S42" s="14"/>
      <c r="T42" s="14" t="n">
        <f aca="false">Tabella52791124791618202224262830323436384042444648505254[[#This Row],[Colonna2]]*$Q3</f>
        <v>0.8</v>
      </c>
      <c r="U42" s="14"/>
      <c r="V42" s="14" t="n">
        <f aca="false">Tabella52791124791618202224262830323436384042444648505254[[#This Row],[Colonna4]]*$Q3</f>
        <v>0.8</v>
      </c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 t="n">
        <v>2</v>
      </c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 t="n">
        <f aca="false">Tabella52791124791618202224262830323436384042444648505254[[#This Row],[Colonna2]]*$Q3</f>
        <v>0.8</v>
      </c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8</v>
      </c>
      <c r="H44" s="13" t="n">
        <v>5</v>
      </c>
      <c r="I44" s="13" t="n">
        <v>2</v>
      </c>
      <c r="J44" s="13" t="n">
        <v>4</v>
      </c>
      <c r="K44" s="13" t="n">
        <v>2</v>
      </c>
      <c r="L44" s="13" t="n">
        <v>5</v>
      </c>
      <c r="M44" s="13" t="n">
        <v>9</v>
      </c>
      <c r="P44" s="12" t="s">
        <v>51</v>
      </c>
      <c r="Q44" s="12"/>
      <c r="R44" s="12"/>
      <c r="S44" s="14" t="n">
        <f aca="false">Tabella52791124791618202224262830323436384042444648505254[[#This Row],[Colonna1]]*$Q3</f>
        <v>3.2</v>
      </c>
      <c r="T44" s="14" t="n">
        <f aca="false">Tabella52791124791618202224262830323436384042444648505254[[#This Row],[Colonna2]]*$Q3</f>
        <v>2</v>
      </c>
      <c r="U44" s="14" t="n">
        <f aca="false">Tabella52791124791618202224262830323436384042444648505254[[#This Row],[Colonna3]]*$Q3</f>
        <v>0.8</v>
      </c>
      <c r="V44" s="14" t="n">
        <f aca="false">Tabella52791124791618202224262830323436384042444648505254[[#This Row],[Colonna4]]*$Q3</f>
        <v>1.6</v>
      </c>
      <c r="W44" s="14" t="n">
        <f aca="false">Tabella52791124791618202224262830323436384042444648505254[[#This Row],[Colonna5]]*$Q3</f>
        <v>0.8</v>
      </c>
      <c r="X44" s="14" t="n">
        <f aca="false">Tabella52791124791618202224262830323436384042444648505254[[#This Row],[Colonna6]]*$Q3</f>
        <v>2</v>
      </c>
      <c r="Y44" s="14" t="n">
        <f aca="false">Tabella52791124791618202224262830323436384042444648505254[[#This Row],[Colonna7]]*$Q3</f>
        <v>3.6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 t="n">
        <v>1</v>
      </c>
      <c r="H48" s="13" t="n">
        <v>3</v>
      </c>
      <c r="I48" s="13"/>
      <c r="J48" s="13" t="n">
        <v>1</v>
      </c>
      <c r="K48" s="13"/>
      <c r="L48" s="13"/>
      <c r="M48" s="13" t="n">
        <v>4</v>
      </c>
      <c r="P48" s="12" t="s">
        <v>55</v>
      </c>
      <c r="Q48" s="12"/>
      <c r="R48" s="12"/>
      <c r="S48" s="14" t="n">
        <f aca="false">Tabella52791124791618202224262830323436384042444648505254[[#This Row],[Colonna1]]*$Q3</f>
        <v>0.4</v>
      </c>
      <c r="T48" s="14" t="n">
        <f aca="false">Tabella52791124791618202224262830323436384042444648505254[[#This Row],[Colonna2]]*$Q3</f>
        <v>1.2</v>
      </c>
      <c r="U48" s="14"/>
      <c r="V48" s="14" t="n">
        <f aca="false">Tabella52791124791618202224262830323436384042444648505254[[#This Row],[Colonna4]]*$Q3</f>
        <v>0.4</v>
      </c>
      <c r="W48" s="14"/>
      <c r="X48" s="14"/>
      <c r="Y48" s="14" t="n">
        <f aca="false">Tabella52791124791618202224262830323436384042444648505254[[#This Row],[Colonna7]]*$Q3</f>
        <v>1.6</v>
      </c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 t="n">
        <v>1</v>
      </c>
      <c r="K49" s="13"/>
      <c r="L49" s="13"/>
      <c r="M49" s="13" t="n">
        <v>2</v>
      </c>
      <c r="P49" s="18" t="s">
        <v>56</v>
      </c>
      <c r="Q49" s="18"/>
      <c r="R49" s="18"/>
      <c r="S49" s="14"/>
      <c r="T49" s="14"/>
      <c r="U49" s="14"/>
      <c r="V49" s="14" t="n">
        <f aca="false">Tabella52791124791618202224262830323436384042444648505254[[#This Row],[Colonna4]]*$Q3</f>
        <v>0.4</v>
      </c>
      <c r="W49" s="14"/>
      <c r="X49" s="14"/>
      <c r="Y49" s="14" t="n">
        <f aca="false">Tabella52791124791618202224262830323436384042444648505254[[#This Row],[Colonna7]]*$Q3</f>
        <v>0.8</v>
      </c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15</v>
      </c>
      <c r="H52" s="13" t="n">
        <v>3</v>
      </c>
      <c r="I52" s="13" t="n">
        <v>37</v>
      </c>
      <c r="J52" s="13" t="n">
        <v>15</v>
      </c>
      <c r="K52" s="13" t="n">
        <v>4</v>
      </c>
      <c r="L52" s="13" t="n">
        <v>16</v>
      </c>
      <c r="M52" s="13" t="n">
        <v>22</v>
      </c>
      <c r="P52" s="12" t="s">
        <v>59</v>
      </c>
      <c r="Q52" s="12"/>
      <c r="R52" s="12"/>
      <c r="S52" s="14" t="n">
        <f aca="false">Tabella52791124791618202224262830323436384042444648505254[[#This Row],[Colonna1]]*$Q3</f>
        <v>6</v>
      </c>
      <c r="T52" s="14" t="n">
        <f aca="false">Tabella52791124791618202224262830323436384042444648505254[[#This Row],[Colonna2]]*$Q3</f>
        <v>1.2</v>
      </c>
      <c r="U52" s="14" t="n">
        <f aca="false">Tabella52791124791618202224262830323436384042444648505254[[#This Row],[Colonna3]]*$Q3</f>
        <v>14.8</v>
      </c>
      <c r="V52" s="14" t="n">
        <f aca="false">Tabella52791124791618202224262830323436384042444648505254[[#This Row],[Colonna4]]*$Q3</f>
        <v>6</v>
      </c>
      <c r="W52" s="14" t="n">
        <f aca="false">Tabella52791124791618202224262830323436384042444648505254[[#This Row],[Colonna5]]*$Q3</f>
        <v>1.6</v>
      </c>
      <c r="X52" s="14" t="n">
        <f aca="false">Tabella52791124791618202224262830323436384042444648505254[[#This Row],[Colonna6]]*$Q3</f>
        <v>6.4</v>
      </c>
      <c r="Y52" s="14" t="n">
        <f aca="false">Tabella52791124791618202224262830323436384042444648505254[[#This Row],[Colonna7]]*$Q3</f>
        <v>8.8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SUM(G10,G19,G20,G22,G27,G28,G29,G31,G34,G38,G41,G44,G48:G49,G52)</f>
        <v>180</v>
      </c>
      <c r="H53" s="55" t="n">
        <f aca="false">SUM(H52,H48,H44,H43,H42,H41,H38,H37,H31,H29,H27,H28,H22,H20,H10)</f>
        <v>109</v>
      </c>
      <c r="I53" s="55" t="n">
        <f aca="false">SUM(I52,I44,I41,I37,I34,I29,I22,I20,I7,I6)</f>
        <v>74</v>
      </c>
      <c r="J53" s="55" t="n">
        <f aca="false">SUM(J52,J49,J48,J44,J42,J41,J38,J37,J34,J31,J29,J28,J22,J20,J7,J6)</f>
        <v>131</v>
      </c>
      <c r="K53" s="55" t="n">
        <f aca="false">SUM(K52,K44,K29,K28)</f>
        <v>17</v>
      </c>
      <c r="L53" s="55" t="n">
        <f aca="false">SUM(L52,L44,L41,L38,L29,L28,L22,L20,L7)</f>
        <v>48</v>
      </c>
      <c r="M53" s="55" t="n">
        <f aca="false">SUM(M52,M49,M48,M44,M41,M38,M37,M29,M28,M22,M20,M7)</f>
        <v>108</v>
      </c>
      <c r="P53" s="17" t="s">
        <v>60</v>
      </c>
      <c r="Q53" s="17"/>
      <c r="R53" s="17"/>
      <c r="S53" s="56" t="n">
        <f aca="false">Tabella52791124791618202224262830323436384042444648505254[[#This Row],[Colonna1]]*$Q3</f>
        <v>72</v>
      </c>
      <c r="T53" s="56" t="n">
        <f aca="false">Tabella52791124791618202224262830323436384042444648505254[[#This Row],[Colonna2]]*$Q3</f>
        <v>43.6</v>
      </c>
      <c r="U53" s="56" t="n">
        <f aca="false">Tabella52791124791618202224262830323436384042444648505254[[#This Row],[Colonna3]]*$Q3</f>
        <v>29.6</v>
      </c>
      <c r="V53" s="56" t="n">
        <f aca="false">Tabella52791124791618202224262830323436384042444648505254[[#This Row],[Colonna4]]*$Q3</f>
        <v>52.4</v>
      </c>
      <c r="W53" s="56" t="n">
        <f aca="false">Tabella52791124791618202224262830323436384042444648505254[[#This Row],[Colonna5]]*$Q3</f>
        <v>6.8</v>
      </c>
      <c r="X53" s="56" t="n">
        <f aca="false">Tabella52791124791618202224262830323436384042444648505254[[#This Row],[Colonna6]]*$Q3</f>
        <v>19.2</v>
      </c>
      <c r="Y53" s="56" t="n">
        <f aca="false">Tabella52791124791618202224262830323436384042444648505254[[#This Row],[Colonna7]]*$Q3</f>
        <v>43.2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91</v>
      </c>
      <c r="H58" s="26" t="n">
        <v>43</v>
      </c>
      <c r="I58" s="26" t="n">
        <v>5</v>
      </c>
      <c r="J58" s="26" t="n">
        <v>36</v>
      </c>
      <c r="K58" s="26" t="n">
        <v>14</v>
      </c>
      <c r="L58" s="26" t="n">
        <v>13</v>
      </c>
      <c r="M58" s="26" t="n">
        <v>64</v>
      </c>
      <c r="P58" s="23" t="s">
        <v>62</v>
      </c>
      <c r="Q58" s="23"/>
      <c r="R58" s="23"/>
      <c r="S58" s="57" t="n">
        <f aca="false">G58*$Q3</f>
        <v>36.4</v>
      </c>
      <c r="T58" s="57" t="n">
        <f aca="false">H58*$Q3</f>
        <v>17.2</v>
      </c>
      <c r="U58" s="57" t="n">
        <f aca="false">I58*$Q3</f>
        <v>2</v>
      </c>
      <c r="V58" s="57" t="n">
        <f aca="false">J58*$Q3</f>
        <v>14.4</v>
      </c>
      <c r="W58" s="57" t="n">
        <f aca="false">K58*$Q3</f>
        <v>5.6</v>
      </c>
      <c r="X58" s="57" t="n">
        <f aca="false">L58*$Q3</f>
        <v>5.2</v>
      </c>
      <c r="Y58" s="57" t="n">
        <f aca="false">M58*$Q3</f>
        <v>25.6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8</v>
      </c>
      <c r="H62" s="26" t="n">
        <v>4</v>
      </c>
      <c r="I62" s="26" t="n">
        <v>3</v>
      </c>
      <c r="J62" s="26" t="n">
        <v>4</v>
      </c>
      <c r="K62" s="26"/>
      <c r="L62" s="26" t="n">
        <v>1</v>
      </c>
      <c r="M62" s="26" t="n">
        <v>4</v>
      </c>
      <c r="P62" s="9" t="s">
        <v>66</v>
      </c>
      <c r="Q62" s="9"/>
      <c r="R62" s="9"/>
      <c r="S62" s="57" t="n">
        <f aca="false">G62*$Q3</f>
        <v>3.2</v>
      </c>
      <c r="T62" s="57" t="n">
        <f aca="false">H62*$Q3</f>
        <v>1.6</v>
      </c>
      <c r="U62" s="57" t="n">
        <f aca="false">I62*$Q3</f>
        <v>1.2</v>
      </c>
      <c r="V62" s="57" t="n">
        <f aca="false">J62*$Q3</f>
        <v>1.6</v>
      </c>
      <c r="W62" s="57"/>
      <c r="X62" s="57" t="n">
        <f aca="false">L62*$Q3</f>
        <v>0.4</v>
      </c>
      <c r="Y62" s="57" t="n">
        <f aca="false">M62*$Q3</f>
        <v>1.6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6</v>
      </c>
      <c r="H63" s="26" t="n">
        <v>1</v>
      </c>
      <c r="I63" s="26"/>
      <c r="J63" s="26"/>
      <c r="K63" s="26" t="n">
        <v>1</v>
      </c>
      <c r="L63" s="26"/>
      <c r="M63" s="26"/>
      <c r="P63" s="9" t="s">
        <v>67</v>
      </c>
      <c r="Q63" s="9"/>
      <c r="R63" s="9"/>
      <c r="S63" s="57" t="n">
        <f aca="false">G63*$Q3</f>
        <v>2.4</v>
      </c>
      <c r="T63" s="57" t="n">
        <f aca="false">H63*$Q3</f>
        <v>0.4</v>
      </c>
      <c r="U63" s="27"/>
      <c r="V63" s="27"/>
      <c r="W63" s="27" t="n">
        <f aca="false">K63*$Q3</f>
        <v>0.4</v>
      </c>
      <c r="X63" s="2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 t="n">
        <v>1</v>
      </c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27" t="n">
        <f aca="false">H64*$Q3</f>
        <v>0.4</v>
      </c>
      <c r="U64" s="27"/>
      <c r="V64" s="27"/>
      <c r="W64" s="27"/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2</v>
      </c>
      <c r="H65" s="26" t="n">
        <v>7</v>
      </c>
      <c r="I65" s="26" t="n">
        <v>15</v>
      </c>
      <c r="J65" s="26" t="n">
        <v>2</v>
      </c>
      <c r="K65" s="26" t="n">
        <v>4</v>
      </c>
      <c r="L65" s="26" t="n">
        <v>4</v>
      </c>
      <c r="M65" s="26" t="n">
        <v>1</v>
      </c>
      <c r="P65" s="9" t="s">
        <v>69</v>
      </c>
      <c r="Q65" s="9"/>
      <c r="R65" s="9"/>
      <c r="S65" s="57" t="n">
        <f aca="false">G65*$Q3</f>
        <v>0.8</v>
      </c>
      <c r="T65" s="57" t="n">
        <f aca="false">H65*$Q3</f>
        <v>2.8</v>
      </c>
      <c r="U65" s="57" t="n">
        <f aca="false">I65*$Q3</f>
        <v>6</v>
      </c>
      <c r="V65" s="57" t="n">
        <f aca="false">J65*$Q3</f>
        <v>0.8</v>
      </c>
      <c r="W65" s="57" t="n">
        <f aca="false">K65*$Q3</f>
        <v>1.6</v>
      </c>
      <c r="X65" s="57" t="n">
        <f aca="false">L65*$Q3</f>
        <v>1.6</v>
      </c>
      <c r="Y65" s="57" t="n">
        <f aca="false">M65*$Q3</f>
        <v>0.4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52</v>
      </c>
      <c r="H67" s="26" t="n">
        <v>6</v>
      </c>
      <c r="I67" s="26" t="n">
        <v>2</v>
      </c>
      <c r="J67" s="26" t="n">
        <v>11</v>
      </c>
      <c r="K67" s="26"/>
      <c r="L67" s="26"/>
      <c r="M67" s="26" t="n">
        <v>6</v>
      </c>
      <c r="P67" s="9" t="s">
        <v>71</v>
      </c>
      <c r="Q67" s="9"/>
      <c r="R67" s="9"/>
      <c r="S67" s="57" t="n">
        <f aca="false">G67*$Q3</f>
        <v>20.8</v>
      </c>
      <c r="T67" s="57" t="n">
        <f aca="false">H67*$Q3</f>
        <v>2.4</v>
      </c>
      <c r="U67" s="57" t="n">
        <f aca="false">I67*$Q3</f>
        <v>0.8</v>
      </c>
      <c r="V67" s="57" t="n">
        <f aca="false">J67*$Q3</f>
        <v>4.4</v>
      </c>
      <c r="W67" s="57"/>
      <c r="X67" s="57"/>
      <c r="Y67" s="57" t="n">
        <f aca="false">M67*$Q3</f>
        <v>2.4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13</v>
      </c>
      <c r="H68" s="30" t="n">
        <v>8</v>
      </c>
      <c r="I68" s="30" t="n">
        <v>3</v>
      </c>
      <c r="J68" s="30" t="n">
        <v>4</v>
      </c>
      <c r="K68" s="30" t="n">
        <v>1</v>
      </c>
      <c r="L68" s="30"/>
      <c r="M68" s="30" t="n">
        <v>2</v>
      </c>
      <c r="P68" s="9" t="s">
        <v>72</v>
      </c>
      <c r="Q68" s="9"/>
      <c r="R68" s="9"/>
      <c r="S68" s="59" t="n">
        <f aca="false">G68*$Q3</f>
        <v>5.2</v>
      </c>
      <c r="T68" s="59" t="n">
        <f aca="false">H68*$Q3</f>
        <v>3.2</v>
      </c>
      <c r="U68" s="59" t="n">
        <f aca="false">I68*$Q3</f>
        <v>1.2</v>
      </c>
      <c r="V68" s="59" t="n">
        <f aca="false">J68*$Q3</f>
        <v>1.6</v>
      </c>
      <c r="W68" s="59" t="n">
        <f aca="false">K68*$Q3</f>
        <v>0.4</v>
      </c>
      <c r="X68" s="59"/>
      <c r="Y68" s="59" t="n">
        <f aca="false">M68*$Q3</f>
        <v>0.8</v>
      </c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 t="n">
        <v>1</v>
      </c>
      <c r="K69" s="30"/>
      <c r="L69" s="30" t="n">
        <v>1</v>
      </c>
      <c r="M69" s="30" t="n">
        <v>2</v>
      </c>
      <c r="P69" s="9" t="s">
        <v>73</v>
      </c>
      <c r="Q69" s="9"/>
      <c r="R69" s="9"/>
      <c r="S69" s="59"/>
      <c r="T69" s="59"/>
      <c r="U69" s="31"/>
      <c r="V69" s="31" t="n">
        <f aca="false">J69*$Q3</f>
        <v>0.4</v>
      </c>
      <c r="W69" s="31"/>
      <c r="X69" s="31" t="n">
        <f aca="false">L69*$Q3</f>
        <v>0.4</v>
      </c>
      <c r="Y69" s="31" t="n">
        <f aca="false">M69*$Q3</f>
        <v>0.8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SUM(G58,G62,G63,G65,G67,G68)</f>
        <v>172</v>
      </c>
      <c r="H70" s="60" t="n">
        <f aca="false">SUM(H58,H62,H63,H64,H65,H67,H68)</f>
        <v>70</v>
      </c>
      <c r="I70" s="60" t="n">
        <f aca="false">SUM(I58,I62,I65,I67,I68)</f>
        <v>28</v>
      </c>
      <c r="J70" s="60" t="n">
        <f aca="false">SUM(J58,J62,J65,J67,J68,J69)</f>
        <v>58</v>
      </c>
      <c r="K70" s="12" t="n">
        <f aca="false">SUM(K58,K63,K65,K68)</f>
        <v>20</v>
      </c>
      <c r="L70" s="12" t="n">
        <f aca="false">SUM(L69,L65,L62,L58)</f>
        <v>19</v>
      </c>
      <c r="M70" s="12" t="n">
        <f aca="false">SUM(M69,M68,M67,M65,M62,M58)</f>
        <v>79</v>
      </c>
      <c r="P70" s="9" t="s">
        <v>60</v>
      </c>
      <c r="Q70" s="9"/>
      <c r="R70" s="9"/>
      <c r="S70" s="61" t="n">
        <f aca="false">G70*$Q3</f>
        <v>68.8</v>
      </c>
      <c r="T70" s="61" t="n">
        <f aca="false">H70*$Q3</f>
        <v>28</v>
      </c>
      <c r="U70" s="61" t="n">
        <f aca="false">I70*$Q3</f>
        <v>11.2</v>
      </c>
      <c r="V70" s="61" t="n">
        <f aca="false">J70*$Q3</f>
        <v>23.2</v>
      </c>
      <c r="W70" s="61" t="n">
        <f aca="false">K70*$Q3</f>
        <v>8</v>
      </c>
      <c r="X70" s="61" t="n">
        <f aca="false">L70*$Q3</f>
        <v>7.6</v>
      </c>
      <c r="Y70" s="61" t="n">
        <f aca="false">M70*$Q3</f>
        <v>31.6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J40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45068</v>
      </c>
      <c r="K3" s="5" t="n">
        <v>45074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45068</v>
      </c>
      <c r="W3" s="5" t="n">
        <v>45074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</v>
      </c>
      <c r="H7" s="13" t="n">
        <v>3</v>
      </c>
      <c r="I7" s="13" t="n">
        <v>5</v>
      </c>
      <c r="J7" s="13"/>
      <c r="K7" s="13"/>
      <c r="L7" s="13"/>
      <c r="M7" s="13" t="n">
        <v>8</v>
      </c>
      <c r="P7" s="12" t="s">
        <v>14</v>
      </c>
      <c r="Q7" s="12"/>
      <c r="R7" s="12"/>
      <c r="S7" s="14" t="n">
        <f aca="false">Tabella5279112479161820222426283032343638404244464850525456[[#This Row],[Colonna1]]*$Q3</f>
        <v>0.4</v>
      </c>
      <c r="T7" s="14" t="n">
        <f aca="false">Tabella5279112479161820222426283032343638404244464850525456[[#This Row],[Colonna2]]*$Q3</f>
        <v>1.2</v>
      </c>
      <c r="U7" s="14" t="n">
        <f aca="false">Tabella5279112479161820222426283032343638404244464850525456[[#This Row],[Colonna3]]*$Q3</f>
        <v>2</v>
      </c>
      <c r="V7" s="14"/>
      <c r="W7" s="14"/>
      <c r="X7" s="14"/>
      <c r="Y7" s="14" t="n">
        <f aca="false">Tabella5279112479161820222426283032343638404244464850525456[[#This Row],[Colonna7]]*$Q3</f>
        <v>3.2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 t="n">
        <v>1</v>
      </c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 t="n">
        <f aca="false">Tabella5279112479161820222426283032343638404244464850525456[[#This Row],[Colonna2]]*$Q3</f>
        <v>0.4</v>
      </c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 t="n">
        <v>18</v>
      </c>
      <c r="H20" s="13" t="n">
        <v>8</v>
      </c>
      <c r="I20" s="13" t="n">
        <v>2</v>
      </c>
      <c r="J20" s="13" t="n">
        <v>1</v>
      </c>
      <c r="K20" s="13" t="n">
        <v>2</v>
      </c>
      <c r="L20" s="13"/>
      <c r="M20" s="13"/>
      <c r="P20" s="9" t="s">
        <v>27</v>
      </c>
      <c r="Q20" s="9"/>
      <c r="R20" s="9"/>
      <c r="S20" s="14" t="n">
        <f aca="false">Tabella5279112479161820222426283032343638404244464850525456[[#This Row],[Colonna1]]*$Q3</f>
        <v>7.2</v>
      </c>
      <c r="T20" s="14" t="n">
        <f aca="false">Tabella5279112479161820222426283032343638404244464850525456[[#This Row],[Colonna2]]*$Q3</f>
        <v>3.2</v>
      </c>
      <c r="U20" s="14" t="n">
        <f aca="false">Tabella5279112479161820222426283032343638404244464850525456[[#This Row],[Colonna3]]*$Q3</f>
        <v>0.8</v>
      </c>
      <c r="V20" s="14" t="n">
        <f aca="false">Tabella5279112479161820222426283032343638404244464850525456[[#This Row],[Colonna4]]*$Q3</f>
        <v>0.4</v>
      </c>
      <c r="W20" s="14" t="n">
        <f aca="false">Tabella5279112479161820222426283032343638404244464850525456[[#This Row],[Colonna5]]*$Q3</f>
        <v>0.8</v>
      </c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34</v>
      </c>
      <c r="H22" s="13" t="n">
        <v>32</v>
      </c>
      <c r="I22" s="13" t="n">
        <v>27</v>
      </c>
      <c r="J22" s="13" t="n">
        <v>15</v>
      </c>
      <c r="K22" s="13" t="n">
        <v>9</v>
      </c>
      <c r="L22" s="13" t="n">
        <v>4</v>
      </c>
      <c r="M22" s="13" t="n">
        <v>6</v>
      </c>
      <c r="P22" s="12" t="s">
        <v>29</v>
      </c>
      <c r="Q22" s="12"/>
      <c r="R22" s="12"/>
      <c r="S22" s="14" t="n">
        <f aca="false">Tabella5279112479161820222426283032343638404244464850525456[[#This Row],[Colonna1]]*$Q3</f>
        <v>13.6</v>
      </c>
      <c r="T22" s="14" t="n">
        <f aca="false">Tabella5279112479161820222426283032343638404244464850525456[[#This Row],[Colonna2]]*$Q3</f>
        <v>12.8</v>
      </c>
      <c r="U22" s="14" t="n">
        <f aca="false">Tabella5279112479161820222426283032343638404244464850525456[[#This Row],[Colonna3]]*$Q3</f>
        <v>10.8</v>
      </c>
      <c r="V22" s="14" t="n">
        <f aca="false">Tabella5279112479161820222426283032343638404244464850525456[[#This Row],[Colonna4]]*$Q3</f>
        <v>6</v>
      </c>
      <c r="W22" s="14" t="n">
        <f aca="false">Tabella5279112479161820222426283032343638404244464850525456[[#This Row],[Colonna5]]*$Q3</f>
        <v>3.6</v>
      </c>
      <c r="X22" s="14" t="n">
        <f aca="false">Tabella5279112479161820222426283032343638404244464850525456[[#This Row],[Colonna6]]*$Q3</f>
        <v>1.6</v>
      </c>
      <c r="Y22" s="14" t="n">
        <f aca="false">Tabella5279112479161820222426283032343638404244464850525456[[#This Row],[Colonna7]]*$Q3</f>
        <v>2.4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 t="n">
        <v>1</v>
      </c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 t="n">
        <f aca="false">Tabella5279112479161820222426283032343638404244464850525456[[#This Row],[Colonna4]]*$Q3</f>
        <v>0.4</v>
      </c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1</v>
      </c>
      <c r="H27" s="13" t="n">
        <v>2</v>
      </c>
      <c r="I27" s="13" t="n">
        <v>1</v>
      </c>
      <c r="J27" s="13"/>
      <c r="K27" s="13"/>
      <c r="L27" s="13"/>
      <c r="M27" s="13"/>
      <c r="P27" s="12" t="s">
        <v>34</v>
      </c>
      <c r="Q27" s="12"/>
      <c r="R27" s="12"/>
      <c r="S27" s="14" t="n">
        <f aca="false">Tabella5279112479161820222426283032343638404244464850525456[[#This Row],[Colonna1]]*$Q3</f>
        <v>0.4</v>
      </c>
      <c r="T27" s="14" t="n">
        <f aca="false">Tabella5279112479161820222426283032343638404244464850525456[[#This Row],[Colonna2]]*$Q3</f>
        <v>0.8</v>
      </c>
      <c r="U27" s="14" t="n">
        <f aca="false">Tabella5279112479161820222426283032343638404244464850525456[[#This Row],[Colonna3]]*$Q3</f>
        <v>0.4</v>
      </c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5</v>
      </c>
      <c r="H28" s="13" t="n">
        <v>2</v>
      </c>
      <c r="I28" s="13" t="n">
        <v>15</v>
      </c>
      <c r="J28" s="13" t="n">
        <v>4</v>
      </c>
      <c r="K28" s="13" t="n">
        <v>2</v>
      </c>
      <c r="L28" s="13" t="n">
        <v>1</v>
      </c>
      <c r="M28" s="13"/>
      <c r="P28" s="12" t="s">
        <v>35</v>
      </c>
      <c r="Q28" s="12"/>
      <c r="R28" s="12"/>
      <c r="S28" s="14" t="n">
        <f aca="false">Tabella5279112479161820222426283032343638404244464850525456[[#This Row],[Colonna1]]*$Q3</f>
        <v>2</v>
      </c>
      <c r="T28" s="14" t="n">
        <f aca="false">Tabella5279112479161820222426283032343638404244464850525456[[#This Row],[Colonna2]]*$Q3</f>
        <v>0.8</v>
      </c>
      <c r="U28" s="14" t="n">
        <f aca="false">Tabella5279112479161820222426283032343638404244464850525456[[#This Row],[Colonna3]]*$Q3</f>
        <v>6</v>
      </c>
      <c r="V28" s="14" t="n">
        <f aca="false">Tabella5279112479161820222426283032343638404244464850525456[[#This Row],[Colonna4]]*$Q3</f>
        <v>1.6</v>
      </c>
      <c r="W28" s="14" t="n">
        <f aca="false">Tabella5279112479161820222426283032343638404244464850525456[[#This Row],[Colonna5]]*$Q3</f>
        <v>0.8</v>
      </c>
      <c r="X28" s="14" t="n">
        <f aca="false">Tabella5279112479161820222426283032343638404244464850525456[[#This Row],[Colonna6]]*$Q3</f>
        <v>0.4</v>
      </c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183</v>
      </c>
      <c r="H29" s="13" t="n">
        <v>224</v>
      </c>
      <c r="I29" s="13" t="n">
        <v>188</v>
      </c>
      <c r="J29" s="13" t="n">
        <v>66</v>
      </c>
      <c r="K29" s="13" t="n">
        <v>76</v>
      </c>
      <c r="L29" s="13" t="n">
        <v>53</v>
      </c>
      <c r="M29" s="13" t="n">
        <v>20</v>
      </c>
      <c r="P29" s="12" t="s">
        <v>36</v>
      </c>
      <c r="Q29" s="12"/>
      <c r="R29" s="12"/>
      <c r="S29" s="14" t="n">
        <f aca="false">Tabella5279112479161820222426283032343638404244464850525456[[#This Row],[Colonna1]]*$Q3</f>
        <v>73.2</v>
      </c>
      <c r="T29" s="14" t="n">
        <f aca="false">Tabella5279112479161820222426283032343638404244464850525456[[#This Row],[Colonna2]]*$Q3</f>
        <v>89.6</v>
      </c>
      <c r="U29" s="14" t="n">
        <f aca="false">Tabella5279112479161820222426283032343638404244464850525456[[#This Row],[Colonna3]]*$Q3</f>
        <v>75.2</v>
      </c>
      <c r="V29" s="14" t="n">
        <f aca="false">Tabella5279112479161820222426283032343638404244464850525456[[#This Row],[Colonna4]]*$Q3</f>
        <v>26.4</v>
      </c>
      <c r="W29" s="14" t="n">
        <f aca="false">Tabella5279112479161820222426283032343638404244464850525456[[#This Row],[Colonna5]]*$Q3</f>
        <v>30.4</v>
      </c>
      <c r="X29" s="14" t="n">
        <f aca="false">Tabella5279112479161820222426283032343638404244464850525456[[#This Row],[Colonna6]]*$Q3</f>
        <v>21.2</v>
      </c>
      <c r="Y29" s="14" t="n">
        <f aca="false">Tabella5279112479161820222426283032343638404244464850525456[[#This Row],[Colonna7]]*$Q3</f>
        <v>8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4</v>
      </c>
      <c r="H31" s="13" t="n">
        <v>13</v>
      </c>
      <c r="I31" s="13" t="n">
        <v>4</v>
      </c>
      <c r="J31" s="13" t="n">
        <v>1</v>
      </c>
      <c r="K31" s="13"/>
      <c r="L31" s="13" t="n">
        <v>1</v>
      </c>
      <c r="M31" s="13"/>
      <c r="P31" s="9" t="s">
        <v>38</v>
      </c>
      <c r="Q31" s="9"/>
      <c r="R31" s="9"/>
      <c r="S31" s="14" t="n">
        <f aca="false">Tabella5279112479161820222426283032343638404244464850525456[[#This Row],[Colonna1]]*$Q3</f>
        <v>1.6</v>
      </c>
      <c r="T31" s="14" t="n">
        <f aca="false">Tabella5279112479161820222426283032343638404244464850525456[[#This Row],[Colonna2]]*$Q3</f>
        <v>5.2</v>
      </c>
      <c r="U31" s="14" t="n">
        <f aca="false">Tabella5279112479161820222426283032343638404244464850525456[[#This Row],[Colonna3]]*$Q3</f>
        <v>1.6</v>
      </c>
      <c r="V31" s="14" t="n">
        <f aca="false">Tabella5279112479161820222426283032343638404244464850525456[[#This Row],[Colonna4]]*$Q3</f>
        <v>0.4</v>
      </c>
      <c r="W31" s="14"/>
      <c r="X31" s="14" t="n">
        <f aca="false">Tabella5279112479161820222426283032343638404244464850525456[[#This Row],[Colonna6]]*$Q3</f>
        <v>0.4</v>
      </c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 t="n">
        <v>2</v>
      </c>
      <c r="I37" s="13" t="n">
        <v>2</v>
      </c>
      <c r="J37" s="13"/>
      <c r="K37" s="13"/>
      <c r="L37" s="13"/>
      <c r="M37" s="13" t="n">
        <v>2</v>
      </c>
      <c r="P37" s="12" t="s">
        <v>44</v>
      </c>
      <c r="Q37" s="12"/>
      <c r="R37" s="12"/>
      <c r="S37" s="14"/>
      <c r="T37" s="14" t="n">
        <f aca="false">Tabella5279112479161820222426283032343638404244464850525456[[#This Row],[Colonna2]]*$Q3</f>
        <v>0.8</v>
      </c>
      <c r="U37" s="14" t="n">
        <f aca="false">Tabella5279112479161820222426283032343638404244464850525456[[#This Row],[Colonna3]]*$Q3</f>
        <v>0.8</v>
      </c>
      <c r="V37" s="14"/>
      <c r="W37" s="14"/>
      <c r="X37" s="14"/>
      <c r="Y37" s="14" t="n">
        <f aca="false">Tabella5279112479161820222426283032343638404244464850525456[[#This Row],[Colonna7]]*$Q3</f>
        <v>0.8</v>
      </c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5</v>
      </c>
      <c r="H38" s="13" t="n">
        <v>4</v>
      </c>
      <c r="I38" s="13" t="n">
        <v>5</v>
      </c>
      <c r="J38" s="13" t="n">
        <v>3</v>
      </c>
      <c r="K38" s="13" t="n">
        <v>2</v>
      </c>
      <c r="L38" s="13" t="n">
        <v>3</v>
      </c>
      <c r="M38" s="13"/>
      <c r="P38" s="16" t="s">
        <v>45</v>
      </c>
      <c r="Q38" s="16"/>
      <c r="R38" s="16"/>
      <c r="S38" s="14" t="n">
        <f aca="false">Tabella5279112479161820222426283032343638404244464850525456[[#This Row],[Colonna1]]*$Q3</f>
        <v>2</v>
      </c>
      <c r="T38" s="14" t="n">
        <f aca="false">Tabella5279112479161820222426283032343638404244464850525456[[#This Row],[Colonna2]]*$Q3</f>
        <v>1.6</v>
      </c>
      <c r="U38" s="14" t="n">
        <f aca="false">Tabella5279112479161820222426283032343638404244464850525456[[#This Row],[Colonna3]]*$Q3</f>
        <v>2</v>
      </c>
      <c r="V38" s="14" t="n">
        <f aca="false">Tabella5279112479161820222426283032343638404244464850525456[[#This Row],[Colonna4]]*$Q3</f>
        <v>1.2</v>
      </c>
      <c r="W38" s="14" t="n">
        <f aca="false">Tabella5279112479161820222426283032343638404244464850525456[[#This Row],[Colonna5]]*$Q3</f>
        <v>0.8</v>
      </c>
      <c r="X38" s="14" t="n">
        <f aca="false">Tabella5279112479161820222426283032343638404244464850525456[[#This Row],[Colonna6]]*$Q3</f>
        <v>1.2</v>
      </c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 t="n">
        <v>7</v>
      </c>
      <c r="H39" s="13"/>
      <c r="I39" s="13" t="n">
        <v>1</v>
      </c>
      <c r="J39" s="13"/>
      <c r="K39" s="13"/>
      <c r="L39" s="13"/>
      <c r="M39" s="13"/>
      <c r="P39" s="12" t="s">
        <v>46</v>
      </c>
      <c r="Q39" s="12"/>
      <c r="R39" s="12"/>
      <c r="S39" s="14" t="n">
        <f aca="false">Tabella5279112479161820222426283032343638404244464850525456[[#This Row],[Colonna1]]*$Q3</f>
        <v>2.8</v>
      </c>
      <c r="T39" s="14"/>
      <c r="U39" s="14" t="n">
        <f aca="false">Tabella5279112479161820222426283032343638404244464850525456[[#This Row],[Colonna3]]*$Q3</f>
        <v>0.4</v>
      </c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 t="n">
        <v>3</v>
      </c>
      <c r="H40" s="13"/>
      <c r="I40" s="13" t="n">
        <v>11</v>
      </c>
      <c r="J40" s="13" t="n">
        <v>9</v>
      </c>
      <c r="K40" s="13" t="n">
        <v>1</v>
      </c>
      <c r="L40" s="13" t="n">
        <v>3</v>
      </c>
      <c r="M40" s="13"/>
      <c r="P40" s="12" t="s">
        <v>47</v>
      </c>
      <c r="Q40" s="12"/>
      <c r="R40" s="12"/>
      <c r="S40" s="14" t="n">
        <f aca="false">Tabella5279112479161820222426283032343638404244464850525456[[#This Row],[Colonna1]]*$Q3</f>
        <v>1.2</v>
      </c>
      <c r="T40" s="14"/>
      <c r="U40" s="14" t="n">
        <f aca="false">Tabella5279112479161820222426283032343638404244464850525456[[#This Row],[Colonna3]]*$Q3</f>
        <v>4.4</v>
      </c>
      <c r="V40" s="14" t="n">
        <f aca="false">Tabella5279112479161820222426283032343638404244464850525456[[#This Row],[Colonna4]]*$Q3</f>
        <v>3.6</v>
      </c>
      <c r="W40" s="14" t="n">
        <f aca="false">Tabella5279112479161820222426283032343638404244464850525456[[#This Row],[Colonna5]]*$Q3</f>
        <v>0.4</v>
      </c>
      <c r="X40" s="14" t="n">
        <f aca="false">Tabella5279112479161820222426283032343638404244464850525456[[#This Row],[Colonna6]]*$Q3</f>
        <v>1.2</v>
      </c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17</v>
      </c>
      <c r="H41" s="13" t="n">
        <v>17</v>
      </c>
      <c r="I41" s="13" t="n">
        <v>6</v>
      </c>
      <c r="J41" s="13" t="n">
        <v>3</v>
      </c>
      <c r="K41" s="13" t="n">
        <v>5</v>
      </c>
      <c r="L41" s="13" t="n">
        <v>8</v>
      </c>
      <c r="M41" s="13" t="n">
        <v>6</v>
      </c>
      <c r="P41" s="18" t="s">
        <v>48</v>
      </c>
      <c r="Q41" s="18"/>
      <c r="R41" s="18"/>
      <c r="S41" s="14" t="n">
        <f aca="false">Tabella5279112479161820222426283032343638404244464850525456[[#This Row],[Colonna1]]*$Q3</f>
        <v>6.8</v>
      </c>
      <c r="T41" s="14" t="n">
        <f aca="false">Tabella5279112479161820222426283032343638404244464850525456[[#This Row],[Colonna2]]*$Q3</f>
        <v>6.8</v>
      </c>
      <c r="U41" s="14" t="n">
        <f aca="false">Tabella5279112479161820222426283032343638404244464850525456[[#This Row],[Colonna3]]*$Q3</f>
        <v>2.4</v>
      </c>
      <c r="V41" s="14" t="n">
        <f aca="false">Tabella5279112479161820222426283032343638404244464850525456[[#This Row],[Colonna4]]*$Q3</f>
        <v>1.2</v>
      </c>
      <c r="W41" s="14" t="n">
        <f aca="false">Tabella5279112479161820222426283032343638404244464850525456[[#This Row],[Colonna5]]*$Q3</f>
        <v>2</v>
      </c>
      <c r="X41" s="14" t="n">
        <f aca="false">Tabella5279112479161820222426283032343638404244464850525456[[#This Row],[Colonna6]]*$Q3</f>
        <v>3.2</v>
      </c>
      <c r="Y41" s="14" t="n">
        <f aca="false">Tabella5279112479161820222426283032343638404244464850525456[[#This Row],[Colonna7]]*$Q3</f>
        <v>2.4</v>
      </c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6</v>
      </c>
      <c r="H42" s="13" t="n">
        <v>5</v>
      </c>
      <c r="I42" s="13" t="n">
        <v>1</v>
      </c>
      <c r="J42" s="13" t="n">
        <v>2</v>
      </c>
      <c r="K42" s="13" t="n">
        <v>1</v>
      </c>
      <c r="L42" s="13" t="n">
        <v>3</v>
      </c>
      <c r="M42" s="13" t="n">
        <v>2</v>
      </c>
      <c r="P42" s="9" t="s">
        <v>49</v>
      </c>
      <c r="Q42" s="9"/>
      <c r="R42" s="9"/>
      <c r="S42" s="14" t="n">
        <f aca="false">Tabella5279112479161820222426283032343638404244464850525456[[#This Row],[Colonna1]]*$Q3</f>
        <v>2.4</v>
      </c>
      <c r="T42" s="14" t="n">
        <f aca="false">Tabella5279112479161820222426283032343638404244464850525456[[#This Row],[Colonna2]]*$Q3</f>
        <v>2</v>
      </c>
      <c r="U42" s="14" t="n">
        <f aca="false">Tabella5279112479161820222426283032343638404244464850525456[[#This Row],[Colonna3]]*$Q3</f>
        <v>0.4</v>
      </c>
      <c r="V42" s="14" t="n">
        <f aca="false">Tabella5279112479161820222426283032343638404244464850525456[[#This Row],[Colonna4]]*$Q3</f>
        <v>0.8</v>
      </c>
      <c r="W42" s="14" t="n">
        <f aca="false">Tabella5279112479161820222426283032343638404244464850525456[[#This Row],[Colonna5]]*$Q3</f>
        <v>0.4</v>
      </c>
      <c r="X42" s="14" t="n">
        <f aca="false">Tabella5279112479161820222426283032343638404244464850525456[[#This Row],[Colonna6]]*$Q3</f>
        <v>1.2</v>
      </c>
      <c r="Y42" s="14" t="n">
        <f aca="false">Tabella5279112479161820222426283032343638404244464850525456[[#This Row],[Colonna7]]*$Q3</f>
        <v>0.8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9</v>
      </c>
      <c r="H44" s="13" t="n">
        <v>3</v>
      </c>
      <c r="I44" s="13" t="n">
        <v>11</v>
      </c>
      <c r="J44" s="13" t="n">
        <v>5</v>
      </c>
      <c r="K44" s="13" t="n">
        <v>3</v>
      </c>
      <c r="L44" s="13" t="n">
        <v>4</v>
      </c>
      <c r="M44" s="13" t="n">
        <v>3</v>
      </c>
      <c r="P44" s="12" t="s">
        <v>51</v>
      </c>
      <c r="Q44" s="12"/>
      <c r="R44" s="12"/>
      <c r="S44" s="14" t="n">
        <f aca="false">Tabella5279112479161820222426283032343638404244464850525456[[#This Row],[Colonna1]]*$Q3</f>
        <v>3.6</v>
      </c>
      <c r="T44" s="14" t="n">
        <f aca="false">Tabella5279112479161820222426283032343638404244464850525456[[#This Row],[Colonna2]]*$Q3</f>
        <v>1.2</v>
      </c>
      <c r="U44" s="14" t="n">
        <f aca="false">Tabella5279112479161820222426283032343638404244464850525456[[#This Row],[Colonna3]]*$Q3</f>
        <v>4.4</v>
      </c>
      <c r="V44" s="14" t="n">
        <f aca="false">Tabella5279112479161820222426283032343638404244464850525456[[#This Row],[Colonna4]]*$Q3</f>
        <v>2</v>
      </c>
      <c r="W44" s="14" t="n">
        <f aca="false">Tabella5279112479161820222426283032343638404244464850525456[[#This Row],[Colonna5]]*$Q3</f>
        <v>1.2</v>
      </c>
      <c r="X44" s="14" t="n">
        <f aca="false">Tabella5279112479161820222426283032343638404244464850525456[[#This Row],[Colonna6]]*$Q3</f>
        <v>1.6</v>
      </c>
      <c r="Y44" s="14" t="n">
        <f aca="false">Tabella5279112479161820222426283032343638404244464850525456[[#This Row],[Colonna7]]*$Q3</f>
        <v>1.2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 t="n">
        <v>1</v>
      </c>
      <c r="H48" s="13" t="n">
        <v>3</v>
      </c>
      <c r="I48" s="13"/>
      <c r="J48" s="13"/>
      <c r="K48" s="13"/>
      <c r="L48" s="13" t="n">
        <v>1</v>
      </c>
      <c r="M48" s="13" t="n">
        <v>1</v>
      </c>
      <c r="P48" s="12" t="s">
        <v>55</v>
      </c>
      <c r="Q48" s="12"/>
      <c r="R48" s="12"/>
      <c r="S48" s="14" t="n">
        <f aca="false">Tabella5279112479161820222426283032343638404244464850525456[[#This Row],[Colonna1]]*$Q3</f>
        <v>0.4</v>
      </c>
      <c r="T48" s="14" t="n">
        <f aca="false">Tabella5279112479161820222426283032343638404244464850525456[[#This Row],[Colonna2]]*$Q3</f>
        <v>1.2</v>
      </c>
      <c r="U48" s="14"/>
      <c r="V48" s="14"/>
      <c r="W48" s="14"/>
      <c r="X48" s="14" t="n">
        <f aca="false">Tabella5279112479161820222426283032343638404244464850525456[[#This Row],[Colonna6]]*$Q3</f>
        <v>0.4</v>
      </c>
      <c r="Y48" s="14" t="n">
        <f aca="false">Tabella5279112479161820222426283032343638404244464850525456[[#This Row],[Colonna7]]*$Q3</f>
        <v>0.4</v>
      </c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4</v>
      </c>
      <c r="H49" s="13" t="n">
        <v>11</v>
      </c>
      <c r="I49" s="13" t="n">
        <v>2</v>
      </c>
      <c r="J49" s="13"/>
      <c r="K49" s="13" t="n">
        <v>3</v>
      </c>
      <c r="L49" s="13" t="n">
        <v>1</v>
      </c>
      <c r="M49" s="13"/>
      <c r="P49" s="18" t="s">
        <v>56</v>
      </c>
      <c r="Q49" s="18"/>
      <c r="R49" s="18"/>
      <c r="S49" s="14" t="n">
        <f aca="false">Tabella5279112479161820222426283032343638404244464850525456[[#This Row],[Colonna1]]*$Q3</f>
        <v>1.6</v>
      </c>
      <c r="T49" s="14" t="n">
        <f aca="false">Tabella5279112479161820222426283032343638404244464850525456[[#This Row],[Colonna2]]*$Q3</f>
        <v>4.4</v>
      </c>
      <c r="U49" s="14" t="n">
        <f aca="false">Tabella5279112479161820222426283032343638404244464850525456[[#This Row],[Colonna3]]*$Q3</f>
        <v>0.8</v>
      </c>
      <c r="V49" s="14"/>
      <c r="W49" s="14" t="n">
        <f aca="false">Tabella5279112479161820222426283032343638404244464850525456[[#This Row],[Colonna5]]*$Q3</f>
        <v>1.2</v>
      </c>
      <c r="X49" s="14" t="n">
        <f aca="false">Tabella5279112479161820222426283032343638404244464850525456[[#This Row],[Colonna6]]*$Q3</f>
        <v>0.4</v>
      </c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106</v>
      </c>
      <c r="H52" s="13" t="n">
        <v>103</v>
      </c>
      <c r="I52" s="13" t="n">
        <v>105</v>
      </c>
      <c r="J52" s="13" t="n">
        <v>100</v>
      </c>
      <c r="K52" s="13" t="n">
        <v>29</v>
      </c>
      <c r="L52" s="13" t="n">
        <v>75</v>
      </c>
      <c r="M52" s="13" t="n">
        <v>41</v>
      </c>
      <c r="P52" s="12" t="s">
        <v>59</v>
      </c>
      <c r="Q52" s="12"/>
      <c r="R52" s="12"/>
      <c r="S52" s="14" t="n">
        <f aca="false">Tabella5279112479161820222426283032343638404244464850525456[[#This Row],[Colonna1]]*$Q3</f>
        <v>42.4</v>
      </c>
      <c r="T52" s="14" t="n">
        <f aca="false">Tabella5279112479161820222426283032343638404244464850525456[[#This Row],[Colonna2]]*$Q3</f>
        <v>41.2</v>
      </c>
      <c r="U52" s="14" t="n">
        <f aca="false">Tabella5279112479161820222426283032343638404244464850525456[[#This Row],[Colonna3]]*$Q3</f>
        <v>42</v>
      </c>
      <c r="V52" s="14" t="n">
        <f aca="false">Tabella5279112479161820222426283032343638404244464850525456[[#This Row],[Colonna4]]*$Q3</f>
        <v>40</v>
      </c>
      <c r="W52" s="14" t="n">
        <f aca="false">Tabella5279112479161820222426283032343638404244464850525456[[#This Row],[Colonna5]]*$Q3</f>
        <v>11.6</v>
      </c>
      <c r="X52" s="14" t="n">
        <f aca="false">Tabella5279112479161820222426283032343638404244464850525456[[#This Row],[Colonna6]]*$Q3</f>
        <v>30</v>
      </c>
      <c r="Y52" s="14" t="n">
        <f aca="false">Tabella5279112479161820222426283032343638404244464850525456[[#This Row],[Colonna7]]*$Q3</f>
        <v>16.4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SUM(G52,G49,G48,G44,G42,G41,G40,G39,G38,G31,G29,G28,G27,G22,G20,G7)</f>
        <v>404</v>
      </c>
      <c r="H53" s="55" t="n">
        <f aca="false">SUM(H52,H49,H48,H44,H42,H41,H38,H37,H31,H29,H28,H27,H22,H20,H12,H7)</f>
        <v>433</v>
      </c>
      <c r="I53" s="55" t="n">
        <f aca="false">SUM(I52,I49,I44,I42,I41,I40,I39,I38,I37,I31,I29,I28,I27,I22,I20,I7)</f>
        <v>386</v>
      </c>
      <c r="J53" s="55" t="n">
        <f aca="false">SUM(J52,J44,J42,J41,J40,J38,J31,J29,J28,J23,J22,J20)</f>
        <v>210</v>
      </c>
      <c r="K53" s="55" t="n">
        <f aca="false">SUM(K52,K49,K44,K42,K41,K40,K38,K29,K28,K22,K20)</f>
        <v>133</v>
      </c>
      <c r="L53" s="55" t="n">
        <f aca="false">SUM(L52,L49,L48,L44,L42,L41,L40,L38,L31,L29,L28,L22)</f>
        <v>157</v>
      </c>
      <c r="M53" s="55" t="n">
        <f aca="false">SUM(M52,M48,M44,M42,M41,M37,M29,M22,M7)</f>
        <v>89</v>
      </c>
      <c r="P53" s="17" t="s">
        <v>60</v>
      </c>
      <c r="Q53" s="17"/>
      <c r="R53" s="17"/>
      <c r="S53" s="56" t="n">
        <f aca="false">Tabella5279112479161820222426283032343638404244464850525456[[#This Row],[Colonna1]]*$Q3</f>
        <v>161.6</v>
      </c>
      <c r="T53" s="56" t="n">
        <f aca="false">Tabella5279112479161820222426283032343638404244464850525456[[#This Row],[Colonna2]]*$Q3</f>
        <v>173.2</v>
      </c>
      <c r="U53" s="56" t="n">
        <f aca="false">Tabella5279112479161820222426283032343638404244464850525456[[#This Row],[Colonna3]]*$Q3</f>
        <v>154.4</v>
      </c>
      <c r="V53" s="56" t="n">
        <f aca="false">Tabella5279112479161820222426283032343638404244464850525456[[#This Row],[Colonna4]]*$Q3</f>
        <v>84</v>
      </c>
      <c r="W53" s="56" t="n">
        <f aca="false">Tabella5279112479161820222426283032343638404244464850525456[[#This Row],[Colonna5]]*$Q3</f>
        <v>53.2</v>
      </c>
      <c r="X53" s="56" t="n">
        <f aca="false">Tabella5279112479161820222426283032343638404244464850525456[[#This Row],[Colonna6]]*$Q3</f>
        <v>62.8</v>
      </c>
      <c r="Y53" s="56" t="n">
        <f aca="false">Tabella5279112479161820222426283032343638404244464850525456[[#This Row],[Colonna7]]*$Q3</f>
        <v>35.6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156</v>
      </c>
      <c r="H58" s="26" t="n">
        <v>241</v>
      </c>
      <c r="I58" s="26" t="n">
        <v>182</v>
      </c>
      <c r="J58" s="26" t="n">
        <v>105</v>
      </c>
      <c r="K58" s="26" t="n">
        <v>135</v>
      </c>
      <c r="L58" s="26" t="n">
        <v>100</v>
      </c>
      <c r="M58" s="26" t="n">
        <v>95</v>
      </c>
      <c r="P58" s="23" t="s">
        <v>62</v>
      </c>
      <c r="Q58" s="23"/>
      <c r="R58" s="23"/>
      <c r="S58" s="57" t="n">
        <f aca="false">G58*$Q3</f>
        <v>62.4</v>
      </c>
      <c r="T58" s="57" t="n">
        <f aca="false">H58*$Q3</f>
        <v>96.4</v>
      </c>
      <c r="U58" s="57" t="n">
        <f aca="false">I58*$Q3</f>
        <v>72.8</v>
      </c>
      <c r="V58" s="57" t="n">
        <f aca="false">J58*$Q3</f>
        <v>42</v>
      </c>
      <c r="W58" s="57" t="n">
        <f aca="false">K58*$Q3</f>
        <v>54</v>
      </c>
      <c r="X58" s="57" t="n">
        <f aca="false">L58*$Q3</f>
        <v>40</v>
      </c>
      <c r="Y58" s="57" t="n">
        <f aca="false">M58*$Q3</f>
        <v>38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9</v>
      </c>
      <c r="H62" s="26" t="n">
        <v>19</v>
      </c>
      <c r="I62" s="26" t="n">
        <v>7</v>
      </c>
      <c r="J62" s="26" t="n">
        <v>5</v>
      </c>
      <c r="K62" s="26" t="n">
        <v>3</v>
      </c>
      <c r="L62" s="26" t="n">
        <v>2</v>
      </c>
      <c r="M62" s="26"/>
      <c r="P62" s="9" t="s">
        <v>66</v>
      </c>
      <c r="Q62" s="9"/>
      <c r="R62" s="9"/>
      <c r="S62" s="57" t="n">
        <f aca="false">G62*$Q3</f>
        <v>3.6</v>
      </c>
      <c r="T62" s="57" t="n">
        <f aca="false">H62*$Q3</f>
        <v>7.6</v>
      </c>
      <c r="U62" s="57" t="n">
        <f aca="false">I62*$Q3</f>
        <v>2.8</v>
      </c>
      <c r="V62" s="57" t="n">
        <f aca="false">J62*$Q3</f>
        <v>2</v>
      </c>
      <c r="W62" s="57" t="n">
        <f aca="false">K62*$Q3</f>
        <v>1.2</v>
      </c>
      <c r="X62" s="57" t="n">
        <f aca="false">L62*$Q3</f>
        <v>0.8</v>
      </c>
      <c r="Y62" s="27"/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11</v>
      </c>
      <c r="H63" s="26" t="n">
        <v>4</v>
      </c>
      <c r="I63" s="26" t="n">
        <v>4</v>
      </c>
      <c r="J63" s="26" t="n">
        <v>1</v>
      </c>
      <c r="K63" s="26" t="n">
        <v>5</v>
      </c>
      <c r="L63" s="26" t="n">
        <v>4</v>
      </c>
      <c r="M63" s="26" t="n">
        <v>1</v>
      </c>
      <c r="P63" s="9" t="s">
        <v>67</v>
      </c>
      <c r="Q63" s="9"/>
      <c r="R63" s="9"/>
      <c r="S63" s="57" t="n">
        <f aca="false">G63*$Q3</f>
        <v>4.4</v>
      </c>
      <c r="T63" s="57" t="n">
        <f aca="false">H63*$Q3</f>
        <v>1.6</v>
      </c>
      <c r="U63" s="57" t="n">
        <f aca="false">I63*$Q3</f>
        <v>1.6</v>
      </c>
      <c r="V63" s="57" t="n">
        <f aca="false">J63*$Q3</f>
        <v>0.4</v>
      </c>
      <c r="W63" s="57" t="n">
        <f aca="false">K63*$Q3</f>
        <v>2</v>
      </c>
      <c r="X63" s="57" t="n">
        <f aca="false">L63*$Q3</f>
        <v>1.6</v>
      </c>
      <c r="Y63" s="57" t="n">
        <f aca="false">M63*$Q3</f>
        <v>0.4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2</v>
      </c>
      <c r="H64" s="26" t="n">
        <v>3</v>
      </c>
      <c r="I64" s="26"/>
      <c r="J64" s="26"/>
      <c r="K64" s="26"/>
      <c r="L64" s="26" t="n">
        <v>1</v>
      </c>
      <c r="M64" s="26"/>
      <c r="P64" s="9" t="s">
        <v>68</v>
      </c>
      <c r="Q64" s="9"/>
      <c r="R64" s="9"/>
      <c r="S64" s="57" t="n">
        <f aca="false">G64*$Q3</f>
        <v>0.8</v>
      </c>
      <c r="T64" s="57" t="n">
        <f aca="false">H64*$Q3</f>
        <v>1.2</v>
      </c>
      <c r="U64" s="57"/>
      <c r="V64" s="57"/>
      <c r="W64" s="57"/>
      <c r="X64" s="57" t="n">
        <f aca="false">L64*$Q3</f>
        <v>0.4</v>
      </c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1</v>
      </c>
      <c r="H65" s="26" t="n">
        <v>2</v>
      </c>
      <c r="I65" s="26" t="n">
        <v>9</v>
      </c>
      <c r="J65" s="26" t="n">
        <v>12</v>
      </c>
      <c r="K65" s="26" t="n">
        <v>1</v>
      </c>
      <c r="L65" s="26" t="n">
        <v>2</v>
      </c>
      <c r="M65" s="26" t="n">
        <v>1</v>
      </c>
      <c r="P65" s="9" t="s">
        <v>69</v>
      </c>
      <c r="Q65" s="9"/>
      <c r="R65" s="9"/>
      <c r="S65" s="57" t="n">
        <f aca="false">G65*$Q3</f>
        <v>0.4</v>
      </c>
      <c r="T65" s="57" t="n">
        <f aca="false">H65*$Q3</f>
        <v>0.8</v>
      </c>
      <c r="U65" s="57" t="n">
        <f aca="false">I65*$Q3</f>
        <v>3.6</v>
      </c>
      <c r="V65" s="57" t="n">
        <f aca="false">J65*$Q3</f>
        <v>4.8</v>
      </c>
      <c r="W65" s="57" t="n">
        <f aca="false">K65*$Q3</f>
        <v>0.4</v>
      </c>
      <c r="X65" s="57" t="n">
        <f aca="false">L65*$Q3</f>
        <v>0.8</v>
      </c>
      <c r="Y65" s="57" t="n">
        <f aca="false">M65*$Q3</f>
        <v>0.4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31</v>
      </c>
      <c r="H67" s="26" t="n">
        <v>52</v>
      </c>
      <c r="I67" s="26" t="n">
        <v>42</v>
      </c>
      <c r="J67" s="26" t="n">
        <v>28</v>
      </c>
      <c r="K67" s="26" t="n">
        <v>45</v>
      </c>
      <c r="L67" s="26" t="n">
        <v>16</v>
      </c>
      <c r="M67" s="26" t="n">
        <v>12</v>
      </c>
      <c r="P67" s="9" t="s">
        <v>71</v>
      </c>
      <c r="Q67" s="9"/>
      <c r="R67" s="9"/>
      <c r="S67" s="57" t="n">
        <f aca="false">G67*$Q3</f>
        <v>12.4</v>
      </c>
      <c r="T67" s="57" t="n">
        <f aca="false">H67*$Q3</f>
        <v>20.8</v>
      </c>
      <c r="U67" s="57" t="n">
        <f aca="false">I67*$Q3</f>
        <v>16.8</v>
      </c>
      <c r="V67" s="57" t="n">
        <f aca="false">J67*$Q3</f>
        <v>11.2</v>
      </c>
      <c r="W67" s="57" t="n">
        <f aca="false">K67*$Q3</f>
        <v>18</v>
      </c>
      <c r="X67" s="57" t="n">
        <f aca="false">L67*$Q3</f>
        <v>6.4</v>
      </c>
      <c r="Y67" s="57" t="n">
        <f aca="false">M67*$Q3</f>
        <v>4.8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21</v>
      </c>
      <c r="H68" s="30" t="n">
        <v>10</v>
      </c>
      <c r="I68" s="30" t="n">
        <v>16</v>
      </c>
      <c r="J68" s="30" t="n">
        <v>7</v>
      </c>
      <c r="K68" s="30" t="n">
        <v>3</v>
      </c>
      <c r="L68" s="30" t="n">
        <v>8</v>
      </c>
      <c r="M68" s="30"/>
      <c r="P68" s="9" t="s">
        <v>72</v>
      </c>
      <c r="Q68" s="9"/>
      <c r="R68" s="9"/>
      <c r="S68" s="59" t="n">
        <f aca="false">G68*$Q3</f>
        <v>8.4</v>
      </c>
      <c r="T68" s="59" t="n">
        <f aca="false">H68*$Q3</f>
        <v>4</v>
      </c>
      <c r="U68" s="59" t="n">
        <f aca="false">I68*$Q3</f>
        <v>6.4</v>
      </c>
      <c r="V68" s="59" t="n">
        <f aca="false">J68*$Q3</f>
        <v>2.8</v>
      </c>
      <c r="W68" s="59" t="n">
        <f aca="false">K68*$Q3</f>
        <v>1.2</v>
      </c>
      <c r="X68" s="59" t="n">
        <f aca="false">L68*$Q3</f>
        <v>3.2</v>
      </c>
      <c r="Y68" s="31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39</v>
      </c>
      <c r="H69" s="30" t="n">
        <v>24</v>
      </c>
      <c r="I69" s="30" t="n">
        <v>15</v>
      </c>
      <c r="J69" s="30" t="n">
        <v>30</v>
      </c>
      <c r="K69" s="30" t="n">
        <v>53</v>
      </c>
      <c r="L69" s="30" t="n">
        <v>25</v>
      </c>
      <c r="M69" s="30" t="n">
        <v>79</v>
      </c>
      <c r="P69" s="9" t="s">
        <v>73</v>
      </c>
      <c r="Q69" s="9"/>
      <c r="R69" s="9"/>
      <c r="S69" s="59" t="n">
        <f aca="false">G69*$Q3</f>
        <v>15.6</v>
      </c>
      <c r="T69" s="59" t="n">
        <f aca="false">H69*$Q3</f>
        <v>9.6</v>
      </c>
      <c r="U69" s="59" t="n">
        <f aca="false">I69*$Q3</f>
        <v>6</v>
      </c>
      <c r="V69" s="59" t="n">
        <f aca="false">J69*$Q3</f>
        <v>12</v>
      </c>
      <c r="W69" s="59" t="n">
        <f aca="false">K69*$Q3</f>
        <v>21.2</v>
      </c>
      <c r="X69" s="59" t="n">
        <f aca="false">L69*$Q3</f>
        <v>10</v>
      </c>
      <c r="Y69" s="59" t="n">
        <f aca="false">M69*$Q3</f>
        <v>31.6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SUM(G69,G68,G67,G65,G64,G63,G62,G58)</f>
        <v>270</v>
      </c>
      <c r="H70" s="60" t="n">
        <f aca="false">SUM(H58,H62,H63,H64,H65,H67,H68,H69)</f>
        <v>355</v>
      </c>
      <c r="I70" s="60" t="n">
        <f aca="false">SUM(I58,I62,I63,I65,I67,I68,I69)</f>
        <v>275</v>
      </c>
      <c r="J70" s="60" t="n">
        <f aca="false">SUM(J58,J62,J63,J65,J67,J68,J69)</f>
        <v>188</v>
      </c>
      <c r="K70" s="12" t="n">
        <f aca="false">SUM(K58,K62,K63,K65,K67,K68,K69)</f>
        <v>245</v>
      </c>
      <c r="L70" s="12" t="n">
        <f aca="false">SUM(L58,L62,L63,L64,L65,L67,L68,L69)</f>
        <v>158</v>
      </c>
      <c r="M70" s="12" t="n">
        <f aca="false">SUM(M69,M67,M65,M63,M58)</f>
        <v>188</v>
      </c>
      <c r="P70" s="9" t="s">
        <v>60</v>
      </c>
      <c r="Q70" s="9"/>
      <c r="R70" s="9"/>
      <c r="S70" s="61" t="n">
        <f aca="false">G70*$Q3</f>
        <v>108</v>
      </c>
      <c r="T70" s="61" t="n">
        <f aca="false">H70*$Q3</f>
        <v>142</v>
      </c>
      <c r="U70" s="61" t="n">
        <f aca="false">I70*$Q3</f>
        <v>110</v>
      </c>
      <c r="V70" s="61" t="n">
        <f aca="false">J70*$Q3</f>
        <v>75.2</v>
      </c>
      <c r="W70" s="61" t="n">
        <f aca="false">K70*$Q3</f>
        <v>98</v>
      </c>
      <c r="X70" s="61" t="n">
        <f aca="false">L70*$Q3</f>
        <v>63.2</v>
      </c>
      <c r="Y70" s="61" t="n">
        <f aca="false">M70*$Q3</f>
        <v>75.2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Z83"/>
  <sheetViews>
    <sheetView showFormulas="false" showGridLines="true" showRowColHeaders="true" showZeros="true" rightToLeft="false" tabSelected="false" showOutlineSymbols="true" defaultGridColor="true" view="normal" topLeftCell="K28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45075</v>
      </c>
      <c r="K3" s="5" t="n">
        <v>45081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45075</v>
      </c>
      <c r="W3" s="5" t="n">
        <v>45081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4</v>
      </c>
      <c r="H7" s="13" t="n">
        <v>3</v>
      </c>
      <c r="I7" s="13" t="n">
        <v>3</v>
      </c>
      <c r="J7" s="13" t="n">
        <v>5</v>
      </c>
      <c r="K7" s="13" t="n">
        <v>3</v>
      </c>
      <c r="L7" s="13" t="n">
        <v>2</v>
      </c>
      <c r="M7" s="13" t="n">
        <v>2</v>
      </c>
      <c r="P7" s="12" t="s">
        <v>14</v>
      </c>
      <c r="Q7" s="12"/>
      <c r="R7" s="12"/>
      <c r="S7" s="14" t="n">
        <f aca="false">Tabella527911247916182022242628303234363840424446485052545658[[#This Row],[Colonna1]]*$Q3</f>
        <v>1.6</v>
      </c>
      <c r="T7" s="14" t="n">
        <f aca="false">Tabella527911247916182022242628303234363840424446485052545658[[#This Row],[Colonna2]]*$Q3</f>
        <v>1.2</v>
      </c>
      <c r="U7" s="14" t="n">
        <f aca="false">Tabella527911247916182022242628303234363840424446485052545658[[#This Row],[Colonna3]]*$Q3</f>
        <v>1.2</v>
      </c>
      <c r="V7" s="14" t="n">
        <f aca="false">Tabella527911247916182022242628303234363840424446485052545658[[#This Row],[Colonna4]]*$Q3</f>
        <v>2</v>
      </c>
      <c r="W7" s="14" t="n">
        <f aca="false">Tabella527911247916182022242628303234363840424446485052545658[[#This Row],[Colonna5]]*$Q3</f>
        <v>1.2</v>
      </c>
      <c r="X7" s="14" t="n">
        <f aca="false">Tabella527911247916182022242628303234363840424446485052545658[[#This Row],[Colonna6]]*$Q3</f>
        <v>0.8</v>
      </c>
      <c r="Y7" s="14" t="n">
        <f aca="false">Tabella527911247916182022242628303234363840424446485052545658[[#This Row],[Colonna7]]*$Q3</f>
        <v>0.8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1</v>
      </c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 t="n">
        <f aca="false">Tabella527911247916182022242628303234363840424446485052545658[[#This Row],[Colonna1]]*$Q3</f>
        <v>0.4</v>
      </c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4</v>
      </c>
      <c r="H12" s="13" t="n">
        <v>1</v>
      </c>
      <c r="I12" s="13"/>
      <c r="J12" s="13" t="n">
        <v>1</v>
      </c>
      <c r="K12" s="13" t="n">
        <v>2</v>
      </c>
      <c r="L12" s="13"/>
      <c r="M12" s="13"/>
      <c r="P12" s="12" t="s">
        <v>19</v>
      </c>
      <c r="Q12" s="12"/>
      <c r="R12" s="12"/>
      <c r="S12" s="14" t="n">
        <f aca="false">Tabella527911247916182022242628303234363840424446485052545658[[#This Row],[Colonna1]]*$Q3</f>
        <v>1.6</v>
      </c>
      <c r="T12" s="14" t="n">
        <f aca="false">Tabella527911247916182022242628303234363840424446485052545658[[#This Row],[Colonna2]]*$Q3</f>
        <v>0.4</v>
      </c>
      <c r="U12" s="14"/>
      <c r="V12" s="14" t="n">
        <f aca="false">Tabella527911247916182022242628303234363840424446485052545658[[#This Row],[Colonna4]]*$Q3</f>
        <v>0.4</v>
      </c>
      <c r="W12" s="14" t="n">
        <f aca="false">Tabella527911247916182022242628303234363840424446485052545658[[#This Row],[Colonna5]]*$Q3</f>
        <v>0.8</v>
      </c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 t="n">
        <v>2</v>
      </c>
      <c r="I20" s="13" t="n">
        <v>1</v>
      </c>
      <c r="J20" s="13"/>
      <c r="K20" s="13"/>
      <c r="L20" s="13"/>
      <c r="M20" s="13"/>
      <c r="P20" s="9" t="s">
        <v>27</v>
      </c>
      <c r="Q20" s="9"/>
      <c r="R20" s="9"/>
      <c r="S20" s="14"/>
      <c r="T20" s="14" t="n">
        <f aca="false">Tabella527911247916182022242628303234363840424446485052545658[[#This Row],[Colonna2]]*$Q3</f>
        <v>0.8</v>
      </c>
      <c r="U20" s="14" t="n">
        <f aca="false">Tabella527911247916182022242628303234363840424446485052545658[[#This Row],[Colonna3]]*$Q3</f>
        <v>0.4</v>
      </c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18</v>
      </c>
      <c r="H22" s="13" t="n">
        <v>18</v>
      </c>
      <c r="I22" s="13" t="n">
        <v>11</v>
      </c>
      <c r="J22" s="13" t="n">
        <v>1</v>
      </c>
      <c r="K22" s="13" t="n">
        <v>6</v>
      </c>
      <c r="L22" s="13" t="n">
        <v>1</v>
      </c>
      <c r="M22" s="13"/>
      <c r="P22" s="12" t="s">
        <v>29</v>
      </c>
      <c r="Q22" s="12"/>
      <c r="R22" s="12"/>
      <c r="S22" s="14" t="n">
        <f aca="false">Tabella527911247916182022242628303234363840424446485052545658[[#This Row],[Colonna1]]*$Q3</f>
        <v>7.2</v>
      </c>
      <c r="T22" s="14" t="n">
        <f aca="false">Tabella527911247916182022242628303234363840424446485052545658[[#This Row],[Colonna2]]*$Q3</f>
        <v>7.2</v>
      </c>
      <c r="U22" s="14" t="n">
        <f aca="false">Tabella527911247916182022242628303234363840424446485052545658[[#This Row],[Colonna3]]*$Q3</f>
        <v>4.4</v>
      </c>
      <c r="V22" s="14" t="n">
        <f aca="false">Tabella527911247916182022242628303234363840424446485052545658[[#This Row],[Colonna4]]*$Q3</f>
        <v>0.4</v>
      </c>
      <c r="W22" s="14" t="n">
        <f aca="false">Tabella527911247916182022242628303234363840424446485052545658[[#This Row],[Colonna5]]*$Q3</f>
        <v>2.4</v>
      </c>
      <c r="X22" s="14" t="n">
        <f aca="false">Tabella527911247916182022242628303234363840424446485052545658[[#This Row],[Colonna6]]*$Q3</f>
        <v>0.4</v>
      </c>
      <c r="Y22" s="14"/>
      <c r="Z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 t="n">
        <v>1</v>
      </c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 t="n">
        <f aca="false">Tabella527911247916182022242628303234363840424446485052545658[[#This Row],[Colonna7]]*$Q3</f>
        <v>0.4</v>
      </c>
    </row>
    <row r="24" customFormat="false" ht="15" hidden="false" customHeight="false" outlineLevel="0" collapsed="false">
      <c r="D24" s="9" t="s">
        <v>31</v>
      </c>
      <c r="E24" s="9"/>
      <c r="F24" s="9"/>
      <c r="G24" s="13" t="n">
        <v>1</v>
      </c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 t="n">
        <f aca="false">Tabella527911247916182022242628303234363840424446485052545658[[#This Row],[Colonna1]]*$Q3</f>
        <v>0.4</v>
      </c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 t="n">
        <v>1</v>
      </c>
      <c r="J27" s="13"/>
      <c r="K27" s="13" t="n">
        <v>1</v>
      </c>
      <c r="L27" s="13"/>
      <c r="M27" s="13"/>
      <c r="P27" s="12" t="s">
        <v>34</v>
      </c>
      <c r="Q27" s="12"/>
      <c r="R27" s="12"/>
      <c r="S27" s="14"/>
      <c r="T27" s="14"/>
      <c r="U27" s="14" t="n">
        <f aca="false">Tabella527911247916182022242628303234363840424446485052545658[[#This Row],[Colonna3]]*$Q3</f>
        <v>0.4</v>
      </c>
      <c r="V27" s="14"/>
      <c r="W27" s="14" t="n">
        <f aca="false">Tabella527911247916182022242628303234363840424446485052545658[[#This Row],[Colonna5]]*$Q3</f>
        <v>0.4</v>
      </c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1</v>
      </c>
      <c r="H28" s="13" t="n">
        <v>4</v>
      </c>
      <c r="I28" s="13" t="n">
        <v>1</v>
      </c>
      <c r="J28" s="13" t="n">
        <v>1</v>
      </c>
      <c r="K28" s="13"/>
      <c r="L28" s="13"/>
      <c r="M28" s="13" t="n">
        <v>3</v>
      </c>
      <c r="P28" s="12" t="s">
        <v>35</v>
      </c>
      <c r="Q28" s="12"/>
      <c r="R28" s="12"/>
      <c r="S28" s="14" t="n">
        <f aca="false">Tabella527911247916182022242628303234363840424446485052545658[[#This Row],[Colonna1]]*$Q3</f>
        <v>0.4</v>
      </c>
      <c r="T28" s="14" t="n">
        <f aca="false">Tabella527911247916182022242628303234363840424446485052545658[[#This Row],[Colonna2]]*$Q3</f>
        <v>1.6</v>
      </c>
      <c r="U28" s="14" t="n">
        <f aca="false">Tabella527911247916182022242628303234363840424446485052545658[[#This Row],[Colonna3]]*$Q3</f>
        <v>0.4</v>
      </c>
      <c r="V28" s="14" t="n">
        <f aca="false">Tabella527911247916182022242628303234363840424446485052545658[[#This Row],[Colonna4]]*$Q3</f>
        <v>0.4</v>
      </c>
      <c r="W28" s="14"/>
      <c r="X28" s="14"/>
      <c r="Y28" s="14" t="n">
        <f aca="false">Tabella527911247916182022242628303234363840424446485052545658[[#This Row],[Colonna7]]*$Q3</f>
        <v>1.2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121</v>
      </c>
      <c r="H29" s="13" t="n">
        <v>151</v>
      </c>
      <c r="I29" s="13" t="n">
        <v>137</v>
      </c>
      <c r="J29" s="13" t="n">
        <v>48</v>
      </c>
      <c r="K29" s="13" t="n">
        <v>94</v>
      </c>
      <c r="L29" s="13" t="n">
        <v>10</v>
      </c>
      <c r="M29" s="13" t="n">
        <v>9</v>
      </c>
      <c r="P29" s="12" t="s">
        <v>36</v>
      </c>
      <c r="Q29" s="12"/>
      <c r="R29" s="12"/>
      <c r="S29" s="14" t="n">
        <f aca="false">Tabella527911247916182022242628303234363840424446485052545658[[#This Row],[Colonna1]]*$Q3</f>
        <v>48.4</v>
      </c>
      <c r="T29" s="14" t="n">
        <f aca="false">Tabella527911247916182022242628303234363840424446485052545658[[#This Row],[Colonna2]]*$Q3</f>
        <v>60.4</v>
      </c>
      <c r="U29" s="14" t="n">
        <f aca="false">Tabella527911247916182022242628303234363840424446485052545658[[#This Row],[Colonna3]]*$Q3</f>
        <v>54.8</v>
      </c>
      <c r="V29" s="14" t="n">
        <f aca="false">Tabella527911247916182022242628303234363840424446485052545658[[#This Row],[Colonna4]]*$Q3</f>
        <v>19.2</v>
      </c>
      <c r="W29" s="14" t="n">
        <f aca="false">Tabella527911247916182022242628303234363840424446485052545658[[#This Row],[Colonna5]]*$Q3</f>
        <v>37.6</v>
      </c>
      <c r="X29" s="14" t="n">
        <f aca="false">Tabella527911247916182022242628303234363840424446485052545658[[#This Row],[Colonna6]]*$Q3</f>
        <v>4</v>
      </c>
      <c r="Y29" s="14" t="n">
        <f aca="false">Tabella527911247916182022242628303234363840424446485052545658[[#This Row],[Colonna7]]*$Q3</f>
        <v>3.6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 t="n">
        <v>1</v>
      </c>
      <c r="J31" s="13"/>
      <c r="K31" s="13" t="n">
        <v>1</v>
      </c>
      <c r="L31" s="13"/>
      <c r="M31" s="13"/>
      <c r="P31" s="9" t="s">
        <v>38</v>
      </c>
      <c r="Q31" s="9"/>
      <c r="R31" s="9"/>
      <c r="S31" s="14"/>
      <c r="T31" s="14"/>
      <c r="U31" s="14" t="n">
        <f aca="false">Tabella527911247916182022242628303234363840424446485052545658[[#This Row],[Colonna3]]*$Q3</f>
        <v>0.4</v>
      </c>
      <c r="V31" s="14"/>
      <c r="W31" s="14" t="n">
        <f aca="false">Tabella527911247916182022242628303234363840424446485052545658[[#This Row],[Colonna5]]*$Q3</f>
        <v>0.4</v>
      </c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 t="n">
        <v>1</v>
      </c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 t="n">
        <f aca="false">Tabella527911247916182022242628303234363840424446485052545658[[#This Row],[Colonna3]]*$Q3</f>
        <v>0.4</v>
      </c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1</v>
      </c>
      <c r="H38" s="13" t="n">
        <v>9</v>
      </c>
      <c r="I38" s="13" t="n">
        <v>3</v>
      </c>
      <c r="J38" s="13" t="n">
        <v>1</v>
      </c>
      <c r="K38" s="13" t="n">
        <v>4</v>
      </c>
      <c r="L38" s="13"/>
      <c r="M38" s="13"/>
      <c r="P38" s="16" t="s">
        <v>45</v>
      </c>
      <c r="Q38" s="16"/>
      <c r="R38" s="16"/>
      <c r="S38" s="14" t="n">
        <f aca="false">Tabella527911247916182022242628303234363840424446485052545658[[#This Row],[Colonna1]]*$Q3</f>
        <v>0.4</v>
      </c>
      <c r="T38" s="14" t="n">
        <f aca="false">Tabella527911247916182022242628303234363840424446485052545658[[#This Row],[Colonna2]]*$Q3</f>
        <v>3.6</v>
      </c>
      <c r="U38" s="14" t="n">
        <f aca="false">Tabella527911247916182022242628303234363840424446485052545658[[#This Row],[Colonna3]]*$Q3</f>
        <v>1.2</v>
      </c>
      <c r="V38" s="14" t="n">
        <f aca="false">Tabella527911247916182022242628303234363840424446485052545658[[#This Row],[Colonna4]]*$Q3</f>
        <v>0.4</v>
      </c>
      <c r="W38" s="14" t="n">
        <f aca="false">Tabella527911247916182022242628303234363840424446485052545658[[#This Row],[Colonna5]]*$Q3</f>
        <v>1.6</v>
      </c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 t="n">
        <v>12</v>
      </c>
      <c r="H40" s="13" t="n">
        <v>28</v>
      </c>
      <c r="I40" s="13" t="n">
        <v>31</v>
      </c>
      <c r="J40" s="13" t="n">
        <v>7</v>
      </c>
      <c r="K40" s="13" t="n">
        <v>9</v>
      </c>
      <c r="L40" s="13"/>
      <c r="M40" s="13" t="n">
        <v>1</v>
      </c>
      <c r="P40" s="12" t="s">
        <v>47</v>
      </c>
      <c r="Q40" s="12"/>
      <c r="R40" s="12"/>
      <c r="S40" s="14" t="n">
        <f aca="false">Tabella527911247916182022242628303234363840424446485052545658[[#This Row],[Colonna1]]*$Q3</f>
        <v>4.8</v>
      </c>
      <c r="T40" s="14" t="n">
        <f aca="false">Tabella527911247916182022242628303234363840424446485052545658[[#This Row],[Colonna2]]*$Q3</f>
        <v>11.2</v>
      </c>
      <c r="U40" s="14" t="n">
        <f aca="false">Tabella527911247916182022242628303234363840424446485052545658[[#This Row],[Colonna3]]*$Q3</f>
        <v>12.4</v>
      </c>
      <c r="V40" s="14" t="n">
        <f aca="false">Tabella527911247916182022242628303234363840424446485052545658[[#This Row],[Colonna4]]*$Q3</f>
        <v>2.8</v>
      </c>
      <c r="W40" s="14" t="n">
        <f aca="false">Tabella527911247916182022242628303234363840424446485052545658[[#This Row],[Colonna5]]*$Q3</f>
        <v>3.6</v>
      </c>
      <c r="X40" s="14"/>
      <c r="Y40" s="14" t="n">
        <f aca="false">Tabella527911247916182022242628303234363840424446485052545658[[#This Row],[Colonna7]]*$Q3</f>
        <v>0.4</v>
      </c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22</v>
      </c>
      <c r="H41" s="13" t="n">
        <v>45</v>
      </c>
      <c r="I41" s="13" t="n">
        <v>54</v>
      </c>
      <c r="J41" s="13" t="n">
        <v>8</v>
      </c>
      <c r="K41" s="13" t="n">
        <v>2</v>
      </c>
      <c r="L41" s="13" t="n">
        <v>1</v>
      </c>
      <c r="M41" s="13"/>
      <c r="P41" s="18" t="s">
        <v>48</v>
      </c>
      <c r="Q41" s="18"/>
      <c r="R41" s="18"/>
      <c r="S41" s="14" t="n">
        <f aca="false">Tabella527911247916182022242628303234363840424446485052545658[[#This Row],[Colonna1]]*$Q3</f>
        <v>8.8</v>
      </c>
      <c r="T41" s="14" t="n">
        <f aca="false">Tabella527911247916182022242628303234363840424446485052545658[[#This Row],[Colonna2]]*$Q3</f>
        <v>18</v>
      </c>
      <c r="U41" s="14" t="n">
        <f aca="false">Tabella527911247916182022242628303234363840424446485052545658[[#This Row],[Colonna3]]*$Q3</f>
        <v>21.6</v>
      </c>
      <c r="V41" s="14" t="n">
        <f aca="false">Tabella527911247916182022242628303234363840424446485052545658[[#This Row],[Colonna4]]*$Q3</f>
        <v>3.2</v>
      </c>
      <c r="W41" s="14" t="n">
        <f aca="false">Tabella527911247916182022242628303234363840424446485052545658[[#This Row],[Colonna5]]*$Q3</f>
        <v>0.8</v>
      </c>
      <c r="X41" s="14" t="n">
        <f aca="false">Tabella527911247916182022242628303234363840424446485052545658[[#This Row],[Colonna6]]*$Q3</f>
        <v>0.4</v>
      </c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3</v>
      </c>
      <c r="H42" s="13" t="n">
        <v>6</v>
      </c>
      <c r="I42" s="13" t="n">
        <v>5</v>
      </c>
      <c r="J42" s="13" t="n">
        <v>2</v>
      </c>
      <c r="K42" s="13" t="n">
        <v>2</v>
      </c>
      <c r="L42" s="13"/>
      <c r="M42" s="13"/>
      <c r="P42" s="9" t="s">
        <v>49</v>
      </c>
      <c r="Q42" s="9"/>
      <c r="R42" s="9"/>
      <c r="S42" s="14" t="n">
        <f aca="false">Tabella527911247916182022242628303234363840424446485052545658[[#This Row],[Colonna1]]*$Q3</f>
        <v>1.2</v>
      </c>
      <c r="T42" s="14" t="n">
        <f aca="false">Tabella527911247916182022242628303234363840424446485052545658[[#This Row],[Colonna2]]*$Q3</f>
        <v>2.4</v>
      </c>
      <c r="U42" s="14" t="n">
        <f aca="false">Tabella527911247916182022242628303234363840424446485052545658[[#This Row],[Colonna3]]*$Q3</f>
        <v>2</v>
      </c>
      <c r="V42" s="14" t="n">
        <f aca="false">Tabella527911247916182022242628303234363840424446485052545658[[#This Row],[Colonna4]]*$Q3</f>
        <v>0.8</v>
      </c>
      <c r="W42" s="14" t="n">
        <f aca="false">Tabella527911247916182022242628303234363840424446485052545658[[#This Row],[Colonna5]]*$Q3</f>
        <v>0.8</v>
      </c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16</v>
      </c>
      <c r="H44" s="13" t="n">
        <v>19</v>
      </c>
      <c r="I44" s="13" t="n">
        <v>9</v>
      </c>
      <c r="J44" s="13" t="n">
        <v>3</v>
      </c>
      <c r="K44" s="13" t="n">
        <v>2</v>
      </c>
      <c r="L44" s="13"/>
      <c r="M44" s="13"/>
      <c r="P44" s="12" t="s">
        <v>51</v>
      </c>
      <c r="Q44" s="12"/>
      <c r="R44" s="12"/>
      <c r="S44" s="14" t="n">
        <f aca="false">Tabella527911247916182022242628303234363840424446485052545658[[#This Row],[Colonna1]]*$Q3</f>
        <v>6.4</v>
      </c>
      <c r="T44" s="14" t="n">
        <f aca="false">Tabella527911247916182022242628303234363840424446485052545658[[#This Row],[Colonna2]]*$Q3</f>
        <v>7.6</v>
      </c>
      <c r="U44" s="14" t="n">
        <f aca="false">Tabella527911247916182022242628303234363840424446485052545658[[#This Row],[Colonna3]]*$Q3</f>
        <v>3.6</v>
      </c>
      <c r="V44" s="14" t="n">
        <f aca="false">Tabella527911247916182022242628303234363840424446485052545658[[#This Row],[Colonna4]]*$Q3</f>
        <v>1.2</v>
      </c>
      <c r="W44" s="14" t="n">
        <f aca="false">Tabella527911247916182022242628303234363840424446485052545658[[#This Row],[Colonna5]]*$Q3</f>
        <v>0.8</v>
      </c>
      <c r="X44" s="14"/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 t="n">
        <v>3</v>
      </c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 t="n">
        <f aca="false">Tabella527911247916182022242628303234363840424446485052545658[[#This Row],[Colonna2]]*$Q3</f>
        <v>1.2</v>
      </c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10</v>
      </c>
      <c r="H49" s="13" t="n">
        <v>4</v>
      </c>
      <c r="I49" s="13" t="n">
        <v>23</v>
      </c>
      <c r="J49" s="13" t="n">
        <v>3</v>
      </c>
      <c r="K49" s="13" t="n">
        <v>2</v>
      </c>
      <c r="L49" s="13"/>
      <c r="M49" s="13"/>
      <c r="P49" s="18" t="s">
        <v>56</v>
      </c>
      <c r="Q49" s="18"/>
      <c r="R49" s="18"/>
      <c r="S49" s="14" t="n">
        <f aca="false">Tabella527911247916182022242628303234363840424446485052545658[[#This Row],[Colonna1]]*$Q3</f>
        <v>4</v>
      </c>
      <c r="T49" s="14" t="n">
        <f aca="false">Tabella527911247916182022242628303234363840424446485052545658[[#This Row],[Colonna2]]*$Q3</f>
        <v>1.6</v>
      </c>
      <c r="U49" s="14" t="n">
        <f aca="false">Tabella527911247916182022242628303234363840424446485052545658[[#This Row],[Colonna3]]*$Q3</f>
        <v>9.2</v>
      </c>
      <c r="V49" s="14" t="n">
        <f aca="false">Tabella527911247916182022242628303234363840424446485052545658[[#This Row],[Colonna4]]*$Q3</f>
        <v>1.2</v>
      </c>
      <c r="W49" s="14" t="n">
        <f aca="false">Tabella527911247916182022242628303234363840424446485052545658[[#This Row],[Colonna5]]*$Q3</f>
        <v>0.8</v>
      </c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28</v>
      </c>
      <c r="H52" s="13" t="n">
        <v>35</v>
      </c>
      <c r="I52" s="13" t="n">
        <v>26</v>
      </c>
      <c r="J52" s="13" t="n">
        <v>12</v>
      </c>
      <c r="K52" s="13" t="n">
        <v>34</v>
      </c>
      <c r="L52" s="13" t="n">
        <v>3</v>
      </c>
      <c r="M52" s="13" t="n">
        <v>2</v>
      </c>
      <c r="P52" s="12" t="s">
        <v>59</v>
      </c>
      <c r="Q52" s="12"/>
      <c r="R52" s="12"/>
      <c r="S52" s="14" t="n">
        <f aca="false">Tabella527911247916182022242628303234363840424446485052545658[[#This Row],[Colonna1]]*$Q3</f>
        <v>11.2</v>
      </c>
      <c r="T52" s="14" t="n">
        <f aca="false">Tabella527911247916182022242628303234363840424446485052545658[[#This Row],[Colonna2]]*$Q3</f>
        <v>14</v>
      </c>
      <c r="U52" s="14" t="n">
        <f aca="false">Tabella527911247916182022242628303234363840424446485052545658[[#This Row],[Colonna3]]*$Q3</f>
        <v>10.4</v>
      </c>
      <c r="V52" s="14" t="n">
        <f aca="false">Tabella527911247916182022242628303234363840424446485052545658[[#This Row],[Colonna4]]*$Q3</f>
        <v>4.8</v>
      </c>
      <c r="W52" s="14" t="n">
        <f aca="false">Tabella527911247916182022242628303234363840424446485052545658[[#This Row],[Colonna5]]*$Q3</f>
        <v>13.6</v>
      </c>
      <c r="X52" s="14" t="n">
        <f aca="false">Tabella527911247916182022242628303234363840424446485052545658[[#This Row],[Colonna6]]*$Q3</f>
        <v>1.2</v>
      </c>
      <c r="Y52" s="14" t="n">
        <f aca="false">Tabella527911247916182022242628303234363840424446485052545658[[#This Row],[Colonna7]]*$Q3</f>
        <v>0.8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SUM(G52,G49,G44,G42,G41,G40,G38,G29,G28,G24,G22,G12,G10,G7)</f>
        <v>242</v>
      </c>
      <c r="H53" s="55" t="n">
        <f aca="false">SUM(H52,H49,H48,H44,H42,H41,H40,H38,H29,H28,H22,H20,H12,H7)</f>
        <v>328</v>
      </c>
      <c r="I53" s="55" t="n">
        <f aca="false">SUM(I52,I49,I44,I42,I41,I40,I38,I37,I31,I29,I28,I27,I22,I20,I7)</f>
        <v>307</v>
      </c>
      <c r="J53" s="55" t="n">
        <f aca="false">SUM(J52,J49,J44,J42,J41,J40,J38,J29,J28,J22,J12,J7)</f>
        <v>92</v>
      </c>
      <c r="K53" s="55" t="n">
        <f aca="false">SUM(K52,K49,K44,K42,K41,K40,K38,K31,K29,K27,K22,K12,K7)</f>
        <v>162</v>
      </c>
      <c r="L53" s="55" t="n">
        <f aca="false">SUM(L52,L41,L29,L22,L7)</f>
        <v>17</v>
      </c>
      <c r="M53" s="55" t="n">
        <f aca="false">SUM(M52,M40,M29,M28,M23,M7)</f>
        <v>18</v>
      </c>
      <c r="P53" s="17" t="s">
        <v>60</v>
      </c>
      <c r="Q53" s="17"/>
      <c r="R53" s="17"/>
      <c r="S53" s="56" t="n">
        <f aca="false">Tabella527911247916182022242628303234363840424446485052545658[[#This Row],[Colonna1]]*$Q3</f>
        <v>96.8</v>
      </c>
      <c r="T53" s="56" t="n">
        <f aca="false">Tabella527911247916182022242628303234363840424446485052545658[[#This Row],[Colonna2]]*$Q3</f>
        <v>131.2</v>
      </c>
      <c r="U53" s="56" t="n">
        <f aca="false">Tabella527911247916182022242628303234363840424446485052545658[[#This Row],[Colonna3]]*$Q3</f>
        <v>122.8</v>
      </c>
      <c r="V53" s="56" t="n">
        <f aca="false">Tabella527911247916182022242628303234363840424446485052545658[[#This Row],[Colonna4]]*$Q3</f>
        <v>36.8</v>
      </c>
      <c r="W53" s="56" t="n">
        <f aca="false">Tabella527911247916182022242628303234363840424446485052545658[[#This Row],[Colonna5]]*$Q3</f>
        <v>64.8</v>
      </c>
      <c r="X53" s="56" t="n">
        <f aca="false">Tabella527911247916182022242628303234363840424446485052545658[[#This Row],[Colonna6]]*$Q3</f>
        <v>6.8</v>
      </c>
      <c r="Y53" s="56" t="n">
        <f aca="false">Tabella527911247916182022242628303234363840424446485052545658[[#This Row],[Colonna7]]*$Q3</f>
        <v>7.2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123</v>
      </c>
      <c r="H58" s="26" t="n">
        <v>244</v>
      </c>
      <c r="I58" s="26" t="n">
        <v>147</v>
      </c>
      <c r="J58" s="26" t="n">
        <v>94</v>
      </c>
      <c r="K58" s="26" t="n">
        <v>140</v>
      </c>
      <c r="L58" s="26" t="n">
        <v>31</v>
      </c>
      <c r="M58" s="26" t="n">
        <v>41</v>
      </c>
      <c r="P58" s="23" t="s">
        <v>62</v>
      </c>
      <c r="Q58" s="23"/>
      <c r="R58" s="23"/>
      <c r="S58" s="57" t="n">
        <f aca="false">G58*$Q3</f>
        <v>49.2</v>
      </c>
      <c r="T58" s="57" t="n">
        <f aca="false">H58*$Q3</f>
        <v>97.6</v>
      </c>
      <c r="U58" s="57" t="n">
        <f aca="false">I58*$Q3</f>
        <v>58.8</v>
      </c>
      <c r="V58" s="57" t="n">
        <f aca="false">J58*$Q3</f>
        <v>37.6</v>
      </c>
      <c r="W58" s="57" t="n">
        <f aca="false">K58*$Q3</f>
        <v>56</v>
      </c>
      <c r="X58" s="57" t="n">
        <f aca="false">L58*$Q3</f>
        <v>12.4</v>
      </c>
      <c r="Y58" s="57" t="n">
        <f aca="false">M58*$Q3</f>
        <v>16.4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 t="n">
        <v>4</v>
      </c>
      <c r="I62" s="26" t="n">
        <v>1</v>
      </c>
      <c r="J62" s="26" t="n">
        <v>4</v>
      </c>
      <c r="K62" s="26" t="n">
        <v>2</v>
      </c>
      <c r="L62" s="26"/>
      <c r="M62" s="26" t="n">
        <v>1</v>
      </c>
      <c r="P62" s="9" t="s">
        <v>66</v>
      </c>
      <c r="Q62" s="9"/>
      <c r="R62" s="9"/>
      <c r="S62" s="57"/>
      <c r="T62" s="57" t="n">
        <f aca="false">H62*$Q3</f>
        <v>1.6</v>
      </c>
      <c r="U62" s="57" t="n">
        <f aca="false">I62*$Q3</f>
        <v>0.4</v>
      </c>
      <c r="V62" s="57" t="n">
        <f aca="false">J62*$Q3</f>
        <v>1.6</v>
      </c>
      <c r="W62" s="57" t="n">
        <f aca="false">K62*$Q3</f>
        <v>0.8</v>
      </c>
      <c r="X62" s="57"/>
      <c r="Y62" s="57" t="n">
        <f aca="false">M62*$Q3</f>
        <v>0.4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4</v>
      </c>
      <c r="H63" s="26" t="n">
        <v>17</v>
      </c>
      <c r="I63" s="26" t="n">
        <v>1</v>
      </c>
      <c r="J63" s="26" t="n">
        <v>7</v>
      </c>
      <c r="K63" s="26" t="n">
        <v>2</v>
      </c>
      <c r="L63" s="26" t="n">
        <v>2</v>
      </c>
      <c r="M63" s="26" t="n">
        <v>1</v>
      </c>
      <c r="P63" s="9" t="s">
        <v>67</v>
      </c>
      <c r="Q63" s="9"/>
      <c r="R63" s="9"/>
      <c r="S63" s="57" t="n">
        <f aca="false">G63*$Q3</f>
        <v>1.6</v>
      </c>
      <c r="T63" s="57" t="n">
        <f aca="false">H63*$Q3</f>
        <v>6.8</v>
      </c>
      <c r="U63" s="57" t="n">
        <f aca="false">I63*$Q3</f>
        <v>0.4</v>
      </c>
      <c r="V63" s="57" t="n">
        <f aca="false">J63*$Q3</f>
        <v>2.8</v>
      </c>
      <c r="W63" s="57" t="n">
        <f aca="false">K63*$Q3</f>
        <v>0.8</v>
      </c>
      <c r="X63" s="57" t="n">
        <f aca="false">L63*$Q3</f>
        <v>0.8</v>
      </c>
      <c r="Y63" s="57" t="n">
        <f aca="false">M63*$Q3</f>
        <v>0.4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1</v>
      </c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0.4</v>
      </c>
      <c r="T64" s="57"/>
      <c r="U64" s="57"/>
      <c r="V64" s="57"/>
      <c r="W64" s="57"/>
      <c r="X64" s="5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/>
      <c r="J65" s="26" t="n">
        <v>1</v>
      </c>
      <c r="K65" s="26"/>
      <c r="L65" s="26" t="n">
        <v>13</v>
      </c>
      <c r="M65" s="26" t="n">
        <v>3</v>
      </c>
      <c r="P65" s="9" t="s">
        <v>69</v>
      </c>
      <c r="Q65" s="9"/>
      <c r="R65" s="9"/>
      <c r="S65" s="57"/>
      <c r="T65" s="57"/>
      <c r="U65" s="57"/>
      <c r="V65" s="57" t="n">
        <f aca="false">J65*$Q3</f>
        <v>0.4</v>
      </c>
      <c r="W65" s="57"/>
      <c r="X65" s="57" t="n">
        <f aca="false">L65*$Q3</f>
        <v>5.2</v>
      </c>
      <c r="Y65" s="57" t="n">
        <f aca="false">M65*$Q3</f>
        <v>1.2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31</v>
      </c>
      <c r="H67" s="26" t="n">
        <v>41</v>
      </c>
      <c r="I67" s="26" t="n">
        <v>16</v>
      </c>
      <c r="J67" s="26" t="n">
        <v>12</v>
      </c>
      <c r="K67" s="26" t="n">
        <v>22</v>
      </c>
      <c r="L67" s="26" t="n">
        <v>5</v>
      </c>
      <c r="M67" s="26" t="n">
        <v>1</v>
      </c>
      <c r="P67" s="9" t="s">
        <v>71</v>
      </c>
      <c r="Q67" s="9"/>
      <c r="R67" s="9"/>
      <c r="S67" s="57" t="n">
        <f aca="false">G67*$Q3</f>
        <v>12.4</v>
      </c>
      <c r="T67" s="57" t="n">
        <f aca="false">H67*$Q3</f>
        <v>16.4</v>
      </c>
      <c r="U67" s="57" t="n">
        <f aca="false">I67*$Q3</f>
        <v>6.4</v>
      </c>
      <c r="V67" s="57" t="n">
        <f aca="false">J67*$Q3</f>
        <v>4.8</v>
      </c>
      <c r="W67" s="57" t="n">
        <f aca="false">K67*$Q3</f>
        <v>8.8</v>
      </c>
      <c r="X67" s="57" t="n">
        <f aca="false">L67*$Q3</f>
        <v>2</v>
      </c>
      <c r="Y67" s="57" t="n">
        <f aca="false">M67*$Q3</f>
        <v>0.4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8</v>
      </c>
      <c r="H68" s="30" t="n">
        <v>9</v>
      </c>
      <c r="I68" s="30" t="n">
        <v>12</v>
      </c>
      <c r="J68" s="30" t="n">
        <v>8</v>
      </c>
      <c r="K68" s="30" t="n">
        <v>9</v>
      </c>
      <c r="L68" s="30"/>
      <c r="M68" s="30"/>
      <c r="P68" s="9" t="s">
        <v>72</v>
      </c>
      <c r="Q68" s="9"/>
      <c r="R68" s="9"/>
      <c r="S68" s="59" t="n">
        <f aca="false">G68*$Q3</f>
        <v>3.2</v>
      </c>
      <c r="T68" s="59" t="n">
        <f aca="false">H68*$Q3</f>
        <v>3.6</v>
      </c>
      <c r="U68" s="59" t="n">
        <f aca="false">I68*$Q3</f>
        <v>4.8</v>
      </c>
      <c r="V68" s="59" t="n">
        <f aca="false">J68*$Q3</f>
        <v>3.2</v>
      </c>
      <c r="W68" s="59" t="n">
        <f aca="false">K68*$Q3</f>
        <v>3.6</v>
      </c>
      <c r="X68" s="59"/>
      <c r="Y68" s="59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80</v>
      </c>
      <c r="H69" s="30" t="n">
        <v>115</v>
      </c>
      <c r="I69" s="30" t="n">
        <v>19</v>
      </c>
      <c r="J69" s="30" t="n">
        <v>25</v>
      </c>
      <c r="K69" s="30" t="n">
        <v>31</v>
      </c>
      <c r="L69" s="30" t="n">
        <v>9</v>
      </c>
      <c r="M69" s="30" t="n">
        <v>4</v>
      </c>
      <c r="P69" s="9" t="s">
        <v>73</v>
      </c>
      <c r="Q69" s="9"/>
      <c r="R69" s="9"/>
      <c r="S69" s="59" t="n">
        <f aca="false">G69*$Q3</f>
        <v>32</v>
      </c>
      <c r="T69" s="59" t="n">
        <f aca="false">H69*$Q3</f>
        <v>46</v>
      </c>
      <c r="U69" s="59" t="n">
        <f aca="false">I69*$Q3</f>
        <v>7.6</v>
      </c>
      <c r="V69" s="59" t="n">
        <f aca="false">J69*$Q3</f>
        <v>10</v>
      </c>
      <c r="W69" s="59" t="n">
        <f aca="false">K69*$Q3</f>
        <v>12.4</v>
      </c>
      <c r="X69" s="59" t="n">
        <f aca="false">L69*$Q3</f>
        <v>3.6</v>
      </c>
      <c r="Y69" s="59" t="n">
        <f aca="false">M69*$Q3</f>
        <v>1.6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SUM(G58,G63,G64,G67,G68,G69)</f>
        <v>247</v>
      </c>
      <c r="H70" s="60" t="n">
        <f aca="false">SUM(H58,H62,H63,H67,H68,H69)</f>
        <v>430</v>
      </c>
      <c r="I70" s="60" t="n">
        <f aca="false">SUM(I58,I62,I63,I67,I68,I69)</f>
        <v>196</v>
      </c>
      <c r="J70" s="60" t="n">
        <f aca="false">SUM(J58,J62,J63,J65,J67,J69,J68)</f>
        <v>151</v>
      </c>
      <c r="K70" s="12" t="n">
        <f aca="false">SUM(K58,K62,K63,K67,K68,K69)</f>
        <v>206</v>
      </c>
      <c r="L70" s="12" t="n">
        <f aca="false">SUM(L58,L63,L65,L67,L69)</f>
        <v>60</v>
      </c>
      <c r="M70" s="12" t="n">
        <f aca="false">SUM(M58,M62,M63,M65,M67,M69)</f>
        <v>51</v>
      </c>
      <c r="P70" s="9" t="s">
        <v>60</v>
      </c>
      <c r="Q70" s="9"/>
      <c r="R70" s="9"/>
      <c r="S70" s="61" t="n">
        <f aca="false">G70*$Q3</f>
        <v>98.8</v>
      </c>
      <c r="T70" s="61" t="n">
        <f aca="false">H70*$Q3</f>
        <v>172</v>
      </c>
      <c r="U70" s="61" t="n">
        <f aca="false">I70*$Q3</f>
        <v>78.4</v>
      </c>
      <c r="V70" s="61" t="n">
        <f aca="false">J70*$Q3</f>
        <v>60.4</v>
      </c>
      <c r="W70" s="61" t="n">
        <f aca="false">K70*$Q3</f>
        <v>82.4</v>
      </c>
      <c r="X70" s="61" t="n">
        <f aca="false">L70*$Q3</f>
        <v>24</v>
      </c>
      <c r="Y70" s="61" t="n">
        <f aca="false">M70*$Q3</f>
        <v>20.4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L46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45082</v>
      </c>
      <c r="K3" s="5" t="n">
        <v>45088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45082</v>
      </c>
      <c r="W3" s="5" t="n">
        <v>45088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</v>
      </c>
      <c r="H7" s="13" t="n">
        <v>1</v>
      </c>
      <c r="I7" s="13" t="n">
        <v>5</v>
      </c>
      <c r="J7" s="13" t="n">
        <v>4</v>
      </c>
      <c r="K7" s="13" t="n">
        <v>10</v>
      </c>
      <c r="L7" s="13" t="n">
        <v>1</v>
      </c>
      <c r="M7" s="13" t="n">
        <v>11</v>
      </c>
      <c r="P7" s="12" t="s">
        <v>14</v>
      </c>
      <c r="Q7" s="12"/>
      <c r="R7" s="12"/>
      <c r="S7" s="14" t="n">
        <f aca="false">Tabella52791124791618202224262830323436384042444648505254565860[[#This Row],[Colonna1]]*$Q3</f>
        <v>0.4</v>
      </c>
      <c r="T7" s="14" t="n">
        <f aca="false">Tabella52791124791618202224262830323436384042444648505254565860[[#This Row],[Colonna2]]*$Q3</f>
        <v>0.4</v>
      </c>
      <c r="U7" s="14" t="n">
        <f aca="false">Tabella52791124791618202224262830323436384042444648505254565860[[#This Row],[Colonna3]]*$Q3</f>
        <v>2</v>
      </c>
      <c r="V7" s="14" t="n">
        <f aca="false">Tabella52791124791618202224262830323436384042444648505254565860[[#This Row],[Colonna4]]*$Q3</f>
        <v>1.6</v>
      </c>
      <c r="W7" s="14" t="n">
        <f aca="false">Tabella52791124791618202224262830323436384042444648505254565860[[#This Row],[Colonna5]]*$Q3</f>
        <v>4</v>
      </c>
      <c r="X7" s="14" t="n">
        <f aca="false">Tabella52791124791618202224262830323436384042444648505254565860[[#This Row],[Colonna6]]*$Q3</f>
        <v>0.4</v>
      </c>
      <c r="Y7" s="14" t="n">
        <f aca="false">Tabella52791124791618202224262830323436384042444648505254565860[[#This Row],[Colonna7]]*$Q3</f>
        <v>4.4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 t="n">
        <v>2</v>
      </c>
      <c r="I12" s="13" t="n">
        <v>3</v>
      </c>
      <c r="J12" s="13"/>
      <c r="K12" s="13"/>
      <c r="L12" s="13" t="n">
        <v>1</v>
      </c>
      <c r="M12" s="13" t="n">
        <v>4</v>
      </c>
      <c r="P12" s="12" t="s">
        <v>19</v>
      </c>
      <c r="Q12" s="12"/>
      <c r="R12" s="12"/>
      <c r="S12" s="14"/>
      <c r="T12" s="14" t="n">
        <f aca="false">Tabella52791124791618202224262830323436384042444648505254565860[[#This Row],[Colonna2]]*$Q3</f>
        <v>0.8</v>
      </c>
      <c r="U12" s="14" t="n">
        <f aca="false">Tabella52791124791618202224262830323436384042444648505254565860[[#This Row],[Colonna3]]*$Q3</f>
        <v>1.2</v>
      </c>
      <c r="V12" s="14"/>
      <c r="W12" s="14"/>
      <c r="X12" s="14" t="n">
        <f aca="false">Tabella52791124791618202224262830323436384042444648505254565860[[#This Row],[Colonna6]]*$Q3</f>
        <v>0.4</v>
      </c>
      <c r="Y12" s="14" t="n">
        <f aca="false">Tabella52791124791618202224262830323436384042444648505254565860[[#This Row],[Colonna7]]*$Q3</f>
        <v>1.6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 t="n">
        <v>1</v>
      </c>
      <c r="K15" s="13"/>
      <c r="L15" s="13"/>
      <c r="M15" s="13" t="n">
        <v>1</v>
      </c>
      <c r="P15" s="12" t="s">
        <v>22</v>
      </c>
      <c r="Q15" s="12"/>
      <c r="R15" s="12"/>
      <c r="S15" s="14"/>
      <c r="T15" s="14"/>
      <c r="U15" s="14"/>
      <c r="V15" s="14" t="n">
        <f aca="false">Tabella52791124791618202224262830323436384042444648505254565860[[#This Row],[Colonna4]]*$Q3</f>
        <v>0.4</v>
      </c>
      <c r="W15" s="14"/>
      <c r="X15" s="14"/>
      <c r="Y15" s="14" t="n">
        <f aca="false">Tabella52791124791618202224262830323436384042444648505254565860[[#This Row],[Colonna7]]*$Q3</f>
        <v>0.4</v>
      </c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 t="n">
        <v>1</v>
      </c>
      <c r="M20" s="13" t="n">
        <v>1</v>
      </c>
      <c r="P20" s="9" t="s">
        <v>27</v>
      </c>
      <c r="Q20" s="9"/>
      <c r="R20" s="9"/>
      <c r="S20" s="14"/>
      <c r="T20" s="14"/>
      <c r="U20" s="14"/>
      <c r="V20" s="14"/>
      <c r="W20" s="14"/>
      <c r="X20" s="14" t="n">
        <f aca="false">Tabella52791124791618202224262830323436384042444648505254565860[[#This Row],[Colonna6]]*$Q3</f>
        <v>0.4</v>
      </c>
      <c r="Y20" s="14" t="n">
        <f aca="false">Tabella52791124791618202224262830323436384042444648505254565860[[#This Row],[Colonna7]]*$Q3</f>
        <v>0.4</v>
      </c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</v>
      </c>
      <c r="H22" s="13" t="n">
        <v>12</v>
      </c>
      <c r="I22" s="13" t="n">
        <v>18</v>
      </c>
      <c r="J22" s="13" t="n">
        <v>7</v>
      </c>
      <c r="K22" s="13" t="n">
        <v>5</v>
      </c>
      <c r="L22" s="13" t="n">
        <v>4</v>
      </c>
      <c r="M22" s="13" t="n">
        <v>16</v>
      </c>
      <c r="P22" s="12" t="s">
        <v>29</v>
      </c>
      <c r="Q22" s="12"/>
      <c r="R22" s="12"/>
      <c r="S22" s="14" t="n">
        <f aca="false">Tabella52791124791618202224262830323436384042444648505254565860[[#This Row],[Colonna1]]*$Q3</f>
        <v>0.4</v>
      </c>
      <c r="T22" s="14" t="n">
        <f aca="false">Tabella52791124791618202224262830323436384042444648505254565860[[#This Row],[Colonna2]]*$Q3</f>
        <v>4.8</v>
      </c>
      <c r="U22" s="14" t="n">
        <f aca="false">Tabella52791124791618202224262830323436384042444648505254565860[[#This Row],[Colonna3]]*$Q3</f>
        <v>7.2</v>
      </c>
      <c r="V22" s="14" t="n">
        <f aca="false">Tabella52791124791618202224262830323436384042444648505254565860[[#This Row],[Colonna4]]*$Q3</f>
        <v>2.8</v>
      </c>
      <c r="W22" s="14" t="n">
        <f aca="false">Tabella52791124791618202224262830323436384042444648505254565860[[#This Row],[Colonna5]]*$Q3</f>
        <v>2</v>
      </c>
      <c r="X22" s="14" t="n">
        <f aca="false">Tabella52791124791618202224262830323436384042444648505254565860[[#This Row],[Colonna6]]*$Q3</f>
        <v>1.6</v>
      </c>
      <c r="Y22" s="14" t="n">
        <f aca="false">Tabella52791124791618202224262830323436384042444648505254565860[[#This Row],[Colonna7]]*$Q3</f>
        <v>6.4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 t="n">
        <v>1</v>
      </c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 t="n">
        <f aca="false">Tabella52791124791618202224262830323436384042444648505254565860[[#This Row],[Colonna4]]*$Q3</f>
        <v>0.4</v>
      </c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 t="n">
        <v>1</v>
      </c>
      <c r="J28" s="13" t="n">
        <v>2</v>
      </c>
      <c r="K28" s="13" t="n">
        <v>2</v>
      </c>
      <c r="L28" s="13" t="n">
        <v>2</v>
      </c>
      <c r="M28" s="13"/>
      <c r="P28" s="12" t="s">
        <v>35</v>
      </c>
      <c r="Q28" s="12"/>
      <c r="R28" s="12"/>
      <c r="S28" s="14"/>
      <c r="T28" s="14"/>
      <c r="U28" s="14" t="n">
        <f aca="false">Tabella52791124791618202224262830323436384042444648505254565860[[#This Row],[Colonna3]]*$Q3</f>
        <v>0.4</v>
      </c>
      <c r="V28" s="14" t="n">
        <f aca="false">Tabella52791124791618202224262830323436384042444648505254565860[[#This Row],[Colonna4]]*$Q3</f>
        <v>0.8</v>
      </c>
      <c r="W28" s="14" t="n">
        <f aca="false">Tabella52791124791618202224262830323436384042444648505254565860[[#This Row],[Colonna5]]*$Q3</f>
        <v>0.8</v>
      </c>
      <c r="X28" s="14" t="n">
        <f aca="false">Tabella52791124791618202224262830323436384042444648505254565860[[#This Row],[Colonna6]]*$Q3</f>
        <v>0.8</v>
      </c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2</v>
      </c>
      <c r="H29" s="13" t="n">
        <v>38</v>
      </c>
      <c r="I29" s="13" t="n">
        <v>30</v>
      </c>
      <c r="J29" s="13" t="n">
        <v>3</v>
      </c>
      <c r="K29" s="13" t="n">
        <v>21</v>
      </c>
      <c r="L29" s="13" t="n">
        <v>10</v>
      </c>
      <c r="M29" s="13" t="n">
        <v>31</v>
      </c>
      <c r="P29" s="12" t="s">
        <v>36</v>
      </c>
      <c r="Q29" s="12"/>
      <c r="R29" s="12"/>
      <c r="S29" s="14" t="n">
        <f aca="false">Tabella52791124791618202224262830323436384042444648505254565860[[#This Row],[Colonna1]]*$Q3</f>
        <v>0.8</v>
      </c>
      <c r="T29" s="14" t="n">
        <f aca="false">Tabella52791124791618202224262830323436384042444648505254565860[[#This Row],[Colonna2]]*$Q3</f>
        <v>15.2</v>
      </c>
      <c r="U29" s="14" t="n">
        <f aca="false">Tabella52791124791618202224262830323436384042444648505254565860[[#This Row],[Colonna3]]*$Q3</f>
        <v>12</v>
      </c>
      <c r="V29" s="14" t="n">
        <f aca="false">Tabella52791124791618202224262830323436384042444648505254565860[[#This Row],[Colonna4]]*$Q3</f>
        <v>1.2</v>
      </c>
      <c r="W29" s="14" t="n">
        <f aca="false">Tabella52791124791618202224262830323436384042444648505254565860[[#This Row],[Colonna5]]*$Q3</f>
        <v>8.4</v>
      </c>
      <c r="X29" s="14" t="n">
        <f aca="false">Tabella52791124791618202224262830323436384042444648505254565860[[#This Row],[Colonna6]]*$Q3</f>
        <v>4</v>
      </c>
      <c r="Y29" s="14" t="n">
        <f aca="false">Tabella52791124791618202224262830323436384042444648505254565860[[#This Row],[Colonna7]]*$Q3</f>
        <v>12.4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 t="n">
        <v>1</v>
      </c>
      <c r="J31" s="13" t="n">
        <v>1</v>
      </c>
      <c r="K31" s="13"/>
      <c r="L31" s="13"/>
      <c r="M31" s="13"/>
      <c r="P31" s="9" t="s">
        <v>38</v>
      </c>
      <c r="Q31" s="9"/>
      <c r="R31" s="9"/>
      <c r="S31" s="14"/>
      <c r="T31" s="14"/>
      <c r="U31" s="14" t="n">
        <f aca="false">Tabella52791124791618202224262830323436384042444648505254565860[[#This Row],[Colonna3]]*$Q3</f>
        <v>0.4</v>
      </c>
      <c r="V31" s="14" t="n">
        <f aca="false">Tabella52791124791618202224262830323436384042444648505254565860[[#This Row],[Colonna4]]*$Q3</f>
        <v>0.4</v>
      </c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 t="n">
        <v>6</v>
      </c>
      <c r="I38" s="13" t="n">
        <v>3</v>
      </c>
      <c r="J38" s="13" t="n">
        <v>1</v>
      </c>
      <c r="K38" s="13" t="n">
        <v>6</v>
      </c>
      <c r="L38" s="13"/>
      <c r="M38" s="13" t="n">
        <v>2</v>
      </c>
      <c r="P38" s="16" t="s">
        <v>45</v>
      </c>
      <c r="Q38" s="16"/>
      <c r="R38" s="16"/>
      <c r="S38" s="14"/>
      <c r="T38" s="14" t="n">
        <f aca="false">Tabella52791124791618202224262830323436384042444648505254565860[[#This Row],[Colonna2]]*$Q3</f>
        <v>2.4</v>
      </c>
      <c r="U38" s="14" t="n">
        <f aca="false">Tabella52791124791618202224262830323436384042444648505254565860[[#This Row],[Colonna3]]*$Q3</f>
        <v>1.2</v>
      </c>
      <c r="V38" s="14" t="n">
        <f aca="false">Tabella52791124791618202224262830323436384042444648505254565860[[#This Row],[Colonna4]]*$Q3</f>
        <v>0.4</v>
      </c>
      <c r="W38" s="14" t="n">
        <f aca="false">Tabella52791124791618202224262830323436384042444648505254565860[[#This Row],[Colonna5]]*$Q3</f>
        <v>2.4</v>
      </c>
      <c r="X38" s="14"/>
      <c r="Y38" s="14" t="n">
        <f aca="false">Tabella52791124791618202224262830323436384042444648505254565860[[#This Row],[Colonna7]]*$Q3</f>
        <v>0.8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 t="n">
        <v>1</v>
      </c>
      <c r="H40" s="13"/>
      <c r="I40" s="13" t="n">
        <v>4</v>
      </c>
      <c r="J40" s="13"/>
      <c r="K40" s="13" t="n">
        <v>1</v>
      </c>
      <c r="L40" s="13" t="n">
        <v>1</v>
      </c>
      <c r="M40" s="13" t="n">
        <v>3</v>
      </c>
      <c r="P40" s="12" t="s">
        <v>47</v>
      </c>
      <c r="Q40" s="12"/>
      <c r="R40" s="12"/>
      <c r="S40" s="14" t="n">
        <f aca="false">Tabella52791124791618202224262830323436384042444648505254565860[[#This Row],[Colonna1]]*$Q3</f>
        <v>0.4</v>
      </c>
      <c r="T40" s="14"/>
      <c r="U40" s="14" t="n">
        <f aca="false">Tabella52791124791618202224262830323436384042444648505254565860[[#This Row],[Colonna3]]*$Q3</f>
        <v>1.6</v>
      </c>
      <c r="V40" s="14"/>
      <c r="W40" s="14" t="n">
        <f aca="false">Tabella52791124791618202224262830323436384042444648505254565860[[#This Row],[Colonna5]]*$Q3</f>
        <v>0.4</v>
      </c>
      <c r="X40" s="14" t="n">
        <f aca="false">Tabella52791124791618202224262830323436384042444648505254565860[[#This Row],[Colonna6]]*$Q3</f>
        <v>0.4</v>
      </c>
      <c r="Y40" s="14" t="n">
        <f aca="false">Tabella52791124791618202224262830323436384042444648505254565860[[#This Row],[Colonna7]]*$Q3</f>
        <v>1.2</v>
      </c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13" t="n">
        <v>2</v>
      </c>
      <c r="I41" s="13" t="n">
        <v>2</v>
      </c>
      <c r="J41" s="13" t="n">
        <v>2</v>
      </c>
      <c r="K41" s="13" t="n">
        <v>11</v>
      </c>
      <c r="L41" s="13"/>
      <c r="M41" s="13" t="n">
        <v>7</v>
      </c>
      <c r="P41" s="18" t="s">
        <v>48</v>
      </c>
      <c r="Q41" s="18"/>
      <c r="R41" s="18"/>
      <c r="S41" s="14" t="n">
        <f aca="false">Tabella52791124791618202224262830323436384042444648505254565860[[#This Row],[Colonna1]]*$Q3</f>
        <v>0.4</v>
      </c>
      <c r="T41" s="14" t="n">
        <f aca="false">Tabella52791124791618202224262830323436384042444648505254565860[[#This Row],[Colonna2]]*$Q3</f>
        <v>0.8</v>
      </c>
      <c r="U41" s="14" t="n">
        <f aca="false">Tabella52791124791618202224262830323436384042444648505254565860[[#This Row],[Colonna3]]*$Q3</f>
        <v>0.8</v>
      </c>
      <c r="V41" s="14" t="n">
        <f aca="false">Tabella52791124791618202224262830323436384042444648505254565860[[#This Row],[Colonna4]]*$Q3</f>
        <v>0.8</v>
      </c>
      <c r="W41" s="14" t="n">
        <f aca="false">Tabella52791124791618202224262830323436384042444648505254565860[[#This Row],[Colonna5]]*$Q3</f>
        <v>4.4</v>
      </c>
      <c r="X41" s="14"/>
      <c r="Y41" s="14" t="n">
        <f aca="false">Tabella52791124791618202224262830323436384042444648505254565860[[#This Row],[Colonna7]]*$Q3</f>
        <v>2.8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 t="n">
        <v>4</v>
      </c>
      <c r="I42" s="13" t="n">
        <v>4</v>
      </c>
      <c r="J42" s="13" t="n">
        <v>1</v>
      </c>
      <c r="K42" s="13" t="n">
        <v>3</v>
      </c>
      <c r="L42" s="13"/>
      <c r="M42" s="13" t="n">
        <v>4</v>
      </c>
      <c r="P42" s="9" t="s">
        <v>49</v>
      </c>
      <c r="Q42" s="9"/>
      <c r="R42" s="9"/>
      <c r="S42" s="14"/>
      <c r="T42" s="14" t="n">
        <f aca="false">Tabella52791124791618202224262830323436384042444648505254565860[[#This Row],[Colonna2]]*$Q3</f>
        <v>1.6</v>
      </c>
      <c r="U42" s="14" t="n">
        <f aca="false">Tabella52791124791618202224262830323436384042444648505254565860[[#This Row],[Colonna3]]*$Q3</f>
        <v>1.6</v>
      </c>
      <c r="V42" s="14" t="n">
        <f aca="false">Tabella52791124791618202224262830323436384042444648505254565860[[#This Row],[Colonna4]]*$Q3</f>
        <v>0.4</v>
      </c>
      <c r="W42" s="14" t="n">
        <f aca="false">Tabella52791124791618202224262830323436384042444648505254565860[[#This Row],[Colonna5]]*$Q3</f>
        <v>1.2</v>
      </c>
      <c r="X42" s="14"/>
      <c r="Y42" s="14" t="n">
        <f aca="false">Tabella52791124791618202224262830323436384042444648505254565860[[#This Row],[Colonna7]]*$Q3</f>
        <v>1.6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</v>
      </c>
      <c r="H44" s="13" t="n">
        <v>6</v>
      </c>
      <c r="I44" s="13" t="n">
        <v>3</v>
      </c>
      <c r="J44" s="13" t="n">
        <v>5</v>
      </c>
      <c r="K44" s="13" t="n">
        <v>15</v>
      </c>
      <c r="L44" s="13" t="n">
        <v>5</v>
      </c>
      <c r="M44" s="13" t="n">
        <v>11</v>
      </c>
      <c r="P44" s="12" t="s">
        <v>51</v>
      </c>
      <c r="Q44" s="12"/>
      <c r="R44" s="12"/>
      <c r="S44" s="14" t="n">
        <f aca="false">Tabella52791124791618202224262830323436384042444648505254565860[[#This Row],[Colonna1]]*$Q3</f>
        <v>0.8</v>
      </c>
      <c r="T44" s="14" t="n">
        <f aca="false">Tabella52791124791618202224262830323436384042444648505254565860[[#This Row],[Colonna2]]*$Q3</f>
        <v>2.4</v>
      </c>
      <c r="U44" s="14" t="n">
        <f aca="false">Tabella52791124791618202224262830323436384042444648505254565860[[#This Row],[Colonna3]]*$Q3</f>
        <v>1.2</v>
      </c>
      <c r="V44" s="14" t="n">
        <f aca="false">Tabella52791124791618202224262830323436384042444648505254565860[[#This Row],[Colonna4]]*$Q3</f>
        <v>2</v>
      </c>
      <c r="W44" s="14" t="n">
        <f aca="false">Tabella52791124791618202224262830323436384042444648505254565860[[#This Row],[Colonna5]]*$Q3</f>
        <v>6</v>
      </c>
      <c r="X44" s="14" t="n">
        <f aca="false">Tabella52791124791618202224262830323436384042444648505254565860[[#This Row],[Colonna6]]*$Q3</f>
        <v>2</v>
      </c>
      <c r="Y44" s="14" t="n">
        <f aca="false">Tabella52791124791618202224262830323436384042444648505254565860[[#This Row],[Colonna7]]*$Q3</f>
        <v>4.4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 t="n">
        <v>2</v>
      </c>
      <c r="I49" s="13" t="n">
        <v>4</v>
      </c>
      <c r="J49" s="13"/>
      <c r="K49" s="13" t="n">
        <v>3</v>
      </c>
      <c r="L49" s="13" t="n">
        <v>2</v>
      </c>
      <c r="M49" s="13" t="n">
        <v>8</v>
      </c>
      <c r="P49" s="18" t="s">
        <v>56</v>
      </c>
      <c r="Q49" s="18"/>
      <c r="R49" s="18"/>
      <c r="S49" s="14"/>
      <c r="T49" s="14" t="n">
        <f aca="false">Tabella52791124791618202224262830323436384042444648505254565860[[#This Row],[Colonna2]]*$Q3</f>
        <v>0.8</v>
      </c>
      <c r="U49" s="14" t="n">
        <f aca="false">Tabella52791124791618202224262830323436384042444648505254565860[[#This Row],[Colonna3]]*$Q3</f>
        <v>1.6</v>
      </c>
      <c r="V49" s="14"/>
      <c r="W49" s="14" t="n">
        <f aca="false">Tabella52791124791618202224262830323436384042444648505254565860[[#This Row],[Colonna5]]*$Q3</f>
        <v>1.2</v>
      </c>
      <c r="X49" s="14" t="n">
        <f aca="false">Tabella52791124791618202224262830323436384042444648505254565860[[#This Row],[Colonna6]]*$Q3</f>
        <v>0.8</v>
      </c>
      <c r="Y49" s="14" t="n">
        <f aca="false">Tabella52791124791618202224262830323436384042444648505254565860[[#This Row],[Colonna7]]*$Q3</f>
        <v>3.2</v>
      </c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3</v>
      </c>
      <c r="H52" s="13" t="n">
        <v>27</v>
      </c>
      <c r="I52" s="13" t="n">
        <v>15</v>
      </c>
      <c r="J52" s="13" t="n">
        <v>16</v>
      </c>
      <c r="K52" s="13" t="n">
        <v>38</v>
      </c>
      <c r="L52" s="13" t="n">
        <v>19</v>
      </c>
      <c r="M52" s="13" t="n">
        <v>40</v>
      </c>
      <c r="P52" s="12" t="s">
        <v>59</v>
      </c>
      <c r="Q52" s="12"/>
      <c r="R52" s="12"/>
      <c r="S52" s="14" t="n">
        <f aca="false">Tabella52791124791618202224262830323436384042444648505254565860[[#This Row],[Colonna1]]*$Q3</f>
        <v>1.2</v>
      </c>
      <c r="T52" s="14" t="n">
        <f aca="false">Tabella52791124791618202224262830323436384042444648505254565860[[#This Row],[Colonna2]]*$Q3</f>
        <v>10.8</v>
      </c>
      <c r="U52" s="14" t="n">
        <f aca="false">Tabella52791124791618202224262830323436384042444648505254565860[[#This Row],[Colonna3]]*$Q3</f>
        <v>6</v>
      </c>
      <c r="V52" s="14" t="n">
        <f aca="false">Tabella52791124791618202224262830323436384042444648505254565860[[#This Row],[Colonna4]]*$Q3</f>
        <v>6.4</v>
      </c>
      <c r="W52" s="14" t="n">
        <f aca="false">Tabella52791124791618202224262830323436384042444648505254565860[[#This Row],[Colonna5]]*$Q3</f>
        <v>15.2</v>
      </c>
      <c r="X52" s="14" t="n">
        <f aca="false">Tabella52791124791618202224262830323436384042444648505254565860[[#This Row],[Colonna6]]*$Q3</f>
        <v>7.6</v>
      </c>
      <c r="Y52" s="14" t="n">
        <f aca="false">Tabella52791124791618202224262830323436384042444648505254565860[[#This Row],[Colonna7]]*$Q3</f>
        <v>16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SUM(G52,G44,G41,G40,G29,G22,G7)</f>
        <v>11</v>
      </c>
      <c r="H53" s="55" t="n">
        <f aca="false">SUM(H52,H49,H44,H42,H41,H38,H29,H22,H12,H7)</f>
        <v>100</v>
      </c>
      <c r="I53" s="55" t="n">
        <f aca="false">SUM(I52,I49,I44,I42,I41,I40,I38,I31,I29,I28,I22,I12,I7)</f>
        <v>93</v>
      </c>
      <c r="J53" s="55" t="n">
        <f aca="false">SUM(J52,J44,J42,J41,J38,J31,J29,J28,J26,J22,J15,J7)</f>
        <v>44</v>
      </c>
      <c r="K53" s="55" t="n">
        <f aca="false">SUM(K52,K49,K44,K42,K41,K40,K38,K29,K28,K22,K7)</f>
        <v>115</v>
      </c>
      <c r="L53" s="55" t="n">
        <f aca="false">SUM(L52,L49,L44,L40,L29,L28,L22,L20,L12,L7)</f>
        <v>46</v>
      </c>
      <c r="M53" s="55" t="n">
        <f aca="false">SUM(M52,M49,M44,M42,M41,M40,M38,M29,M22,M20,M15,M12,M7)</f>
        <v>139</v>
      </c>
      <c r="P53" s="17" t="s">
        <v>60</v>
      </c>
      <c r="Q53" s="17"/>
      <c r="R53" s="17"/>
      <c r="S53" s="56" t="n">
        <f aca="false">Tabella52791124791618202224262830323436384042444648505254565860[[#This Row],[Colonna1]]*$Q3</f>
        <v>4.4</v>
      </c>
      <c r="T53" s="56" t="n">
        <f aca="false">Tabella52791124791618202224262830323436384042444648505254565860[[#This Row],[Colonna2]]*$Q3</f>
        <v>40</v>
      </c>
      <c r="U53" s="56" t="n">
        <f aca="false">Tabella52791124791618202224262830323436384042444648505254565860[[#This Row],[Colonna3]]*$Q3</f>
        <v>37.2</v>
      </c>
      <c r="V53" s="56" t="n">
        <f aca="false">Tabella52791124791618202224262830323436384042444648505254565860[[#This Row],[Colonna4]]*$Q3</f>
        <v>17.6</v>
      </c>
      <c r="W53" s="56" t="n">
        <f aca="false">Tabella52791124791618202224262830323436384042444648505254565860[[#This Row],[Colonna5]]*$Q3</f>
        <v>46</v>
      </c>
      <c r="X53" s="56" t="n">
        <f aca="false">Tabella52791124791618202224262830323436384042444648505254565860[[#This Row],[Colonna6]]*$Q3</f>
        <v>18.4</v>
      </c>
      <c r="Y53" s="56" t="n">
        <f aca="false">Tabella52791124791618202224262830323436384042444648505254565860[[#This Row],[Colonna7]]*$Q3</f>
        <v>55.6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13</v>
      </c>
      <c r="H58" s="26" t="n">
        <v>280</v>
      </c>
      <c r="I58" s="26" t="n">
        <v>492</v>
      </c>
      <c r="J58" s="26" t="n">
        <v>203</v>
      </c>
      <c r="K58" s="26" t="n">
        <v>416</v>
      </c>
      <c r="L58" s="26" t="n">
        <v>67</v>
      </c>
      <c r="M58" s="26" t="n">
        <v>791</v>
      </c>
      <c r="P58" s="23" t="s">
        <v>62</v>
      </c>
      <c r="Q58" s="23"/>
      <c r="R58" s="23"/>
      <c r="S58" s="57" t="n">
        <f aca="false">G58*$Q3</f>
        <v>5.2</v>
      </c>
      <c r="T58" s="57" t="n">
        <f aca="false">H58*$Q3</f>
        <v>112</v>
      </c>
      <c r="U58" s="57" t="n">
        <f aca="false">I58*$Q3</f>
        <v>196.8</v>
      </c>
      <c r="V58" s="57" t="n">
        <f aca="false">J58*$Q3</f>
        <v>81.2</v>
      </c>
      <c r="W58" s="57" t="n">
        <f aca="false">K58*$Q3</f>
        <v>166.4</v>
      </c>
      <c r="X58" s="57" t="n">
        <f aca="false">L58*$Q3</f>
        <v>26.8</v>
      </c>
      <c r="Y58" s="57" t="n">
        <f aca="false">M58*$Q3</f>
        <v>316.4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2</v>
      </c>
      <c r="H62" s="26" t="n">
        <v>23</v>
      </c>
      <c r="I62" s="26" t="n">
        <v>22</v>
      </c>
      <c r="J62" s="26" t="n">
        <v>15</v>
      </c>
      <c r="K62" s="26" t="n">
        <v>17</v>
      </c>
      <c r="L62" s="26" t="n">
        <v>13</v>
      </c>
      <c r="M62" s="26" t="n">
        <v>34</v>
      </c>
      <c r="P62" s="9" t="s">
        <v>66</v>
      </c>
      <c r="Q62" s="9"/>
      <c r="R62" s="9"/>
      <c r="S62" s="57" t="n">
        <f aca="false">G62*$Q3</f>
        <v>0.8</v>
      </c>
      <c r="T62" s="57" t="n">
        <f aca="false">H62*$Q3</f>
        <v>9.2</v>
      </c>
      <c r="U62" s="57" t="n">
        <f aca="false">I62*$Q3</f>
        <v>8.8</v>
      </c>
      <c r="V62" s="57" t="n">
        <f aca="false">J62*$Q3</f>
        <v>6</v>
      </c>
      <c r="W62" s="57" t="n">
        <f aca="false">K62*$Q3</f>
        <v>6.8</v>
      </c>
      <c r="X62" s="57" t="n">
        <f aca="false">L62*$Q3</f>
        <v>5.2</v>
      </c>
      <c r="Y62" s="57" t="n">
        <f aca="false">M62*$Q3</f>
        <v>13.6</v>
      </c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 t="n">
        <v>10</v>
      </c>
      <c r="I63" s="26" t="n">
        <v>3</v>
      </c>
      <c r="J63" s="26" t="n">
        <v>1</v>
      </c>
      <c r="K63" s="26" t="n">
        <v>4</v>
      </c>
      <c r="L63" s="26"/>
      <c r="M63" s="26" t="n">
        <v>2</v>
      </c>
      <c r="P63" s="9" t="s">
        <v>67</v>
      </c>
      <c r="Q63" s="9"/>
      <c r="R63" s="9"/>
      <c r="S63" s="57"/>
      <c r="T63" s="57" t="n">
        <f aca="false">H63*$Q3</f>
        <v>4</v>
      </c>
      <c r="U63" s="57" t="n">
        <f aca="false">I63*$Q3</f>
        <v>1.2</v>
      </c>
      <c r="V63" s="57" t="n">
        <f aca="false">J63*$Q3</f>
        <v>0.4</v>
      </c>
      <c r="W63" s="57" t="n">
        <f aca="false">K63*$Q3</f>
        <v>1.6</v>
      </c>
      <c r="X63" s="57"/>
      <c r="Y63" s="57" t="n">
        <f aca="false">M63*$Q3</f>
        <v>0.8</v>
      </c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 t="n">
        <v>1</v>
      </c>
      <c r="I64" s="26" t="n">
        <v>3</v>
      </c>
      <c r="J64" s="26"/>
      <c r="K64" s="26" t="n">
        <v>4</v>
      </c>
      <c r="L64" s="26"/>
      <c r="M64" s="26" t="n">
        <v>6</v>
      </c>
      <c r="P64" s="9" t="s">
        <v>68</v>
      </c>
      <c r="Q64" s="9"/>
      <c r="R64" s="9"/>
      <c r="S64" s="57"/>
      <c r="T64" s="57" t="n">
        <f aca="false">H64*$Q3</f>
        <v>0.4</v>
      </c>
      <c r="U64" s="57" t="n">
        <f aca="false">I64*$Q3</f>
        <v>1.2</v>
      </c>
      <c r="V64" s="57"/>
      <c r="W64" s="57" t="n">
        <f aca="false">K64*$Q3</f>
        <v>1.6</v>
      </c>
      <c r="X64" s="57"/>
      <c r="Y64" s="57" t="n">
        <f aca="false">M64*$Q3</f>
        <v>2.4</v>
      </c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10</v>
      </c>
      <c r="H65" s="26" t="n">
        <v>1</v>
      </c>
      <c r="I65" s="26"/>
      <c r="J65" s="26"/>
      <c r="K65" s="26" t="n">
        <v>2</v>
      </c>
      <c r="L65" s="26" t="n">
        <v>2</v>
      </c>
      <c r="M65" s="26" t="n">
        <v>5</v>
      </c>
      <c r="P65" s="9" t="s">
        <v>69</v>
      </c>
      <c r="Q65" s="9"/>
      <c r="R65" s="9"/>
      <c r="S65" s="57" t="n">
        <f aca="false">G65*$Q3</f>
        <v>4</v>
      </c>
      <c r="T65" s="57" t="n">
        <f aca="false">H65*$Q3</f>
        <v>0.4</v>
      </c>
      <c r="U65" s="57"/>
      <c r="V65" s="57"/>
      <c r="W65" s="57" t="n">
        <f aca="false">K65*$Q3</f>
        <v>0.8</v>
      </c>
      <c r="X65" s="57" t="n">
        <f aca="false">L65*$Q3</f>
        <v>0.8</v>
      </c>
      <c r="Y65" s="57" t="n">
        <f aca="false">M65*$Q3</f>
        <v>2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2</v>
      </c>
      <c r="H67" s="26" t="n">
        <v>43</v>
      </c>
      <c r="I67" s="26" t="n">
        <v>69</v>
      </c>
      <c r="J67" s="26" t="n">
        <v>27</v>
      </c>
      <c r="K67" s="26" t="n">
        <v>55</v>
      </c>
      <c r="L67" s="26" t="n">
        <v>9</v>
      </c>
      <c r="M67" s="26" t="n">
        <v>88</v>
      </c>
      <c r="P67" s="9" t="s">
        <v>71</v>
      </c>
      <c r="Q67" s="9"/>
      <c r="R67" s="9"/>
      <c r="S67" s="57" t="n">
        <f aca="false">G67*$Q3</f>
        <v>0.8</v>
      </c>
      <c r="T67" s="57" t="n">
        <f aca="false">H67*$Q3</f>
        <v>17.2</v>
      </c>
      <c r="U67" s="57" t="n">
        <f aca="false">I67*$Q3</f>
        <v>27.6</v>
      </c>
      <c r="V67" s="57" t="n">
        <f aca="false">J67*$Q3</f>
        <v>10.8</v>
      </c>
      <c r="W67" s="57" t="n">
        <f aca="false">K67*$Q3</f>
        <v>22</v>
      </c>
      <c r="X67" s="57" t="n">
        <f aca="false">L67*$Q3</f>
        <v>3.6</v>
      </c>
      <c r="Y67" s="57" t="n">
        <f aca="false">M67*$Q3</f>
        <v>35.2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11</v>
      </c>
      <c r="H68" s="30" t="n">
        <v>14</v>
      </c>
      <c r="I68" s="30" t="n">
        <v>7</v>
      </c>
      <c r="J68" s="30" t="n">
        <v>2</v>
      </c>
      <c r="K68" s="30" t="n">
        <v>2</v>
      </c>
      <c r="L68" s="30" t="n">
        <v>14</v>
      </c>
      <c r="M68" s="30" t="n">
        <v>8</v>
      </c>
      <c r="P68" s="9" t="s">
        <v>72</v>
      </c>
      <c r="Q68" s="9"/>
      <c r="R68" s="9"/>
      <c r="S68" s="59" t="n">
        <f aca="false">G68*$Q3</f>
        <v>4.4</v>
      </c>
      <c r="T68" s="59" t="n">
        <f aca="false">H68*$Q3</f>
        <v>5.6</v>
      </c>
      <c r="U68" s="59" t="n">
        <f aca="false">I68*$Q3</f>
        <v>2.8</v>
      </c>
      <c r="V68" s="59" t="n">
        <f aca="false">J68*$Q3</f>
        <v>0.8</v>
      </c>
      <c r="W68" s="59" t="n">
        <f aca="false">K68*$Q3</f>
        <v>0.8</v>
      </c>
      <c r="X68" s="59" t="n">
        <f aca="false">L68*$Q3</f>
        <v>5.6</v>
      </c>
      <c r="Y68" s="59" t="n">
        <f aca="false">M68*$Q3</f>
        <v>3.2</v>
      </c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 t="n">
        <v>1</v>
      </c>
      <c r="I69" s="30" t="n">
        <v>13</v>
      </c>
      <c r="J69" s="30" t="n">
        <v>20</v>
      </c>
      <c r="K69" s="30" t="n">
        <v>75</v>
      </c>
      <c r="L69" s="30" t="n">
        <v>2</v>
      </c>
      <c r="M69" s="30" t="n">
        <v>64</v>
      </c>
      <c r="P69" s="9" t="s">
        <v>73</v>
      </c>
      <c r="Q69" s="9"/>
      <c r="R69" s="9"/>
      <c r="S69" s="59"/>
      <c r="T69" s="59" t="n">
        <f aca="false">H69*$Q3</f>
        <v>0.4</v>
      </c>
      <c r="U69" s="59" t="n">
        <f aca="false">I69*$Q3</f>
        <v>5.2</v>
      </c>
      <c r="V69" s="59" t="n">
        <f aca="false">J69*$Q3</f>
        <v>8</v>
      </c>
      <c r="W69" s="59" t="n">
        <f aca="false">K69*$Q3</f>
        <v>30</v>
      </c>
      <c r="X69" s="59" t="n">
        <f aca="false">L69*$Q3</f>
        <v>0.8</v>
      </c>
      <c r="Y69" s="59" t="n">
        <f aca="false">M69*$Q3</f>
        <v>25.6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SUM(G58,G62,G65,G67,G68)</f>
        <v>38</v>
      </c>
      <c r="H70" s="60" t="n">
        <f aca="false">SUM(H58,H62,H63,H64,H65,H67,H68,H69)</f>
        <v>373</v>
      </c>
      <c r="I70" s="60" t="n">
        <f aca="false">SUM(I58,I62,I63,I64,I67,I68,I69)</f>
        <v>609</v>
      </c>
      <c r="J70" s="60" t="n">
        <f aca="false">SUM(J58,J62,J63,J67,J68,J69)</f>
        <v>268</v>
      </c>
      <c r="K70" s="12" t="n">
        <f aca="false">SUM(K58,K62,K63,K64,K65,K67,K68,K69)</f>
        <v>575</v>
      </c>
      <c r="L70" s="12" t="n">
        <f aca="false">SUM(L58,L62,L65,L67,L68,L69)</f>
        <v>107</v>
      </c>
      <c r="M70" s="12" t="n">
        <f aca="false">SUM(M58,M62,M63,M64,M65,M67,M68,M69)</f>
        <v>998</v>
      </c>
      <c r="P70" s="9" t="s">
        <v>60</v>
      </c>
      <c r="Q70" s="9"/>
      <c r="R70" s="9"/>
      <c r="S70" s="61" t="n">
        <f aca="false">G70*$Q3</f>
        <v>15.2</v>
      </c>
      <c r="T70" s="61" t="n">
        <f aca="false">H70*$Q3</f>
        <v>149.2</v>
      </c>
      <c r="U70" s="61" t="n">
        <f aca="false">I70*$Q3</f>
        <v>243.6</v>
      </c>
      <c r="V70" s="61" t="n">
        <f aca="false">J70*$Q3</f>
        <v>107.2</v>
      </c>
      <c r="W70" s="61" t="n">
        <f aca="false">K70*$Q3</f>
        <v>230</v>
      </c>
      <c r="X70" s="61" t="n">
        <f aca="false">L70*$Q3</f>
        <v>42.8</v>
      </c>
      <c r="Y70" s="61" t="n">
        <f aca="false">M70*$Q3</f>
        <v>399.2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28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45089</v>
      </c>
      <c r="K3" s="5" t="n">
        <v>45095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45089</v>
      </c>
      <c r="W3" s="5" t="n">
        <v>45095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 t="n">
        <v>1</v>
      </c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 t="n">
        <f aca="false">Tabella5279112479161820222426283032343638404244464850525456586062[[#This Row],[Colonna2]]*$Q3</f>
        <v>0.4</v>
      </c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</v>
      </c>
      <c r="H7" s="13" t="n">
        <v>13</v>
      </c>
      <c r="I7" s="13"/>
      <c r="J7" s="13" t="n">
        <v>6</v>
      </c>
      <c r="K7" s="13" t="n">
        <v>11</v>
      </c>
      <c r="L7" s="13" t="n">
        <v>10</v>
      </c>
      <c r="M7" s="13" t="n">
        <v>34</v>
      </c>
      <c r="P7" s="12" t="s">
        <v>14</v>
      </c>
      <c r="Q7" s="12"/>
      <c r="R7" s="12"/>
      <c r="S7" s="14" t="n">
        <f aca="false">Tabella5279112479161820222426283032343638404244464850525456586062[[#This Row],[Colonna1]]*$Q3</f>
        <v>0.4</v>
      </c>
      <c r="T7" s="14" t="n">
        <f aca="false">Tabella5279112479161820222426283032343638404244464850525456586062[[#This Row],[Colonna2]]*$Q3</f>
        <v>5.2</v>
      </c>
      <c r="U7" s="14"/>
      <c r="V7" s="14" t="n">
        <f aca="false">Tabella5279112479161820222426283032343638404244464850525456586062[[#This Row],[Colonna4]]*$Q3</f>
        <v>2.4</v>
      </c>
      <c r="W7" s="14" t="n">
        <f aca="false">Tabella5279112479161820222426283032343638404244464850525456586062[[#This Row],[Colonna5]]*$Q3</f>
        <v>4.4</v>
      </c>
      <c r="X7" s="14" t="n">
        <f aca="false">Tabella5279112479161820222426283032343638404244464850525456586062[[#This Row],[Colonna6]]*$Q3</f>
        <v>4</v>
      </c>
      <c r="Y7" s="14" t="n">
        <f aca="false">Tabella5279112479161820222426283032343638404244464850525456586062[[#This Row],[Colonna7]]*$Q3</f>
        <v>13.6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 t="n">
        <v>1</v>
      </c>
      <c r="J9" s="13"/>
      <c r="K9" s="13" t="n">
        <v>3</v>
      </c>
      <c r="L9" s="13"/>
      <c r="M9" s="13"/>
      <c r="P9" s="12" t="s">
        <v>16</v>
      </c>
      <c r="Q9" s="12"/>
      <c r="R9" s="12"/>
      <c r="S9" s="14"/>
      <c r="T9" s="14"/>
      <c r="U9" s="14" t="n">
        <f aca="false">Tabella5279112479161820222426283032343638404244464850525456586062[[#This Row],[Colonna3]]*$Q3</f>
        <v>0.4</v>
      </c>
      <c r="V9" s="14"/>
      <c r="W9" s="14" t="n">
        <f aca="false">Tabella5279112479161820222426283032343638404244464850525456586062[[#This Row],[Colonna5]]*$Q3</f>
        <v>1.2</v>
      </c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 t="n">
        <v>1</v>
      </c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 t="n">
        <f aca="false">Tabella5279112479161820222426283032343638404244464850525456586062[[#This Row],[Colonna7]]*$Q3</f>
        <v>0.4</v>
      </c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 t="n">
        <v>3</v>
      </c>
      <c r="I12" s="13" t="n">
        <v>5</v>
      </c>
      <c r="J12" s="13" t="n">
        <v>1</v>
      </c>
      <c r="K12" s="13" t="n">
        <v>4</v>
      </c>
      <c r="L12" s="13" t="n">
        <v>1</v>
      </c>
      <c r="M12" s="13" t="n">
        <v>1</v>
      </c>
      <c r="P12" s="12" t="s">
        <v>19</v>
      </c>
      <c r="Q12" s="12"/>
      <c r="R12" s="12"/>
      <c r="S12" s="14"/>
      <c r="T12" s="14" t="n">
        <f aca="false">Tabella5279112479161820222426283032343638404244464850525456586062[[#This Row],[Colonna2]]*$Q3</f>
        <v>1.2</v>
      </c>
      <c r="U12" s="14" t="n">
        <f aca="false">Tabella5279112479161820222426283032343638404244464850525456586062[[#This Row],[Colonna3]]*$Q3</f>
        <v>2</v>
      </c>
      <c r="V12" s="14" t="n">
        <f aca="false">Tabella5279112479161820222426283032343638404244464850525456586062[[#This Row],[Colonna4]]*$Q3</f>
        <v>0.4</v>
      </c>
      <c r="W12" s="14" t="n">
        <f aca="false">Tabella5279112479161820222426283032343638404244464850525456586062[[#This Row],[Colonna5]]*$Q3</f>
        <v>1.6</v>
      </c>
      <c r="X12" s="14" t="n">
        <f aca="false">Tabella5279112479161820222426283032343638404244464850525456586062[[#This Row],[Colonna6]]*$Q3</f>
        <v>0.4</v>
      </c>
      <c r="Y12" s="14" t="n">
        <f aca="false">Tabella5279112479161820222426283032343638404244464850525456586062[[#This Row],[Colonna7]]*$Q3</f>
        <v>0.4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23</v>
      </c>
      <c r="H22" s="13" t="n">
        <v>25</v>
      </c>
      <c r="I22" s="13" t="n">
        <v>7</v>
      </c>
      <c r="J22" s="13" t="n">
        <v>7</v>
      </c>
      <c r="K22" s="13" t="n">
        <v>11</v>
      </c>
      <c r="L22" s="13" t="n">
        <v>10</v>
      </c>
      <c r="M22" s="13" t="n">
        <v>12</v>
      </c>
      <c r="P22" s="12" t="s">
        <v>29</v>
      </c>
      <c r="Q22" s="12"/>
      <c r="R22" s="12"/>
      <c r="S22" s="14" t="n">
        <f aca="false">Tabella5279112479161820222426283032343638404244464850525456586062[[#This Row],[Colonna1]]*$Q3</f>
        <v>9.2</v>
      </c>
      <c r="T22" s="14" t="n">
        <f aca="false">Tabella5279112479161820222426283032343638404244464850525456586062[[#This Row],[Colonna2]]*$Q3</f>
        <v>10</v>
      </c>
      <c r="U22" s="14" t="n">
        <f aca="false">Tabella5279112479161820222426283032343638404244464850525456586062[[#This Row],[Colonna3]]*$Q3</f>
        <v>2.8</v>
      </c>
      <c r="V22" s="14" t="n">
        <f aca="false">Tabella5279112479161820222426283032343638404244464850525456586062[[#This Row],[Colonna4]]*$Q3</f>
        <v>2.8</v>
      </c>
      <c r="W22" s="14" t="n">
        <f aca="false">Tabella5279112479161820222426283032343638404244464850525456586062[[#This Row],[Colonna5]]*$Q3</f>
        <v>4.4</v>
      </c>
      <c r="X22" s="14" t="n">
        <f aca="false">Tabella5279112479161820222426283032343638404244464850525456586062[[#This Row],[Colonna6]]*$Q3</f>
        <v>4</v>
      </c>
      <c r="Y22" s="14" t="n">
        <f aca="false">Tabella5279112479161820222426283032343638404244464850525456586062[[#This Row],[Colonna7]]*$Q3</f>
        <v>4.8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 t="n">
        <v>1</v>
      </c>
      <c r="I23" s="13"/>
      <c r="J23" s="13"/>
      <c r="K23" s="13"/>
      <c r="L23" s="13" t="n">
        <v>2</v>
      </c>
      <c r="M23" s="13"/>
      <c r="P23" s="17" t="s">
        <v>30</v>
      </c>
      <c r="Q23" s="17"/>
      <c r="R23" s="17"/>
      <c r="S23" s="14"/>
      <c r="T23" s="14" t="n">
        <f aca="false">Tabella5279112479161820222426283032343638404244464850525456586062[[#This Row],[Colonna2]]*$Q3</f>
        <v>0.4</v>
      </c>
      <c r="U23" s="14"/>
      <c r="V23" s="14"/>
      <c r="W23" s="14"/>
      <c r="X23" s="14" t="n">
        <f aca="false">Tabella5279112479161820222426283032343638404244464850525456586062[[#This Row],[Colonna6]]*$Q3</f>
        <v>0.8</v>
      </c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1</v>
      </c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 t="n">
        <f aca="false">Tabella5279112479161820222426283032343638404244464850525456586062[[#This Row],[Colonna1]]*$Q3</f>
        <v>0.4</v>
      </c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 t="n">
        <v>1</v>
      </c>
      <c r="J28" s="13" t="n">
        <v>1</v>
      </c>
      <c r="K28" s="13" t="n">
        <v>3</v>
      </c>
      <c r="L28" s="13" t="n">
        <v>1</v>
      </c>
      <c r="M28" s="13"/>
      <c r="P28" s="12" t="s">
        <v>35</v>
      </c>
      <c r="Q28" s="12"/>
      <c r="R28" s="12"/>
      <c r="S28" s="14"/>
      <c r="T28" s="14"/>
      <c r="U28" s="14" t="n">
        <f aca="false">Tabella5279112479161820222426283032343638404244464850525456586062[[#This Row],[Colonna3]]*$Q3</f>
        <v>0.4</v>
      </c>
      <c r="V28" s="14" t="n">
        <f aca="false">Tabella5279112479161820222426283032343638404244464850525456586062[[#This Row],[Colonna4]]*$Q3</f>
        <v>0.4</v>
      </c>
      <c r="W28" s="14" t="n">
        <f aca="false">Tabella5279112479161820222426283032343638404244464850525456586062[[#This Row],[Colonna5]]*$Q3</f>
        <v>1.2</v>
      </c>
      <c r="X28" s="14" t="n">
        <f aca="false">Tabella5279112479161820222426283032343638404244464850525456586062[[#This Row],[Colonna6]]*$Q3</f>
        <v>0.4</v>
      </c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36</v>
      </c>
      <c r="H29" s="13" t="n">
        <v>26</v>
      </c>
      <c r="I29" s="13" t="n">
        <v>18</v>
      </c>
      <c r="J29" s="13" t="n">
        <v>34</v>
      </c>
      <c r="K29" s="13" t="n">
        <v>27</v>
      </c>
      <c r="L29" s="13" t="n">
        <v>23</v>
      </c>
      <c r="M29" s="13" t="n">
        <v>32</v>
      </c>
      <c r="P29" s="12" t="s">
        <v>36</v>
      </c>
      <c r="Q29" s="12"/>
      <c r="R29" s="12"/>
      <c r="S29" s="14" t="n">
        <f aca="false">Tabella5279112479161820222426283032343638404244464850525456586062[[#This Row],[Colonna1]]*$Q3</f>
        <v>14.4</v>
      </c>
      <c r="T29" s="14" t="n">
        <f aca="false">Tabella5279112479161820222426283032343638404244464850525456586062[[#This Row],[Colonna2]]*$Q3</f>
        <v>10.4</v>
      </c>
      <c r="U29" s="14" t="n">
        <f aca="false">Tabella5279112479161820222426283032343638404244464850525456586062[[#This Row],[Colonna3]]*$Q3</f>
        <v>7.2</v>
      </c>
      <c r="V29" s="14" t="n">
        <f aca="false">Tabella5279112479161820222426283032343638404244464850525456586062[[#This Row],[Colonna4]]*$Q3</f>
        <v>13.6</v>
      </c>
      <c r="W29" s="14" t="n">
        <f aca="false">Tabella5279112479161820222426283032343638404244464850525456586062[[#This Row],[Colonna5]]*$Q3</f>
        <v>10.8</v>
      </c>
      <c r="X29" s="14" t="n">
        <f aca="false">Tabella5279112479161820222426283032343638404244464850525456586062[[#This Row],[Colonna6]]*$Q3</f>
        <v>9.2</v>
      </c>
      <c r="Y29" s="14" t="n">
        <f aca="false">Tabella5279112479161820222426283032343638404244464850525456586062[[#This Row],[Colonna7]]*$Q3</f>
        <v>12.8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1</v>
      </c>
      <c r="H38" s="13"/>
      <c r="I38" s="13"/>
      <c r="J38" s="13" t="n">
        <v>2</v>
      </c>
      <c r="K38" s="13"/>
      <c r="L38" s="13" t="n">
        <v>2</v>
      </c>
      <c r="M38" s="13" t="n">
        <v>2</v>
      </c>
      <c r="P38" s="16" t="s">
        <v>45</v>
      </c>
      <c r="Q38" s="16"/>
      <c r="R38" s="16"/>
      <c r="S38" s="14" t="n">
        <f aca="false">Tabella5279112479161820222426283032343638404244464850525456586062[[#This Row],[Colonna1]]*$Q3</f>
        <v>0.4</v>
      </c>
      <c r="T38" s="14"/>
      <c r="U38" s="14"/>
      <c r="V38" s="14" t="n">
        <f aca="false">Tabella5279112479161820222426283032343638404244464850525456586062[[#This Row],[Colonna4]]*$Q3</f>
        <v>0.8</v>
      </c>
      <c r="W38" s="14"/>
      <c r="X38" s="14" t="n">
        <f aca="false">Tabella5279112479161820222426283032343638404244464850525456586062[[#This Row],[Colonna6]]*$Q3</f>
        <v>0.8</v>
      </c>
      <c r="Y38" s="14" t="n">
        <f aca="false">Tabella5279112479161820222426283032343638404244464850525456586062[[#This Row],[Colonna7]]*$Q3</f>
        <v>0.8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 t="n">
        <v>4</v>
      </c>
      <c r="I40" s="13"/>
      <c r="J40" s="13"/>
      <c r="K40" s="13"/>
      <c r="L40" s="13" t="n">
        <v>1</v>
      </c>
      <c r="M40" s="13" t="n">
        <v>1</v>
      </c>
      <c r="P40" s="12" t="s">
        <v>47</v>
      </c>
      <c r="Q40" s="12"/>
      <c r="R40" s="12"/>
      <c r="S40" s="14"/>
      <c r="T40" s="14" t="n">
        <f aca="false">Tabella5279112479161820222426283032343638404244464850525456586062[[#This Row],[Colonna2]]*$Q3</f>
        <v>1.6</v>
      </c>
      <c r="U40" s="14"/>
      <c r="V40" s="14"/>
      <c r="W40" s="14"/>
      <c r="X40" s="14" t="n">
        <f aca="false">Tabella5279112479161820222426283032343638404244464850525456586062[[#This Row],[Colonna6]]*$Q3</f>
        <v>0.4</v>
      </c>
      <c r="Y40" s="14" t="n">
        <f aca="false">Tabella5279112479161820222426283032343638404244464850525456586062[[#This Row],[Colonna7]]*$Q3</f>
        <v>0.4</v>
      </c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5</v>
      </c>
      <c r="H41" s="13" t="n">
        <v>3</v>
      </c>
      <c r="I41" s="13"/>
      <c r="J41" s="13" t="n">
        <v>4</v>
      </c>
      <c r="K41" s="13" t="n">
        <v>6</v>
      </c>
      <c r="L41" s="13" t="n">
        <v>5</v>
      </c>
      <c r="M41" s="13" t="n">
        <v>6</v>
      </c>
      <c r="P41" s="18" t="s">
        <v>48</v>
      </c>
      <c r="Q41" s="18"/>
      <c r="R41" s="18"/>
      <c r="S41" s="14" t="n">
        <f aca="false">Tabella5279112479161820222426283032343638404244464850525456586062[[#This Row],[Colonna1]]*$Q3</f>
        <v>2</v>
      </c>
      <c r="T41" s="14" t="n">
        <f aca="false">Tabella5279112479161820222426283032343638404244464850525456586062[[#This Row],[Colonna2]]*$Q3</f>
        <v>1.2</v>
      </c>
      <c r="U41" s="14"/>
      <c r="V41" s="14" t="n">
        <f aca="false">Tabella5279112479161820222426283032343638404244464850525456586062[[#This Row],[Colonna4]]*$Q3</f>
        <v>1.6</v>
      </c>
      <c r="W41" s="14" t="n">
        <f aca="false">Tabella5279112479161820222426283032343638404244464850525456586062[[#This Row],[Colonna5]]*$Q3</f>
        <v>2.4</v>
      </c>
      <c r="X41" s="14" t="n">
        <f aca="false">Tabella5279112479161820222426283032343638404244464850525456586062[[#This Row],[Colonna6]]*$Q3</f>
        <v>2</v>
      </c>
      <c r="Y41" s="14" t="n">
        <f aca="false">Tabella5279112479161820222426283032343638404244464850525456586062[[#This Row],[Colonna7]]*$Q3</f>
        <v>2.4</v>
      </c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10</v>
      </c>
      <c r="H42" s="13" t="n">
        <v>12</v>
      </c>
      <c r="I42" s="13" t="n">
        <v>11</v>
      </c>
      <c r="J42" s="13" t="n">
        <v>6</v>
      </c>
      <c r="K42" s="13" t="n">
        <v>4</v>
      </c>
      <c r="L42" s="13" t="n">
        <v>9</v>
      </c>
      <c r="M42" s="13" t="n">
        <v>9</v>
      </c>
      <c r="P42" s="9" t="s">
        <v>49</v>
      </c>
      <c r="Q42" s="9"/>
      <c r="R42" s="9"/>
      <c r="S42" s="14" t="n">
        <f aca="false">Tabella5279112479161820222426283032343638404244464850525456586062[[#This Row],[Colonna1]]*$Q3</f>
        <v>4</v>
      </c>
      <c r="T42" s="14" t="n">
        <f aca="false">Tabella5279112479161820222426283032343638404244464850525456586062[[#This Row],[Colonna2]]*$Q3</f>
        <v>4.8</v>
      </c>
      <c r="U42" s="14" t="n">
        <f aca="false">Tabella5279112479161820222426283032343638404244464850525456586062[[#This Row],[Colonna3]]*$Q3</f>
        <v>4.4</v>
      </c>
      <c r="V42" s="14" t="n">
        <f aca="false">Tabella5279112479161820222426283032343638404244464850525456586062[[#This Row],[Colonna4]]*$Q3</f>
        <v>2.4</v>
      </c>
      <c r="W42" s="14" t="n">
        <f aca="false">Tabella5279112479161820222426283032343638404244464850525456586062[[#This Row],[Colonna5]]*$Q3</f>
        <v>1.6</v>
      </c>
      <c r="X42" s="14" t="n">
        <f aca="false">Tabella5279112479161820222426283032343638404244464850525456586062[[#This Row],[Colonna6]]*$Q3</f>
        <v>3.6</v>
      </c>
      <c r="Y42" s="14" t="n">
        <f aca="false">Tabella5279112479161820222426283032343638404244464850525456586062[[#This Row],[Colonna7]]*$Q3</f>
        <v>3.6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16</v>
      </c>
      <c r="H44" s="13" t="n">
        <v>8</v>
      </c>
      <c r="I44" s="13" t="n">
        <v>5</v>
      </c>
      <c r="J44" s="13" t="n">
        <v>7</v>
      </c>
      <c r="K44" s="13" t="n">
        <v>17</v>
      </c>
      <c r="L44" s="13" t="n">
        <v>16</v>
      </c>
      <c r="M44" s="13" t="n">
        <v>8</v>
      </c>
      <c r="P44" s="12" t="s">
        <v>51</v>
      </c>
      <c r="Q44" s="12"/>
      <c r="R44" s="12"/>
      <c r="S44" s="14" t="n">
        <f aca="false">Tabella5279112479161820222426283032343638404244464850525456586062[[#This Row],[Colonna1]]*$Q3</f>
        <v>6.4</v>
      </c>
      <c r="T44" s="14" t="n">
        <f aca="false">Tabella5279112479161820222426283032343638404244464850525456586062[[#This Row],[Colonna2]]*$Q3</f>
        <v>3.2</v>
      </c>
      <c r="U44" s="14" t="n">
        <f aca="false">Tabella5279112479161820222426283032343638404244464850525456586062[[#This Row],[Colonna3]]*$Q3</f>
        <v>2</v>
      </c>
      <c r="V44" s="14" t="n">
        <f aca="false">Tabella5279112479161820222426283032343638404244464850525456586062[[#This Row],[Colonna4]]*$Q3</f>
        <v>2.8</v>
      </c>
      <c r="W44" s="14" t="n">
        <f aca="false">Tabella5279112479161820222426283032343638404244464850525456586062[[#This Row],[Colonna5]]*$Q3</f>
        <v>6.8</v>
      </c>
      <c r="X44" s="14" t="n">
        <f aca="false">Tabella5279112479161820222426283032343638404244464850525456586062[[#This Row],[Colonna6]]*$Q3</f>
        <v>6.4</v>
      </c>
      <c r="Y44" s="14" t="n">
        <f aca="false">Tabella5279112479161820222426283032343638404244464850525456586062[[#This Row],[Colonna7]]*$Q3</f>
        <v>3.2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37</v>
      </c>
      <c r="H49" s="13" t="n">
        <v>3</v>
      </c>
      <c r="I49" s="13" t="n">
        <v>12</v>
      </c>
      <c r="J49" s="13" t="n">
        <v>11</v>
      </c>
      <c r="K49" s="13" t="n">
        <v>11</v>
      </c>
      <c r="L49" s="13" t="n">
        <v>5</v>
      </c>
      <c r="M49" s="13" t="n">
        <v>8</v>
      </c>
      <c r="P49" s="18" t="s">
        <v>56</v>
      </c>
      <c r="Q49" s="18"/>
      <c r="R49" s="18"/>
      <c r="S49" s="14" t="n">
        <f aca="false">Tabella5279112479161820222426283032343638404244464850525456586062[[#This Row],[Colonna1]]*$Q3</f>
        <v>14.8</v>
      </c>
      <c r="T49" s="14" t="n">
        <f aca="false">Tabella5279112479161820222426283032343638404244464850525456586062[[#This Row],[Colonna2]]*$Q3</f>
        <v>1.2</v>
      </c>
      <c r="U49" s="14" t="n">
        <f aca="false">Tabella5279112479161820222426283032343638404244464850525456586062[[#This Row],[Colonna3]]*$Q3</f>
        <v>4.8</v>
      </c>
      <c r="V49" s="14" t="n">
        <f aca="false">Tabella5279112479161820222426283032343638404244464850525456586062[[#This Row],[Colonna4]]*$Q3</f>
        <v>4.4</v>
      </c>
      <c r="W49" s="14" t="n">
        <f aca="false">Tabella5279112479161820222426283032343638404244464850525456586062[[#This Row],[Colonna5]]*$Q3</f>
        <v>4.4</v>
      </c>
      <c r="X49" s="14" t="n">
        <f aca="false">Tabella5279112479161820222426283032343638404244464850525456586062[[#This Row],[Colonna6]]*$Q3</f>
        <v>2</v>
      </c>
      <c r="Y49" s="14" t="n">
        <f aca="false">Tabella5279112479161820222426283032343638404244464850525456586062[[#This Row],[Colonna7]]*$Q3</f>
        <v>3.2</v>
      </c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30</v>
      </c>
      <c r="H52" s="13" t="n">
        <v>21</v>
      </c>
      <c r="I52" s="13" t="n">
        <v>20</v>
      </c>
      <c r="J52" s="13" t="n">
        <v>39</v>
      </c>
      <c r="K52" s="13" t="n">
        <v>49</v>
      </c>
      <c r="L52" s="13" t="n">
        <v>14</v>
      </c>
      <c r="M52" s="13" t="n">
        <v>29</v>
      </c>
      <c r="P52" s="12" t="s">
        <v>59</v>
      </c>
      <c r="Q52" s="12"/>
      <c r="R52" s="12"/>
      <c r="S52" s="14" t="n">
        <f aca="false">Tabella5279112479161820222426283032343638404244464850525456586062[[#This Row],[Colonna1]]*$Q3</f>
        <v>12</v>
      </c>
      <c r="T52" s="14" t="n">
        <f aca="false">Tabella5279112479161820222426283032343638404244464850525456586062[[#This Row],[Colonna2]]*$Q3</f>
        <v>8.4</v>
      </c>
      <c r="U52" s="14" t="n">
        <f aca="false">Tabella5279112479161820222426283032343638404244464850525456586062[[#This Row],[Colonna3]]*$Q3</f>
        <v>8</v>
      </c>
      <c r="V52" s="14" t="n">
        <f aca="false">Tabella5279112479161820222426283032343638404244464850525456586062[[#This Row],[Colonna4]]*$Q3</f>
        <v>15.6</v>
      </c>
      <c r="W52" s="14" t="n">
        <f aca="false">Tabella5279112479161820222426283032343638404244464850525456586062[[#This Row],[Colonna5]]*$Q3</f>
        <v>19.6</v>
      </c>
      <c r="X52" s="14" t="n">
        <f aca="false">Tabella5279112479161820222426283032343638404244464850525456586062[[#This Row],[Colonna6]]*$Q3</f>
        <v>5.6</v>
      </c>
      <c r="Y52" s="14" t="n">
        <f aca="false">Tabella5279112479161820222426283032343638404244464850525456586062[[#This Row],[Colonna7]]*$Q3</f>
        <v>11.6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SUM(G7,G22,G26,G29,G38,G41,G42,G44,G49,G52)</f>
        <v>160</v>
      </c>
      <c r="H53" s="55" t="n">
        <f aca="false">SUM(H52,H49,H44,H42,H41,H40,H29,H23,H22,H12,H7,H6)</f>
        <v>120</v>
      </c>
      <c r="I53" s="55" t="n">
        <f aca="false">SUM(I52,I49,I44,I42,I29,I28,I22,I12,I9)</f>
        <v>80</v>
      </c>
      <c r="J53" s="55" t="n">
        <f aca="false">SUM(J52,J49,J44,J42,J41,J38,J29,J28,J22,J12,J7)</f>
        <v>118</v>
      </c>
      <c r="K53" s="55" t="n">
        <f aca="false">SUM(K52,K49,K44,K42,K41,K29,K28,K22,K12,K9,K7)</f>
        <v>146</v>
      </c>
      <c r="L53" s="55" t="n">
        <f aca="false">SUM(L52,L49,L44,L42,L41,L40,L38,L29,L28,L23,L22,L12,L7)</f>
        <v>99</v>
      </c>
      <c r="M53" s="55" t="n">
        <f aca="false">SUM(M52,M49,M44,M42,M41,M40,M38,M29,M22,M12,M10,M7)</f>
        <v>143</v>
      </c>
      <c r="P53" s="17" t="s">
        <v>60</v>
      </c>
      <c r="Q53" s="17"/>
      <c r="R53" s="17"/>
      <c r="S53" s="56" t="n">
        <f aca="false">Tabella5279112479161820222426283032343638404244464850525456586062[[#This Row],[Colonna1]]*$Q3</f>
        <v>64</v>
      </c>
      <c r="T53" s="56" t="n">
        <f aca="false">Tabella5279112479161820222426283032343638404244464850525456586062[[#This Row],[Colonna2]]*$Q3</f>
        <v>48</v>
      </c>
      <c r="U53" s="56" t="n">
        <f aca="false">Tabella5279112479161820222426283032343638404244464850525456586062[[#This Row],[Colonna3]]*$Q3</f>
        <v>32</v>
      </c>
      <c r="V53" s="56" t="n">
        <f aca="false">Tabella5279112479161820222426283032343638404244464850525456586062[[#This Row],[Colonna4]]*$Q3</f>
        <v>47.2</v>
      </c>
      <c r="W53" s="56" t="n">
        <f aca="false">Tabella5279112479161820222426283032343638404244464850525456586062[[#This Row],[Colonna5]]*$Q3</f>
        <v>58.4</v>
      </c>
      <c r="X53" s="56" t="n">
        <f aca="false">Tabella5279112479161820222426283032343638404244464850525456586062[[#This Row],[Colonna6]]*$Q3</f>
        <v>39.6</v>
      </c>
      <c r="Y53" s="56" t="n">
        <f aca="false">Tabella5279112479161820222426283032343638404244464850525456586062[[#This Row],[Colonna7]]*$Q3</f>
        <v>57.2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334</v>
      </c>
      <c r="H58" s="26" t="n">
        <v>391</v>
      </c>
      <c r="I58" s="26" t="n">
        <v>384</v>
      </c>
      <c r="J58" s="26" t="n">
        <v>364</v>
      </c>
      <c r="K58" s="26" t="n">
        <v>350</v>
      </c>
      <c r="L58" s="26" t="n">
        <v>247</v>
      </c>
      <c r="M58" s="26" t="n">
        <v>190</v>
      </c>
      <c r="P58" s="23" t="s">
        <v>62</v>
      </c>
      <c r="Q58" s="23"/>
      <c r="R58" s="23"/>
      <c r="S58" s="57" t="n">
        <f aca="false">G58*$Q3</f>
        <v>133.6</v>
      </c>
      <c r="T58" s="57" t="n">
        <f aca="false">H58*$Q3</f>
        <v>156.4</v>
      </c>
      <c r="U58" s="57" t="n">
        <f aca="false">I58*$Q3</f>
        <v>153.6</v>
      </c>
      <c r="V58" s="57" t="n">
        <f aca="false">J58*$Q3</f>
        <v>145.6</v>
      </c>
      <c r="W58" s="57" t="n">
        <f aca="false">K58*$Q3</f>
        <v>140</v>
      </c>
      <c r="X58" s="57" t="n">
        <f aca="false">L58*$Q3</f>
        <v>98.8</v>
      </c>
      <c r="Y58" s="57" t="n">
        <f aca="false">M58*$Q3</f>
        <v>76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38</v>
      </c>
      <c r="H62" s="26" t="n">
        <v>9</v>
      </c>
      <c r="I62" s="26" t="n">
        <v>11</v>
      </c>
      <c r="J62" s="26" t="n">
        <v>12</v>
      </c>
      <c r="K62" s="26" t="n">
        <v>12</v>
      </c>
      <c r="L62" s="26" t="n">
        <v>8</v>
      </c>
      <c r="M62" s="26" t="n">
        <v>2</v>
      </c>
      <c r="P62" s="9" t="s">
        <v>66</v>
      </c>
      <c r="Q62" s="9"/>
      <c r="R62" s="9"/>
      <c r="S62" s="57" t="n">
        <f aca="false">G62*$Q3</f>
        <v>15.2</v>
      </c>
      <c r="T62" s="57" t="n">
        <f aca="false">H62*$Q3</f>
        <v>3.6</v>
      </c>
      <c r="U62" s="57" t="n">
        <f aca="false">I62*$Q3</f>
        <v>4.4</v>
      </c>
      <c r="V62" s="57" t="n">
        <f aca="false">J62*$Q3</f>
        <v>4.8</v>
      </c>
      <c r="W62" s="57" t="n">
        <f aca="false">K62*$Q3</f>
        <v>4.8</v>
      </c>
      <c r="X62" s="57" t="n">
        <f aca="false">L62*$Q3</f>
        <v>3.2</v>
      </c>
      <c r="Y62" s="57" t="n">
        <f aca="false">M62*$Q3</f>
        <v>0.8</v>
      </c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/>
      <c r="K63" s="26" t="n">
        <v>1</v>
      </c>
      <c r="L63" s="26"/>
      <c r="M63" s="26"/>
      <c r="P63" s="9" t="s">
        <v>67</v>
      </c>
      <c r="Q63" s="9"/>
      <c r="R63" s="9"/>
      <c r="S63" s="57"/>
      <c r="T63" s="57"/>
      <c r="U63" s="57"/>
      <c r="V63" s="57"/>
      <c r="W63" s="57" t="n">
        <f aca="false">K63*$Q3</f>
        <v>0.4</v>
      </c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3</v>
      </c>
      <c r="H64" s="26" t="n">
        <v>1</v>
      </c>
      <c r="I64" s="26" t="n">
        <v>6</v>
      </c>
      <c r="J64" s="26" t="n">
        <v>3</v>
      </c>
      <c r="K64" s="26" t="n">
        <v>6</v>
      </c>
      <c r="L64" s="26" t="n">
        <v>4</v>
      </c>
      <c r="M64" s="26" t="n">
        <v>1</v>
      </c>
      <c r="P64" s="9" t="s">
        <v>68</v>
      </c>
      <c r="Q64" s="9"/>
      <c r="R64" s="9"/>
      <c r="S64" s="57" t="n">
        <f aca="false">G64*$Q3</f>
        <v>1.2</v>
      </c>
      <c r="T64" s="57" t="n">
        <f aca="false">H64*$Q3</f>
        <v>0.4</v>
      </c>
      <c r="U64" s="57" t="n">
        <f aca="false">I64*$Q3</f>
        <v>2.4</v>
      </c>
      <c r="V64" s="57" t="n">
        <f aca="false">J64*$Q3</f>
        <v>1.2</v>
      </c>
      <c r="W64" s="57" t="n">
        <f aca="false">K64*$Q3</f>
        <v>2.4</v>
      </c>
      <c r="X64" s="57" t="n">
        <f aca="false">L64*$Q3</f>
        <v>1.6</v>
      </c>
      <c r="Y64" s="57" t="n">
        <f aca="false">M64*$Q3</f>
        <v>0.4</v>
      </c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1</v>
      </c>
      <c r="H65" s="26" t="n">
        <v>3</v>
      </c>
      <c r="I65" s="26" t="n">
        <v>3</v>
      </c>
      <c r="J65" s="26"/>
      <c r="K65" s="26"/>
      <c r="L65" s="26"/>
      <c r="M65" s="26"/>
      <c r="P65" s="9" t="s">
        <v>69</v>
      </c>
      <c r="Q65" s="9"/>
      <c r="R65" s="9"/>
      <c r="S65" s="57" t="n">
        <f aca="false">G65*$Q3</f>
        <v>0.4</v>
      </c>
      <c r="T65" s="57" t="n">
        <f aca="false">H65*$Q3</f>
        <v>1.2</v>
      </c>
      <c r="U65" s="57" t="n">
        <f aca="false">I65*$Q3</f>
        <v>1.2</v>
      </c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29</v>
      </c>
      <c r="H67" s="26" t="n">
        <v>13</v>
      </c>
      <c r="I67" s="26" t="n">
        <v>32</v>
      </c>
      <c r="J67" s="26" t="n">
        <v>31</v>
      </c>
      <c r="K67" s="26" t="n">
        <v>42</v>
      </c>
      <c r="L67" s="26" t="n">
        <v>25</v>
      </c>
      <c r="M67" s="26" t="n">
        <v>29</v>
      </c>
      <c r="P67" s="9" t="s">
        <v>71</v>
      </c>
      <c r="Q67" s="9"/>
      <c r="R67" s="9"/>
      <c r="S67" s="57" t="n">
        <f aca="false">G67*$Q3</f>
        <v>11.6</v>
      </c>
      <c r="T67" s="57" t="n">
        <f aca="false">H67*$Q3</f>
        <v>5.2</v>
      </c>
      <c r="U67" s="57" t="n">
        <f aca="false">I67*$Q3</f>
        <v>12.8</v>
      </c>
      <c r="V67" s="57" t="n">
        <f aca="false">J67*$Q3</f>
        <v>12.4</v>
      </c>
      <c r="W67" s="57" t="n">
        <f aca="false">K67*$Q3</f>
        <v>16.8</v>
      </c>
      <c r="X67" s="57" t="n">
        <f aca="false">L67*$Q3</f>
        <v>10</v>
      </c>
      <c r="Y67" s="57" t="n">
        <f aca="false">M67*$Q3</f>
        <v>11.6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13</v>
      </c>
      <c r="H68" s="30" t="n">
        <v>16</v>
      </c>
      <c r="I68" s="30" t="n">
        <v>15</v>
      </c>
      <c r="J68" s="30" t="n">
        <v>9</v>
      </c>
      <c r="K68" s="30" t="n">
        <v>5</v>
      </c>
      <c r="L68" s="30"/>
      <c r="M68" s="30" t="n">
        <v>2</v>
      </c>
      <c r="P68" s="9" t="s">
        <v>72</v>
      </c>
      <c r="Q68" s="9"/>
      <c r="R68" s="9"/>
      <c r="S68" s="59" t="n">
        <f aca="false">G68*$Q3</f>
        <v>5.2</v>
      </c>
      <c r="T68" s="59" t="n">
        <f aca="false">H68*$Q3</f>
        <v>6.4</v>
      </c>
      <c r="U68" s="59" t="n">
        <f aca="false">I68*$Q3</f>
        <v>6</v>
      </c>
      <c r="V68" s="59" t="n">
        <f aca="false">J68*$Q3</f>
        <v>3.6</v>
      </c>
      <c r="W68" s="59" t="n">
        <f aca="false">K68*$Q3</f>
        <v>2</v>
      </c>
      <c r="X68" s="59"/>
      <c r="Y68" s="59" t="n">
        <f aca="false">M68*$Q3</f>
        <v>0.8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59</v>
      </c>
      <c r="H69" s="30" t="n">
        <v>11</v>
      </c>
      <c r="I69" s="30" t="n">
        <v>18</v>
      </c>
      <c r="J69" s="30" t="n">
        <v>42</v>
      </c>
      <c r="K69" s="30" t="n">
        <v>44</v>
      </c>
      <c r="L69" s="30" t="n">
        <v>10</v>
      </c>
      <c r="M69" s="30" t="n">
        <v>6</v>
      </c>
      <c r="P69" s="9" t="s">
        <v>73</v>
      </c>
      <c r="Q69" s="9"/>
      <c r="R69" s="9"/>
      <c r="S69" s="59" t="n">
        <f aca="false">G69*$Q3</f>
        <v>23.6</v>
      </c>
      <c r="T69" s="59" t="n">
        <f aca="false">H69*$Q3</f>
        <v>4.4</v>
      </c>
      <c r="U69" s="59" t="n">
        <f aca="false">I69*$Q3</f>
        <v>7.2</v>
      </c>
      <c r="V69" s="59" t="n">
        <f aca="false">J69*$Q3</f>
        <v>16.8</v>
      </c>
      <c r="W69" s="59" t="n">
        <f aca="false">K69*$Q3</f>
        <v>17.6</v>
      </c>
      <c r="X69" s="59" t="n">
        <f aca="false">L69*$Q3</f>
        <v>4</v>
      </c>
      <c r="Y69" s="59" t="n">
        <f aca="false">M69*$Q3</f>
        <v>2.4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SUM(G58,G62,G64,G65,G67,G68,G69)</f>
        <v>477</v>
      </c>
      <c r="H70" s="60" t="n">
        <f aca="false">SUM(H58,H62,H64,H65,H67,H68,H69)</f>
        <v>444</v>
      </c>
      <c r="I70" s="60" t="n">
        <f aca="false">SUM(I58,I62,I64,I65,I67,I68,I69)</f>
        <v>469</v>
      </c>
      <c r="J70" s="60" t="n">
        <f aca="false">SUM(J58,J62,J64,J67,J68,J69)</f>
        <v>461</v>
      </c>
      <c r="K70" s="12" t="n">
        <f aca="false">SUM(K58,K62,K63,K64,K67,K68,K69)</f>
        <v>460</v>
      </c>
      <c r="L70" s="12" t="n">
        <f aca="false">SUM(L58,L62,L64,L67,L69)</f>
        <v>294</v>
      </c>
      <c r="M70" s="12" t="n">
        <f aca="false">SUM(M58,M62,M64,M67,M68,M69)</f>
        <v>230</v>
      </c>
      <c r="P70" s="9" t="s">
        <v>60</v>
      </c>
      <c r="Q70" s="9"/>
      <c r="R70" s="9"/>
      <c r="S70" s="61" t="n">
        <f aca="false">G70*$Q3</f>
        <v>190.8</v>
      </c>
      <c r="T70" s="61" t="n">
        <f aca="false">H70*$Q3</f>
        <v>177.6</v>
      </c>
      <c r="U70" s="61" t="n">
        <f aca="false">I70*$Q3</f>
        <v>187.6</v>
      </c>
      <c r="V70" s="61" t="n">
        <f aca="false">J70*$Q3</f>
        <v>184.4</v>
      </c>
      <c r="W70" s="61" t="n">
        <f aca="false">K70*$Q3</f>
        <v>184</v>
      </c>
      <c r="X70" s="61" t="n">
        <f aca="false">L70*$Q3</f>
        <v>117.6</v>
      </c>
      <c r="Y70" s="61" t="n">
        <f aca="false">M70*$Q3</f>
        <v>92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31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45096</v>
      </c>
      <c r="K3" s="5" t="n">
        <v>45102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45096</v>
      </c>
      <c r="W3" s="5" t="n">
        <v>45102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 t="n">
        <v>1</v>
      </c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 t="n">
        <f aca="false">Tabella527911247916182022242628303234363840424446485052545658606264[[#This Row],[Colonna1]]*$Q3</f>
        <v>0.4</v>
      </c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24</v>
      </c>
      <c r="H7" s="13" t="n">
        <v>16</v>
      </c>
      <c r="I7" s="13" t="n">
        <v>19</v>
      </c>
      <c r="J7" s="13" t="n">
        <v>12</v>
      </c>
      <c r="K7" s="13" t="n">
        <v>17</v>
      </c>
      <c r="L7" s="13"/>
      <c r="M7" s="13" t="n">
        <v>5</v>
      </c>
      <c r="P7" s="12" t="s">
        <v>14</v>
      </c>
      <c r="Q7" s="12"/>
      <c r="R7" s="12"/>
      <c r="S7" s="14" t="n">
        <f aca="false">Tabella527911247916182022242628303234363840424446485052545658606264[[#This Row],[Colonna1]]*Q3</f>
        <v>9.6</v>
      </c>
      <c r="T7" s="14" t="n">
        <f aca="false">Tabella527911247916182022242628303234363840424446485052545658606264[[#This Row],[Colonna2]]*$Q3</f>
        <v>6.4</v>
      </c>
      <c r="U7" s="14" t="n">
        <f aca="false">Tabella527911247916182022242628303234363840424446485052545658606264[[#This Row],[Colonna3]]*$Q3</f>
        <v>7.6</v>
      </c>
      <c r="V7" s="14" t="n">
        <f aca="false">Tabella527911247916182022242628303234363840424446485052545658606264[[#This Row],[Colonna4]]*$Q3</f>
        <v>4.8</v>
      </c>
      <c r="W7" s="14" t="n">
        <f aca="false">Tabella527911247916182022242628303234363840424446485052545658606264[[#This Row],[Colonna5]]*$Q3</f>
        <v>6.8</v>
      </c>
      <c r="X7" s="14"/>
      <c r="Y7" s="14" t="n">
        <f aca="false">Tabella527911247916182022242628303234363840424446485052545658606264[[#This Row],[Colonna7]]*$Q3</f>
        <v>2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 t="s">
        <v>91</v>
      </c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2</v>
      </c>
      <c r="H9" s="13"/>
      <c r="I9" s="13"/>
      <c r="J9" s="13" t="n">
        <v>1</v>
      </c>
      <c r="K9" s="13"/>
      <c r="L9" s="13"/>
      <c r="M9" s="13"/>
      <c r="P9" s="12" t="s">
        <v>16</v>
      </c>
      <c r="Q9" s="12"/>
      <c r="R9" s="12"/>
      <c r="S9" s="14" t="n">
        <f aca="false">Tabella527911247916182022242628303234363840424446485052545658606264[[#This Row],[Colonna1]]*$Q3</f>
        <v>0.8</v>
      </c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2</v>
      </c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 t="n">
        <f aca="false">Tabella527911247916182022242628303234363840424446485052545658606264[[#This Row],[Colonna1]]*$Q3</f>
        <v>0.8</v>
      </c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 t="n">
        <v>9</v>
      </c>
      <c r="I12" s="13" t="n">
        <v>1</v>
      </c>
      <c r="J12" s="13" t="n">
        <v>2</v>
      </c>
      <c r="K12" s="13" t="n">
        <v>1</v>
      </c>
      <c r="L12" s="13" t="n">
        <v>1</v>
      </c>
      <c r="M12" s="13" t="n">
        <v>1</v>
      </c>
      <c r="P12" s="12" t="s">
        <v>19</v>
      </c>
      <c r="Q12" s="12"/>
      <c r="R12" s="12"/>
      <c r="S12" s="14"/>
      <c r="T12" s="14" t="n">
        <f aca="false">Tabella527911247916182022242628303234363840424446485052545658606264[[#This Row],[Colonna2]]*$Q3</f>
        <v>3.6</v>
      </c>
      <c r="U12" s="14" t="n">
        <f aca="false">Tabella527911247916182022242628303234363840424446485052545658606264[[#This Row],[Colonna3]]*$Q3</f>
        <v>0.4</v>
      </c>
      <c r="V12" s="14" t="n">
        <f aca="false">Tabella527911247916182022242628303234363840424446485052545658606264[[#This Row],[Colonna4]]*$Q3</f>
        <v>0.8</v>
      </c>
      <c r="W12" s="14" t="n">
        <f aca="false">Tabella527911247916182022242628303234363840424446485052545658606264[[#This Row],[Colonna5]]*$Q3</f>
        <v>0.4</v>
      </c>
      <c r="X12" s="14" t="n">
        <f aca="false">Tabella527911247916182022242628303234363840424446485052545658606264[[#This Row],[Colonna6]]*$Q3</f>
        <v>0.4</v>
      </c>
      <c r="Y12" s="14" t="n">
        <f aca="false">Tabella527911247916182022242628303234363840424446485052545658606264[[#This Row],[Colonna7]]*$Q3</f>
        <v>0.4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 t="n">
        <v>3</v>
      </c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 t="n">
        <f aca="false">Tabella527911247916182022242628303234363840424446485052545658606264[[#This Row],[Colonna3]]*$Q3</f>
        <v>1.2</v>
      </c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 t="n">
        <v>1</v>
      </c>
      <c r="I20" s="13"/>
      <c r="J20" s="13"/>
      <c r="K20" s="13"/>
      <c r="L20" s="13" t="n">
        <v>1</v>
      </c>
      <c r="M20" s="13"/>
      <c r="P20" s="9" t="s">
        <v>27</v>
      </c>
      <c r="Q20" s="9"/>
      <c r="R20" s="9"/>
      <c r="S20" s="14"/>
      <c r="T20" s="14" t="n">
        <f aca="false">Tabella527911247916182022242628303234363840424446485052545658606264[[#This Row],[Colonna2]]*$Q3</f>
        <v>0.4</v>
      </c>
      <c r="U20" s="14"/>
      <c r="V20" s="14"/>
      <c r="W20" s="14"/>
      <c r="X20" s="14" t="n">
        <f aca="false">Tabella527911247916182022242628303234363840424446485052545658606264[[#This Row],[Colonna6]]*$Q3</f>
        <v>0.4</v>
      </c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12</v>
      </c>
      <c r="H22" s="13" t="n">
        <v>9</v>
      </c>
      <c r="I22" s="13" t="n">
        <v>5</v>
      </c>
      <c r="J22" s="13" t="n">
        <v>10</v>
      </c>
      <c r="K22" s="13" t="n">
        <v>6</v>
      </c>
      <c r="L22" s="13" t="n">
        <v>4</v>
      </c>
      <c r="M22" s="13" t="n">
        <v>3</v>
      </c>
      <c r="P22" s="12" t="s">
        <v>29</v>
      </c>
      <c r="Q22" s="12"/>
      <c r="R22" s="12"/>
      <c r="S22" s="14" t="n">
        <f aca="false">Tabella527911247916182022242628303234363840424446485052545658606264[[#This Row],[Colonna1]]*$Q3</f>
        <v>4.8</v>
      </c>
      <c r="T22" s="14" t="n">
        <f aca="false">Tabella527911247916182022242628303234363840424446485052545658606264[[#This Row],[Colonna2]]*$Q3</f>
        <v>3.6</v>
      </c>
      <c r="U22" s="14" t="n">
        <f aca="false">Tabella527911247916182022242628303234363840424446485052545658606264[[#This Row],[Colonna3]]*$Q3</f>
        <v>2</v>
      </c>
      <c r="V22" s="14" t="n">
        <f aca="false">Tabella527911247916182022242628303234363840424446485052545658606264[[#This Row],[Colonna4]]*$Q3</f>
        <v>4</v>
      </c>
      <c r="W22" s="14" t="n">
        <f aca="false">Tabella527911247916182022242628303234363840424446485052545658606264[[#This Row],[Colonna5]]*$Q3</f>
        <v>2.4</v>
      </c>
      <c r="X22" s="14" t="n">
        <f aca="false">Tabella527911247916182022242628303234363840424446485052545658606264[[#This Row],[Colonna6]]*$Q3</f>
        <v>1.6</v>
      </c>
      <c r="Y22" s="14" t="n">
        <f aca="false">Tabella527911247916182022242628303234363840424446485052545658606264[[#This Row],[Colonna7]]*$Q3</f>
        <v>1.2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 t="n">
        <v>3</v>
      </c>
      <c r="I23" s="13" t="n">
        <v>1</v>
      </c>
      <c r="J23" s="13" t="n">
        <v>1</v>
      </c>
      <c r="K23" s="13" t="n">
        <v>1</v>
      </c>
      <c r="L23" s="13"/>
      <c r="M23" s="13"/>
      <c r="P23" s="17" t="s">
        <v>30</v>
      </c>
      <c r="Q23" s="17"/>
      <c r="R23" s="17"/>
      <c r="S23" s="136"/>
      <c r="T23" s="14" t="n">
        <f aca="false">Tabella527911247916182022242628303234363840424446485052545658606264[[#This Row],[Colonna2]]*$Q3</f>
        <v>1.2</v>
      </c>
      <c r="U23" s="14" t="n">
        <f aca="false">Tabella527911247916182022242628303234363840424446485052545658606264[[#This Row],[Colonna3]]*$Q3</f>
        <v>0.4</v>
      </c>
      <c r="V23" s="14" t="n">
        <f aca="false">Tabella527911247916182022242628303234363840424446485052545658606264[[#This Row],[Colonna4]]*$Q3</f>
        <v>0.4</v>
      </c>
      <c r="W23" s="14" t="n">
        <f aca="false">Tabella527911247916182022242628303234363840424446485052545658606264[[#This Row],[Colonna5]]*$Q3</f>
        <v>0.4</v>
      </c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36</v>
      </c>
      <c r="H26" s="13" t="n">
        <v>7</v>
      </c>
      <c r="I26" s="13" t="n">
        <v>16</v>
      </c>
      <c r="J26" s="13" t="n">
        <v>44</v>
      </c>
      <c r="K26" s="13" t="n">
        <v>88</v>
      </c>
      <c r="L26" s="13" t="n">
        <v>32</v>
      </c>
      <c r="M26" s="13" t="n">
        <v>18</v>
      </c>
      <c r="P26" s="12" t="s">
        <v>33</v>
      </c>
      <c r="Q26" s="12"/>
      <c r="R26" s="12"/>
      <c r="S26" s="14" t="n">
        <f aca="false">Tabella527911247916182022242628303234363840424446485052545658606264[[#This Row],[Colonna1]]*$Q3</f>
        <v>14.4</v>
      </c>
      <c r="T26" s="14" t="n">
        <f aca="false">Tabella527911247916182022242628303234363840424446485052545658606264[[#This Row],[Colonna2]]*$Q3</f>
        <v>2.8</v>
      </c>
      <c r="U26" s="14" t="n">
        <f aca="false">Tabella527911247916182022242628303234363840424446485052545658606264[[#This Row],[Colonna3]]*$Q3</f>
        <v>6.4</v>
      </c>
      <c r="V26" s="14" t="n">
        <f aca="false">Tabella527911247916182022242628303234363840424446485052545658606264[[#This Row],[Colonna4]]*$Q3</f>
        <v>17.6</v>
      </c>
      <c r="W26" s="14" t="n">
        <f aca="false">Tabella527911247916182022242628303234363840424446485052545658606264[[#This Row],[Colonna5]]*$Q3</f>
        <v>35.2</v>
      </c>
      <c r="X26" s="14" t="n">
        <f aca="false">Tabella527911247916182022242628303234363840424446485052545658606264[[#This Row],[Colonna6]]*$Q3</f>
        <v>12.8</v>
      </c>
      <c r="Y26" s="14" t="n">
        <f aca="false">Tabella527911247916182022242628303234363840424446485052545658606264[[#This Row],[Colonna7]]*$Q3</f>
        <v>7.2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2</v>
      </c>
      <c r="H28" s="13" t="n">
        <v>1</v>
      </c>
      <c r="I28" s="13" t="n">
        <v>1</v>
      </c>
      <c r="J28" s="13"/>
      <c r="K28" s="13" t="n">
        <v>1</v>
      </c>
      <c r="L28" s="13"/>
      <c r="M28" s="13"/>
      <c r="P28" s="12" t="s">
        <v>35</v>
      </c>
      <c r="Q28" s="12"/>
      <c r="R28" s="12"/>
      <c r="S28" s="14" t="n">
        <f aca="false">Tabella527911247916182022242628303234363840424446485052545658606264[[#This Row],[Colonna1]]*$Q3</f>
        <v>0.8</v>
      </c>
      <c r="T28" s="14" t="n">
        <f aca="false">Tabella527911247916182022242628303234363840424446485052545658606264[[#This Row],[Colonna2]]*$Q3</f>
        <v>0.4</v>
      </c>
      <c r="U28" s="14" t="n">
        <f aca="false">Tabella527911247916182022242628303234363840424446485052545658606264[[#This Row],[Colonna3]]*$Q3</f>
        <v>0.4</v>
      </c>
      <c r="V28" s="14" t="n">
        <f aca="false">Tabella527911247916182022242628303234363840424446485052545658606264[[#This Row],[Colonna4]]*$Q3</f>
        <v>0</v>
      </c>
      <c r="W28" s="14" t="n">
        <f aca="false">Tabella527911247916182022242628303234363840424446485052545658606264[[#This Row],[Colonna5]]*$Q3</f>
        <v>0.4</v>
      </c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38</v>
      </c>
      <c r="H29" s="13" t="n">
        <v>83</v>
      </c>
      <c r="I29" s="13" t="n">
        <v>30</v>
      </c>
      <c r="J29" s="13" t="n">
        <v>66</v>
      </c>
      <c r="K29" s="13" t="n">
        <v>54</v>
      </c>
      <c r="L29" s="13" t="n">
        <v>22</v>
      </c>
      <c r="M29" s="13" t="n">
        <v>28</v>
      </c>
      <c r="P29" s="12" t="s">
        <v>36</v>
      </c>
      <c r="Q29" s="12"/>
      <c r="R29" s="12"/>
      <c r="S29" s="14" t="n">
        <f aca="false">Tabella527911247916182022242628303234363840424446485052545658606264[[#This Row],[Colonna1]]*$Q3</f>
        <v>15.2</v>
      </c>
      <c r="T29" s="14" t="n">
        <f aca="false">Tabella527911247916182022242628303234363840424446485052545658606264[[#This Row],[Colonna2]]*$Q3</f>
        <v>33.2</v>
      </c>
      <c r="U29" s="14" t="n">
        <f aca="false">Tabella527911247916182022242628303234363840424446485052545658606264[[#This Row],[Colonna3]]*$Q3</f>
        <v>12</v>
      </c>
      <c r="V29" s="14" t="n">
        <f aca="false">Tabella527911247916182022242628303234363840424446485052545658606264[[#This Row],[Colonna4]]*$Q3</f>
        <v>26.4</v>
      </c>
      <c r="W29" s="14" t="n">
        <f aca="false">Tabella527911247916182022242628303234363840424446485052545658606264[[#This Row],[Colonna5]]*$Q3</f>
        <v>21.6</v>
      </c>
      <c r="X29" s="14" t="n">
        <f aca="false">Tabella527911247916182022242628303234363840424446485052545658606264[[#This Row],[Colonna6]]*$Q3</f>
        <v>8.8</v>
      </c>
      <c r="Y29" s="14" t="n">
        <f aca="false">Tabella527911247916182022242628303234363840424446485052545658606264[[#This Row],[Colonna7]]*$Q3</f>
        <v>11.2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 t="s">
        <v>91</v>
      </c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 t="n">
        <v>4</v>
      </c>
      <c r="I38" s="13" t="n">
        <v>1</v>
      </c>
      <c r="J38" s="13" t="n">
        <v>3</v>
      </c>
      <c r="K38" s="13" t="n">
        <v>2</v>
      </c>
      <c r="L38" s="13" t="n">
        <v>3</v>
      </c>
      <c r="M38" s="13" t="n">
        <v>4</v>
      </c>
      <c r="P38" s="16" t="s">
        <v>45</v>
      </c>
      <c r="Q38" s="16"/>
      <c r="R38" s="16"/>
      <c r="S38" s="14"/>
      <c r="T38" s="14" t="n">
        <f aca="false">Tabella527911247916182022242628303234363840424446485052545658606264[[#This Row],[Colonna2]]*$Q3</f>
        <v>1.6</v>
      </c>
      <c r="U38" s="14" t="n">
        <f aca="false">Tabella527911247916182022242628303234363840424446485052545658606264[[#This Row],[Colonna3]]*$Q3</f>
        <v>0.4</v>
      </c>
      <c r="V38" s="14" t="n">
        <f aca="false">Tabella527911247916182022242628303234363840424446485052545658606264[[#This Row],[Colonna4]]*$Q3</f>
        <v>1.2</v>
      </c>
      <c r="W38" s="14" t="n">
        <f aca="false">Tabella527911247916182022242628303234363840424446485052545658606264[[#This Row],[Colonna5]]*$Q3</f>
        <v>0.8</v>
      </c>
      <c r="X38" s="14" t="n">
        <f aca="false">Tabella527911247916182022242628303234363840424446485052545658606264[[#This Row],[Colonna6]]*$Q3</f>
        <v>1.2</v>
      </c>
      <c r="Y38" s="14" t="n">
        <f aca="false">Tabella527911247916182022242628303234363840424446485052545658606264[[#This Row],[Colonna7]]*$Q3</f>
        <v>1.6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 t="n">
        <v>1</v>
      </c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 t="n">
        <f aca="false">Tabella527911247916182022242628303234363840424446485052545658606264[[#This Row],[Colonna5]]*$Q3</f>
        <v>0.4</v>
      </c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 t="n">
        <v>1</v>
      </c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 t="n">
        <f aca="false">Tabella527911247916182022242628303234363840424446485052545658606264[[#This Row],[Colonna2]]*$Q3</f>
        <v>0.4</v>
      </c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9</v>
      </c>
      <c r="H41" s="13" t="n">
        <v>13</v>
      </c>
      <c r="I41" s="13" t="n">
        <v>8</v>
      </c>
      <c r="J41" s="13" t="n">
        <v>6</v>
      </c>
      <c r="K41" s="13" t="n">
        <v>12</v>
      </c>
      <c r="L41" s="13" t="n">
        <v>6</v>
      </c>
      <c r="M41" s="13" t="n">
        <v>6</v>
      </c>
      <c r="P41" s="18" t="s">
        <v>48</v>
      </c>
      <c r="Q41" s="18"/>
      <c r="R41" s="18"/>
      <c r="S41" s="14" t="n">
        <f aca="false">Tabella527911247916182022242628303234363840424446485052545658606264[[#This Row],[Colonna1]]*$Q3</f>
        <v>3.6</v>
      </c>
      <c r="T41" s="14" t="n">
        <f aca="false">Tabella527911247916182022242628303234363840424446485052545658606264[[#This Row],[Colonna2]]*$Q3</f>
        <v>5.2</v>
      </c>
      <c r="U41" s="14" t="n">
        <f aca="false">Tabella527911247916182022242628303234363840424446485052545658606264[[#This Row],[Colonna3]]*$Q3</f>
        <v>3.2</v>
      </c>
      <c r="V41" s="14" t="n">
        <f aca="false">Tabella527911247916182022242628303234363840424446485052545658606264[[#This Row],[Colonna4]]*$Q3</f>
        <v>2.4</v>
      </c>
      <c r="W41" s="14" t="n">
        <f aca="false">Tabella527911247916182022242628303234363840424446485052545658606264[[#This Row],[Colonna5]]*$Q3</f>
        <v>4.8</v>
      </c>
      <c r="X41" s="14" t="n">
        <f aca="false">Tabella527911247916182022242628303234363840424446485052545658606264[[#This Row],[Colonna6]]*$Q3</f>
        <v>2.4</v>
      </c>
      <c r="Y41" s="14" t="n">
        <f aca="false">Tabella527911247916182022242628303234363840424446485052545658606264[[#This Row],[Colonna7]]*$Q3</f>
        <v>2.4</v>
      </c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2</v>
      </c>
      <c r="H42" s="13" t="n">
        <v>31</v>
      </c>
      <c r="I42" s="13" t="n">
        <v>16</v>
      </c>
      <c r="J42" s="13" t="n">
        <v>15</v>
      </c>
      <c r="K42" s="13" t="n">
        <v>9</v>
      </c>
      <c r="L42" s="13" t="n">
        <v>4</v>
      </c>
      <c r="M42" s="13" t="n">
        <v>3</v>
      </c>
      <c r="P42" s="9" t="s">
        <v>49</v>
      </c>
      <c r="Q42" s="9"/>
      <c r="R42" s="9"/>
      <c r="S42" s="14" t="n">
        <f aca="false">Tabella527911247916182022242628303234363840424446485052545658606264[[#This Row],[Colonna1]]*$Q3</f>
        <v>0.8</v>
      </c>
      <c r="T42" s="14" t="n">
        <f aca="false">Tabella527911247916182022242628303234363840424446485052545658606264[[#This Row],[Colonna2]]*$Q3</f>
        <v>12.4</v>
      </c>
      <c r="U42" s="14" t="n">
        <f aca="false">Tabella527911247916182022242628303234363840424446485052545658606264[[#This Row],[Colonna3]]*$Q3</f>
        <v>6.4</v>
      </c>
      <c r="V42" s="14" t="n">
        <f aca="false">Tabella527911247916182022242628303234363840424446485052545658606264[[#This Row],[Colonna4]]*$Q3</f>
        <v>6</v>
      </c>
      <c r="W42" s="14" t="n">
        <f aca="false">Tabella527911247916182022242628303234363840424446485052545658606264[[#This Row],[Colonna5]]*$Q3</f>
        <v>3.6</v>
      </c>
      <c r="X42" s="14" t="n">
        <f aca="false">Tabella527911247916182022242628303234363840424446485052545658606264[[#This Row],[Colonna6]]*$Q3</f>
        <v>1.6</v>
      </c>
      <c r="Y42" s="14" t="n">
        <f aca="false">Tabella527911247916182022242628303234363840424446485052545658606264[[#This Row],[Colonna7]]*$Q3</f>
        <v>1.2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27</v>
      </c>
      <c r="H44" s="13" t="n">
        <v>22</v>
      </c>
      <c r="I44" s="13" t="n">
        <v>7</v>
      </c>
      <c r="J44" s="13" t="n">
        <v>10</v>
      </c>
      <c r="K44" s="13" t="n">
        <v>4</v>
      </c>
      <c r="L44" s="13" t="n">
        <v>9</v>
      </c>
      <c r="M44" s="13" t="n">
        <v>4</v>
      </c>
      <c r="P44" s="12" t="s">
        <v>51</v>
      </c>
      <c r="Q44" s="12"/>
      <c r="R44" s="12"/>
      <c r="S44" s="14" t="n">
        <f aca="false">Tabella527911247916182022242628303234363840424446485052545658606264[[#This Row],[Colonna1]]*$Q3</f>
        <v>10.8</v>
      </c>
      <c r="T44" s="14" t="n">
        <f aca="false">Tabella527911247916182022242628303234363840424446485052545658606264[[#This Row],[Colonna2]]*$Q3</f>
        <v>8.8</v>
      </c>
      <c r="U44" s="14" t="n">
        <f aca="false">Tabella527911247916182022242628303234363840424446485052545658606264[[#This Row],[Colonna3]]*$Q3</f>
        <v>2.8</v>
      </c>
      <c r="V44" s="14" t="n">
        <f aca="false">Tabella527911247916182022242628303234363840424446485052545658606264[[#This Row],[Colonna4]]*$Q3</f>
        <v>4</v>
      </c>
      <c r="W44" s="14" t="n">
        <f aca="false">Tabella527911247916182022242628303234363840424446485052545658606264[[#This Row],[Colonna5]]*$Q3</f>
        <v>1.6</v>
      </c>
      <c r="X44" s="14" t="n">
        <f aca="false">Tabella527911247916182022242628303234363840424446485052545658606264[[#This Row],[Colonna6]]*$Q3</f>
        <v>3.6</v>
      </c>
      <c r="Y44" s="14" t="n">
        <f aca="false">Tabella527911247916182022242628303234363840424446485052545658606264[[#This Row],[Colonna7]]*$Q3</f>
        <v>1.6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13</v>
      </c>
      <c r="H49" s="13" t="n">
        <v>5</v>
      </c>
      <c r="I49" s="13" t="n">
        <v>2</v>
      </c>
      <c r="J49" s="13" t="n">
        <v>4</v>
      </c>
      <c r="K49" s="13" t="n">
        <v>6</v>
      </c>
      <c r="L49" s="13" t="n">
        <v>1</v>
      </c>
      <c r="M49" s="13" t="n">
        <v>1</v>
      </c>
      <c r="P49" s="18" t="s">
        <v>56</v>
      </c>
      <c r="Q49" s="18"/>
      <c r="R49" s="18"/>
      <c r="S49" s="14" t="n">
        <f aca="false">Tabella527911247916182022242628303234363840424446485052545658606264[[#This Row],[Colonna1]]*$Q3</f>
        <v>5.2</v>
      </c>
      <c r="T49" s="14" t="n">
        <f aca="false">Tabella527911247916182022242628303234363840424446485052545658606264[[#This Row],[Colonna2]]*$Q3</f>
        <v>2</v>
      </c>
      <c r="U49" s="14" t="n">
        <f aca="false">Tabella527911247916182022242628303234363840424446485052545658606264[[#This Row],[Colonna3]]*$Q3</f>
        <v>0.8</v>
      </c>
      <c r="V49" s="14" t="n">
        <f aca="false">Tabella527911247916182022242628303234363840424446485052545658606264[[#This Row],[Colonna4]]*$Q3</f>
        <v>1.6</v>
      </c>
      <c r="W49" s="14" t="n">
        <f aca="false">Tabella527911247916182022242628303234363840424446485052545658606264[[#This Row],[Colonna5]]*$Q3</f>
        <v>2.4</v>
      </c>
      <c r="X49" s="14" t="n">
        <f aca="false">Tabella527911247916182022242628303234363840424446485052545658606264[[#This Row],[Colonna6]]*$Q3</f>
        <v>0.4</v>
      </c>
      <c r="Y49" s="14" t="n">
        <f aca="false">Tabella527911247916182022242628303234363840424446485052545658606264[[#This Row],[Colonna7]]*$Q3</f>
        <v>0.4</v>
      </c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58</v>
      </c>
      <c r="H52" s="13" t="n">
        <v>37</v>
      </c>
      <c r="I52" s="13" t="n">
        <v>13</v>
      </c>
      <c r="J52" s="13" t="n">
        <v>33</v>
      </c>
      <c r="K52" s="13" t="n">
        <v>21</v>
      </c>
      <c r="L52" s="13" t="n">
        <v>20</v>
      </c>
      <c r="M52" s="13" t="n">
        <v>11</v>
      </c>
      <c r="P52" s="12" t="s">
        <v>59</v>
      </c>
      <c r="Q52" s="12"/>
      <c r="R52" s="12"/>
      <c r="S52" s="14" t="n">
        <f aca="false">Tabella527911247916182022242628303234363840424446485052545658606264[[#This Row],[Colonna1]]*$Q3</f>
        <v>23.2</v>
      </c>
      <c r="T52" s="14" t="n">
        <f aca="false">Tabella527911247916182022242628303234363840424446485052545658606264[[#This Row],[Colonna2]]*$Q3</f>
        <v>14.8</v>
      </c>
      <c r="U52" s="14" t="n">
        <f aca="false">Tabella527911247916182022242628303234363840424446485052545658606264[[#This Row],[Colonna3]]*$Q3</f>
        <v>5.2</v>
      </c>
      <c r="V52" s="14" t="n">
        <f aca="false">Tabella527911247916182022242628303234363840424446485052545658606264[[#This Row],[Colonna4]]*$Q3</f>
        <v>13.2</v>
      </c>
      <c r="W52" s="14" t="n">
        <f aca="false">Tabella527911247916182022242628303234363840424446485052545658606264[[#This Row],[Colonna5]]*$Q3</f>
        <v>8.4</v>
      </c>
      <c r="X52" s="14" t="n">
        <f aca="false">Tabella527911247916182022242628303234363840424446485052545658606264[[#This Row],[Colonna6]]*$Q3</f>
        <v>8</v>
      </c>
      <c r="Y52" s="14" t="n">
        <f aca="false">Tabella527911247916182022242628303234363840424446485052545658606264[[#This Row],[Colonna7]]*$Q3</f>
        <v>4.4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SUM(G52,G49,G44,G42,G41,G29,G28,G26,G22,G10,G9,G7,G6)</f>
        <v>226</v>
      </c>
      <c r="H53" s="55" t="n">
        <f aca="false">SUM(H52,H49,H44,H42,H41,H40,H38,H29,H28,H26,H23,H22,H20,H12,H7)</f>
        <v>242</v>
      </c>
      <c r="I53" s="55" t="n">
        <f aca="false">SUM(I52,I49,I44,I42,I41,I38,I29,I28,I26,I23,I22,I15,I12,I7)</f>
        <v>123</v>
      </c>
      <c r="J53" s="55" t="n">
        <f aca="false">SUM(J52,J49,J44,J42,J41,J38,J29,J26,J23,J22,J12,J9,J7)</f>
        <v>207</v>
      </c>
      <c r="K53" s="55" t="n">
        <f aca="false">SUM(K7,K12,K22,K23,K26,K28,K29,K38,K39,K41,K42,K44,K49,K52)</f>
        <v>223</v>
      </c>
      <c r="L53" s="55" t="n">
        <f aca="false">SUM(L52,L49,L44,L42,L41,L38,L29,L26,L22,L20,L12)</f>
        <v>103</v>
      </c>
      <c r="M53" s="55" t="n">
        <f aca="false">SUM(M52,M49,M44,M42,M41,M38,M29,M26,M22,M12,M7)</f>
        <v>84</v>
      </c>
      <c r="P53" s="17" t="s">
        <v>60</v>
      </c>
      <c r="Q53" s="17"/>
      <c r="R53" s="17"/>
      <c r="S53" s="56" t="n">
        <f aca="false">Tabella527911247916182022242628303234363840424446485052545658606264[[#This Row],[Colonna1]]*$Q3</f>
        <v>90.4</v>
      </c>
      <c r="T53" s="56" t="n">
        <f aca="false">Tabella527911247916182022242628303234363840424446485052545658606264[[#This Row],[Colonna2]]*$Q3</f>
        <v>96.8</v>
      </c>
      <c r="U53" s="56" t="n">
        <f aca="false">Tabella527911247916182022242628303234363840424446485052545658606264[[#This Row],[Colonna3]]*$Q3</f>
        <v>49.2</v>
      </c>
      <c r="V53" s="56" t="n">
        <f aca="false">Tabella527911247916182022242628303234363840424446485052545658606264[[#This Row],[Colonna4]]*$Q3</f>
        <v>82.8</v>
      </c>
      <c r="W53" s="56" t="n">
        <f aca="false">Tabella527911247916182022242628303234363840424446485052545658606264[[#This Row],[Colonna5]]*$Q3</f>
        <v>89.2</v>
      </c>
      <c r="X53" s="56" t="n">
        <f aca="false">Tabella527911247916182022242628303234363840424446485052545658606264[[#This Row],[Colonna6]]*$Q3</f>
        <v>41.2</v>
      </c>
      <c r="Y53" s="56" t="n">
        <f aca="false">Tabella527911247916182022242628303234363840424446485052545658606264[[#This Row],[Colonna7]]*$Q3</f>
        <v>33.6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254</v>
      </c>
      <c r="H58" s="26" t="n">
        <v>218</v>
      </c>
      <c r="I58" s="26" t="n">
        <v>306</v>
      </c>
      <c r="J58" s="26" t="n">
        <v>331</v>
      </c>
      <c r="K58" s="26" t="n">
        <v>190</v>
      </c>
      <c r="L58" s="26" t="n">
        <v>229</v>
      </c>
      <c r="M58" s="26" t="n">
        <v>221</v>
      </c>
      <c r="P58" s="23" t="s">
        <v>62</v>
      </c>
      <c r="Q58" s="23"/>
      <c r="R58" s="23"/>
      <c r="S58" s="57" t="n">
        <f aca="false">G58*$Q3</f>
        <v>101.6</v>
      </c>
      <c r="T58" s="57" t="n">
        <f aca="false">H58*$Q3</f>
        <v>87.2</v>
      </c>
      <c r="U58" s="57" t="n">
        <f aca="false">I58*$Q3</f>
        <v>122.4</v>
      </c>
      <c r="V58" s="57" t="n">
        <f aca="false">J58*$Q3</f>
        <v>132.4</v>
      </c>
      <c r="W58" s="57" t="n">
        <f aca="false">K58*$Q3</f>
        <v>76</v>
      </c>
      <c r="X58" s="57" t="n">
        <f aca="false">L58*$Q3</f>
        <v>91.6</v>
      </c>
      <c r="Y58" s="57" t="n">
        <f aca="false">M58*$Q3</f>
        <v>88.4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 t="s">
        <v>91</v>
      </c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 t="s">
        <v>91</v>
      </c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 t="s">
        <v>91</v>
      </c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8</v>
      </c>
      <c r="H62" s="26" t="n">
        <v>2</v>
      </c>
      <c r="I62" s="26" t="n">
        <v>16</v>
      </c>
      <c r="J62" s="26" t="n">
        <v>15</v>
      </c>
      <c r="K62" s="26" t="n">
        <v>3</v>
      </c>
      <c r="L62" s="26" t="n">
        <v>6</v>
      </c>
      <c r="M62" s="26" t="n">
        <v>5</v>
      </c>
      <c r="P62" s="9" t="s">
        <v>66</v>
      </c>
      <c r="Q62" s="9"/>
      <c r="R62" s="9"/>
      <c r="S62" s="57" t="n">
        <f aca="false">G62*$Q3</f>
        <v>3.2</v>
      </c>
      <c r="T62" s="57" t="n">
        <f aca="false">H62*$Q3</f>
        <v>0.8</v>
      </c>
      <c r="U62" s="57" t="n">
        <f aca="false">I62*$Q3</f>
        <v>6.4</v>
      </c>
      <c r="V62" s="57" t="n">
        <f aca="false">J62*$Q3</f>
        <v>6</v>
      </c>
      <c r="W62" s="57" t="n">
        <f aca="false">K62*$Q3</f>
        <v>1.2</v>
      </c>
      <c r="X62" s="57" t="n">
        <f aca="false">L62*$Q3</f>
        <v>2.4</v>
      </c>
      <c r="Y62" s="57" t="n">
        <f aca="false">M62*$Q3</f>
        <v>2</v>
      </c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 t="n">
        <v>8</v>
      </c>
      <c r="J63" s="26" t="n">
        <v>6</v>
      </c>
      <c r="K63" s="26"/>
      <c r="L63" s="26" t="n">
        <v>2</v>
      </c>
      <c r="M63" s="26" t="n">
        <v>2</v>
      </c>
      <c r="P63" s="9" t="s">
        <v>67</v>
      </c>
      <c r="Q63" s="9"/>
      <c r="R63" s="9"/>
      <c r="S63" s="57" t="s">
        <v>91</v>
      </c>
      <c r="T63" s="57"/>
      <c r="U63" s="57" t="n">
        <f aca="false">I63*$Q3</f>
        <v>3.2</v>
      </c>
      <c r="V63" s="57" t="n">
        <f aca="false">J63*$Q3</f>
        <v>2.4</v>
      </c>
      <c r="W63" s="57"/>
      <c r="X63" s="57" t="n">
        <f aca="false">L63*$Q3</f>
        <v>0.8</v>
      </c>
      <c r="Y63" s="57" t="n">
        <f aca="false">M63*$Q3</f>
        <v>0.8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3</v>
      </c>
      <c r="H64" s="26" t="n">
        <v>4</v>
      </c>
      <c r="I64" s="26" t="n">
        <v>2</v>
      </c>
      <c r="J64" s="26" t="n">
        <v>4</v>
      </c>
      <c r="K64" s="26" t="n">
        <v>3</v>
      </c>
      <c r="L64" s="26" t="n">
        <v>3</v>
      </c>
      <c r="M64" s="26" t="n">
        <v>2</v>
      </c>
      <c r="P64" s="9" t="s">
        <v>68</v>
      </c>
      <c r="Q64" s="9"/>
      <c r="R64" s="9"/>
      <c r="S64" s="57" t="n">
        <f aca="false">G64*$Q3</f>
        <v>1.2</v>
      </c>
      <c r="T64" s="57" t="n">
        <f aca="false">H64*$Q3</f>
        <v>1.6</v>
      </c>
      <c r="U64" s="57" t="n">
        <f aca="false">I64*$Q3</f>
        <v>0.8</v>
      </c>
      <c r="V64" s="57" t="n">
        <f aca="false">J64*$Q3</f>
        <v>1.6</v>
      </c>
      <c r="W64" s="57" t="n">
        <f aca="false">K64*$Q3</f>
        <v>1.2</v>
      </c>
      <c r="X64" s="57" t="n">
        <f aca="false">L64*$Q3</f>
        <v>1.2</v>
      </c>
      <c r="Y64" s="57" t="n">
        <f aca="false">M64*$Q3</f>
        <v>0.8</v>
      </c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 t="n">
        <v>1</v>
      </c>
      <c r="J65" s="26"/>
      <c r="K65" s="26"/>
      <c r="L65" s="26" t="n">
        <v>1</v>
      </c>
      <c r="M65" s="26"/>
      <c r="P65" s="9" t="s">
        <v>69</v>
      </c>
      <c r="Q65" s="9"/>
      <c r="R65" s="9"/>
      <c r="S65" s="57" t="s">
        <v>91</v>
      </c>
      <c r="T65" s="57"/>
      <c r="U65" s="57" t="n">
        <f aca="false">I65*$Q3</f>
        <v>0.4</v>
      </c>
      <c r="V65" s="57"/>
      <c r="W65" s="57"/>
      <c r="X65" s="57" t="n">
        <f aca="false">L65*$Q3</f>
        <v>0.4</v>
      </c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 t="s">
        <v>91</v>
      </c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35</v>
      </c>
      <c r="H67" s="26" t="n">
        <v>34</v>
      </c>
      <c r="I67" s="26" t="n">
        <v>23</v>
      </c>
      <c r="J67" s="26" t="n">
        <v>23</v>
      </c>
      <c r="K67" s="26" t="n">
        <v>15</v>
      </c>
      <c r="L67" s="26" t="n">
        <v>8</v>
      </c>
      <c r="M67" s="26" t="n">
        <v>13</v>
      </c>
      <c r="P67" s="9" t="s">
        <v>71</v>
      </c>
      <c r="Q67" s="9"/>
      <c r="R67" s="9"/>
      <c r="S67" s="57" t="n">
        <f aca="false">G67*$Q3</f>
        <v>14</v>
      </c>
      <c r="T67" s="57" t="n">
        <f aca="false">H67*$Q3</f>
        <v>13.6</v>
      </c>
      <c r="U67" s="57" t="n">
        <f aca="false">I67*$Q3</f>
        <v>9.2</v>
      </c>
      <c r="V67" s="57" t="n">
        <f aca="false">J67*$Q3</f>
        <v>9.2</v>
      </c>
      <c r="W67" s="57" t="n">
        <f aca="false">K67*$Q3</f>
        <v>6</v>
      </c>
      <c r="X67" s="57" t="n">
        <f aca="false">L67*$Q3</f>
        <v>3.2</v>
      </c>
      <c r="Y67" s="57" t="n">
        <f aca="false">M67*$Q3</f>
        <v>5.2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14</v>
      </c>
      <c r="H68" s="30" t="n">
        <v>11</v>
      </c>
      <c r="I68" s="30" t="n">
        <v>5</v>
      </c>
      <c r="J68" s="30" t="n">
        <v>4</v>
      </c>
      <c r="K68" s="30" t="n">
        <v>7</v>
      </c>
      <c r="L68" s="30" t="n">
        <v>4</v>
      </c>
      <c r="M68" s="30" t="n">
        <v>2</v>
      </c>
      <c r="P68" s="9" t="s">
        <v>72</v>
      </c>
      <c r="Q68" s="9"/>
      <c r="R68" s="9"/>
      <c r="S68" s="57" t="n">
        <f aca="false">G68*$Q3</f>
        <v>5.6</v>
      </c>
      <c r="T68" s="57" t="n">
        <f aca="false">H68*$Q3</f>
        <v>4.4</v>
      </c>
      <c r="U68" s="57" t="n">
        <f aca="false">I68*$Q3</f>
        <v>2</v>
      </c>
      <c r="V68" s="57" t="n">
        <f aca="false">J68*$Q3</f>
        <v>1.6</v>
      </c>
      <c r="W68" s="57" t="n">
        <f aca="false">K68*$Q3</f>
        <v>2.8</v>
      </c>
      <c r="X68" s="57" t="n">
        <f aca="false">L68*$Q3</f>
        <v>1.6</v>
      </c>
      <c r="Y68" s="57" t="n">
        <f aca="false">M68*$Q3</f>
        <v>0.8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90</v>
      </c>
      <c r="H69" s="30" t="n">
        <v>61</v>
      </c>
      <c r="I69" s="30" t="n">
        <v>38</v>
      </c>
      <c r="J69" s="30" t="n">
        <v>44</v>
      </c>
      <c r="K69" s="30" t="n">
        <v>36</v>
      </c>
      <c r="L69" s="30" t="n">
        <v>41</v>
      </c>
      <c r="M69" s="30" t="n">
        <v>23</v>
      </c>
      <c r="P69" s="9" t="s">
        <v>73</v>
      </c>
      <c r="Q69" s="9"/>
      <c r="R69" s="9"/>
      <c r="S69" s="57" t="n">
        <f aca="false">G69*$Q3</f>
        <v>36</v>
      </c>
      <c r="T69" s="57" t="n">
        <f aca="false">H69*$Q3</f>
        <v>24.4</v>
      </c>
      <c r="U69" s="57" t="n">
        <f aca="false">I69*$Q3</f>
        <v>15.2</v>
      </c>
      <c r="V69" s="57" t="n">
        <f aca="false">J69*$Q3</f>
        <v>17.6</v>
      </c>
      <c r="W69" s="57" t="n">
        <f aca="false">K69*$Q3</f>
        <v>14.4</v>
      </c>
      <c r="X69" s="57" t="n">
        <f aca="false">L69*$Q3</f>
        <v>16.4</v>
      </c>
      <c r="Y69" s="57" t="n">
        <f aca="false">M69*$Q3</f>
        <v>9.2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SUM(G58,G62,G64,G67,G68,G69)</f>
        <v>404</v>
      </c>
      <c r="H70" s="60" t="n">
        <f aca="false">SUM(H58,H62,H64,H67,H68,H69)</f>
        <v>330</v>
      </c>
      <c r="I70" s="60" t="n">
        <f aca="false">SUM(I58,I62,I63,I64,I65,I68,I67,I69)</f>
        <v>399</v>
      </c>
      <c r="J70" s="60" t="n">
        <f aca="false">SUM(J58,J62,J63,J64,J67,J68,J69)</f>
        <v>427</v>
      </c>
      <c r="K70" s="12" t="n">
        <f aca="false">SUM(K69,K68,K67,K64,K62,K58)</f>
        <v>254</v>
      </c>
      <c r="L70" s="12" t="n">
        <f aca="false">SUM(L58,L62,L63,L64,L65,L67,L68,L69)</f>
        <v>294</v>
      </c>
      <c r="M70" s="12" t="n">
        <f aca="false">SUM(M58,M62,M63,M64,M67,M68,M69)</f>
        <v>268</v>
      </c>
      <c r="P70" s="9" t="s">
        <v>60</v>
      </c>
      <c r="Q70" s="9"/>
      <c r="R70" s="9"/>
      <c r="S70" s="61" t="n">
        <f aca="false">G70*$Q3</f>
        <v>161.6</v>
      </c>
      <c r="T70" s="61" t="n">
        <f aca="false">H70*$Q3</f>
        <v>132</v>
      </c>
      <c r="U70" s="61" t="n">
        <f aca="false">I70*$Q3</f>
        <v>159.6</v>
      </c>
      <c r="V70" s="61" t="n">
        <f aca="false">J70*$Q3</f>
        <v>170.8</v>
      </c>
      <c r="W70" s="61" t="n">
        <f aca="false">K70*$Q3</f>
        <v>101.6</v>
      </c>
      <c r="X70" s="61" t="n">
        <f aca="false">L70*$Q3</f>
        <v>117.6</v>
      </c>
      <c r="Y70" s="61" t="n">
        <f aca="false">M70*$Q3</f>
        <v>107.2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L28" colorId="64" zoomScale="85" zoomScaleNormal="85" zoomScalePageLayoutView="100" workbookViewId="0">
      <selection pane="topLeft" activeCell="S58" activeCellId="0" sqref="S58"/>
    </sheetView>
  </sheetViews>
  <sheetFormatPr defaultColWidth="11.4257812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45103</v>
      </c>
      <c r="K3" s="5" t="n">
        <v>45110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45103</v>
      </c>
      <c r="W3" s="5" t="n">
        <v>45110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4</v>
      </c>
      <c r="H7" s="13" t="n">
        <v>9</v>
      </c>
      <c r="I7" s="13" t="n">
        <v>3</v>
      </c>
      <c r="J7" s="13" t="n">
        <v>6</v>
      </c>
      <c r="K7" s="13" t="n">
        <v>1</v>
      </c>
      <c r="L7" s="13" t="n">
        <v>5</v>
      </c>
      <c r="M7" s="13" t="n">
        <v>1</v>
      </c>
      <c r="P7" s="12" t="s">
        <v>14</v>
      </c>
      <c r="Q7" s="12"/>
      <c r="R7" s="12"/>
      <c r="S7" s="14" t="n">
        <f aca="false">Tabella52791124791618202224262830323436384042444648505254565860626466[[#This Row],[Colonna1]]*$Q3</f>
        <v>1.6</v>
      </c>
      <c r="T7" s="14" t="n">
        <f aca="false">Tabella52791124791618202224262830323436384042444648505254565860626466[[#This Row],[Colonna2]]*$Q3</f>
        <v>3.6</v>
      </c>
      <c r="U7" s="14" t="n">
        <f aca="false">Tabella52791124791618202224262830323436384042444648505254565860626466[[#This Row],[Colonna3]]*$Q3</f>
        <v>1.2</v>
      </c>
      <c r="V7" s="14" t="n">
        <f aca="false">Tabella52791124791618202224262830323436384042444648505254565860626466[[#This Row],[Colonna4]]*$Q3</f>
        <v>2.4</v>
      </c>
      <c r="W7" s="14" t="n">
        <f aca="false">Tabella52791124791618202224262830323436384042444648505254565860626466[[#This Row],[Colonna5]]*$Q3</f>
        <v>0.4</v>
      </c>
      <c r="X7" s="14" t="n">
        <f aca="false">Tabella52791124791618202224262830323436384042444648505254565860626466[[#This Row],[Colonna6]]*$Q3</f>
        <v>2</v>
      </c>
      <c r="Y7" s="14" t="n">
        <f aca="false">Tabella52791124791618202224262830323436384042444648505254565860626466[[#This Row],[Colonna7]]*$Q3</f>
        <v>0.4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1</v>
      </c>
      <c r="H12" s="13" t="n">
        <v>1</v>
      </c>
      <c r="I12" s="13" t="n">
        <v>3</v>
      </c>
      <c r="J12" s="13" t="n">
        <v>1</v>
      </c>
      <c r="K12" s="13" t="n">
        <v>1</v>
      </c>
      <c r="L12" s="13"/>
      <c r="M12" s="13"/>
      <c r="P12" s="12" t="s">
        <v>19</v>
      </c>
      <c r="Q12" s="12"/>
      <c r="R12" s="12"/>
      <c r="S12" s="14" t="n">
        <f aca="false">Tabella52791124791618202224262830323436384042444648505254565860626466[[#This Row],[Colonna1]]*$Q3</f>
        <v>0.4</v>
      </c>
      <c r="T12" s="14" t="n">
        <f aca="false">Tabella52791124791618202224262830323436384042444648505254565860626466[[#This Row],[Colonna2]]*$Q3</f>
        <v>0.4</v>
      </c>
      <c r="U12" s="14" t="n">
        <f aca="false">Tabella52791124791618202224262830323436384042444648505254565860626466[[#This Row],[Colonna3]]*$Q3</f>
        <v>1.2</v>
      </c>
      <c r="V12" s="14" t="n">
        <f aca="false">Tabella52791124791618202224262830323436384042444648505254565860626466[[#This Row],[Colonna4]]*$Q3</f>
        <v>0.4</v>
      </c>
      <c r="W12" s="14" t="n">
        <f aca="false">Tabella52791124791618202224262830323436384042444648505254565860626466[[#This Row],[Colonna5]]*$Q3</f>
        <v>0.4</v>
      </c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3</v>
      </c>
      <c r="H22" s="13" t="n">
        <v>9</v>
      </c>
      <c r="I22" s="13" t="n">
        <v>7</v>
      </c>
      <c r="J22" s="13" t="n">
        <v>15</v>
      </c>
      <c r="K22" s="13" t="n">
        <v>6</v>
      </c>
      <c r="L22" s="13" t="n">
        <v>3</v>
      </c>
      <c r="M22" s="13" t="n">
        <v>3</v>
      </c>
      <c r="P22" s="12" t="s">
        <v>29</v>
      </c>
      <c r="Q22" s="12"/>
      <c r="R22" s="12"/>
      <c r="S22" s="14" t="n">
        <f aca="false">Tabella52791124791618202224262830323436384042444648505254565860626466[[#This Row],[Colonna1]]*$Q3</f>
        <v>1.2</v>
      </c>
      <c r="T22" s="14" t="n">
        <f aca="false">Tabella52791124791618202224262830323436384042444648505254565860626466[[#This Row],[Colonna2]]*$Q3</f>
        <v>3.6</v>
      </c>
      <c r="U22" s="14" t="n">
        <f aca="false">Tabella52791124791618202224262830323436384042444648505254565860626466[[#This Row],[Colonna3]]*$Q3</f>
        <v>2.8</v>
      </c>
      <c r="V22" s="14" t="n">
        <f aca="false">Tabella52791124791618202224262830323436384042444648505254565860626466[[#This Row],[Colonna4]]*$Q3</f>
        <v>6</v>
      </c>
      <c r="W22" s="14" t="n">
        <f aca="false">Tabella52791124791618202224262830323436384042444648505254565860626466[[#This Row],[Colonna5]]*$Q3</f>
        <v>2.4</v>
      </c>
      <c r="X22" s="14" t="n">
        <f aca="false">Tabella52791124791618202224262830323436384042444648505254565860626466[[#This Row],[Colonna6]]*$Q3</f>
        <v>1.2</v>
      </c>
      <c r="Y22" s="14" t="n">
        <f aca="false">Tabella52791124791618202224262830323436384042444648505254565860626466[[#This Row],[Colonna7]]*$Q3</f>
        <v>1.2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2</v>
      </c>
      <c r="H26" s="13" t="n">
        <v>199</v>
      </c>
      <c r="I26" s="13" t="n">
        <v>10</v>
      </c>
      <c r="J26" s="13" t="n">
        <v>8</v>
      </c>
      <c r="K26" s="13" t="n">
        <v>11</v>
      </c>
      <c r="L26" s="13" t="n">
        <v>8</v>
      </c>
      <c r="M26" s="13" t="n">
        <v>162</v>
      </c>
      <c r="P26" s="12" t="s">
        <v>33</v>
      </c>
      <c r="Q26" s="12"/>
      <c r="R26" s="12"/>
      <c r="S26" s="14" t="n">
        <f aca="false">Tabella52791124791618202224262830323436384042444648505254565860626466[[#This Row],[Colonna1]]*$Q3</f>
        <v>0.8</v>
      </c>
      <c r="T26" s="14" t="n">
        <f aca="false">Tabella52791124791618202224262830323436384042444648505254565860626466[[#This Row],[Colonna2]]*$Q3</f>
        <v>79.6</v>
      </c>
      <c r="U26" s="14" t="n">
        <f aca="false">Tabella52791124791618202224262830323436384042444648505254565860626466[[#This Row],[Colonna3]]*$Q3</f>
        <v>4</v>
      </c>
      <c r="V26" s="14" t="n">
        <f aca="false">Tabella52791124791618202224262830323436384042444648505254565860626466[[#This Row],[Colonna4]]*$Q3</f>
        <v>3.2</v>
      </c>
      <c r="W26" s="14" t="n">
        <f aca="false">Tabella52791124791618202224262830323436384042444648505254565860626466[[#This Row],[Colonna5]]*$Q3</f>
        <v>4.4</v>
      </c>
      <c r="X26" s="14" t="n">
        <f aca="false">Tabella52791124791618202224262830323436384042444648505254565860626466[[#This Row],[Colonna6]]*$Q3</f>
        <v>3.2</v>
      </c>
      <c r="Y26" s="14" t="n">
        <f aca="false">Tabella52791124791618202224262830323436384042444648505254565860626466[[#This Row],[Colonna7]]*$Q3</f>
        <v>64.8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42</v>
      </c>
      <c r="H29" s="13" t="n">
        <v>75</v>
      </c>
      <c r="I29" s="13" t="n">
        <v>33</v>
      </c>
      <c r="J29" s="13" t="n">
        <v>53</v>
      </c>
      <c r="K29" s="13" t="n">
        <v>7</v>
      </c>
      <c r="L29" s="13" t="n">
        <v>9</v>
      </c>
      <c r="M29" s="13" t="n">
        <v>8</v>
      </c>
      <c r="P29" s="12" t="s">
        <v>36</v>
      </c>
      <c r="Q29" s="12"/>
      <c r="R29" s="12"/>
      <c r="S29" s="14" t="n">
        <f aca="false">Tabella52791124791618202224262830323436384042444648505254565860626466[[#This Row],[Colonna1]]*$Q3</f>
        <v>16.8</v>
      </c>
      <c r="T29" s="14" t="n">
        <f aca="false">Tabella52791124791618202224262830323436384042444648505254565860626466[[#This Row],[Colonna2]]*$Q3</f>
        <v>30</v>
      </c>
      <c r="U29" s="14" t="n">
        <f aca="false">Tabella52791124791618202224262830323436384042444648505254565860626466[[#This Row],[Colonna3]]*$Q3</f>
        <v>13.2</v>
      </c>
      <c r="V29" s="14" t="n">
        <f aca="false">Tabella52791124791618202224262830323436384042444648505254565860626466[[#This Row],[Colonna4]]*$Q3</f>
        <v>21.2</v>
      </c>
      <c r="W29" s="14" t="n">
        <f aca="false">Tabella52791124791618202224262830323436384042444648505254565860626466[[#This Row],[Colonna5]]*$Q3</f>
        <v>2.8</v>
      </c>
      <c r="X29" s="14" t="n">
        <f aca="false">Tabella52791124791618202224262830323436384042444648505254565860626466[[#This Row],[Colonna6]]*$Q3</f>
        <v>3.6</v>
      </c>
      <c r="Y29" s="14" t="n">
        <f aca="false">Tabella52791124791618202224262830323436384042444648505254565860626466[[#This Row],[Colonna7]]*$Q3</f>
        <v>3.2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 t="n">
        <v>1</v>
      </c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 t="n">
        <f aca="false">Tabella52791124791618202224262830323436384042444648505254565860626466[[#This Row],[Colonna4]]*$Q3</f>
        <v>0.4</v>
      </c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 t="n">
        <v>1</v>
      </c>
      <c r="I38" s="13" t="n">
        <v>1</v>
      </c>
      <c r="J38" s="13" t="n">
        <v>1</v>
      </c>
      <c r="K38" s="13"/>
      <c r="L38" s="13"/>
      <c r="M38" s="13"/>
      <c r="P38" s="16" t="s">
        <v>45</v>
      </c>
      <c r="Q38" s="16"/>
      <c r="R38" s="16"/>
      <c r="S38" s="14"/>
      <c r="T38" s="14" t="n">
        <f aca="false">Tabella52791124791618202224262830323436384042444648505254565860626466[[#This Row],[Colonna2]]*$Q3</f>
        <v>0.4</v>
      </c>
      <c r="U38" s="14" t="n">
        <f aca="false">Tabella52791124791618202224262830323436384042444648505254565860626466[[#This Row],[Colonna3]]*$Q3</f>
        <v>0.4</v>
      </c>
      <c r="V38" s="14" t="n">
        <f aca="false">Tabella52791124791618202224262830323436384042444648505254565860626466[[#This Row],[Colonna4]]*$Q3</f>
        <v>0.4</v>
      </c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 t="n">
        <v>1</v>
      </c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 t="n">
        <f aca="false">Tabella52791124791618202224262830323436384042444648505254565860626466[[#This Row],[Colonna2]]*$Q3</f>
        <v>0.4</v>
      </c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 t="n">
        <v>1</v>
      </c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 t="n">
        <f aca="false">Tabella52791124791618202224262830323436384042444648505254565860626466[[#This Row],[Colonna2]]*$Q3</f>
        <v>0.4</v>
      </c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17</v>
      </c>
      <c r="H41" s="13" t="n">
        <v>16</v>
      </c>
      <c r="I41" s="13" t="n">
        <v>10</v>
      </c>
      <c r="J41" s="13" t="n">
        <v>11</v>
      </c>
      <c r="K41" s="13" t="n">
        <v>3</v>
      </c>
      <c r="L41" s="13" t="n">
        <v>1</v>
      </c>
      <c r="M41" s="13"/>
      <c r="P41" s="18" t="s">
        <v>48</v>
      </c>
      <c r="Q41" s="18"/>
      <c r="R41" s="18"/>
      <c r="S41" s="14" t="n">
        <f aca="false">Tabella52791124791618202224262830323436384042444648505254565860626466[[#This Row],[Colonna1]]*$Q3</f>
        <v>6.8</v>
      </c>
      <c r="T41" s="14" t="n">
        <f aca="false">Tabella52791124791618202224262830323436384042444648505254565860626466[[#This Row],[Colonna2]]*$Q3</f>
        <v>6.4</v>
      </c>
      <c r="U41" s="14" t="n">
        <f aca="false">Tabella52791124791618202224262830323436384042444648505254565860626466[[#This Row],[Colonna3]]*$Q3</f>
        <v>4</v>
      </c>
      <c r="V41" s="14" t="n">
        <f aca="false">Tabella52791124791618202224262830323436384042444648505254565860626466[[#This Row],[Colonna4]]*$Q3</f>
        <v>4.4</v>
      </c>
      <c r="W41" s="14" t="n">
        <f aca="false">Tabella52791124791618202224262830323436384042444648505254565860626466[[#This Row],[Colonna5]]*$Q3</f>
        <v>1.2</v>
      </c>
      <c r="X41" s="14" t="n">
        <f aca="false">Tabella52791124791618202224262830323436384042444648505254565860626466[[#This Row],[Colonna6]]*$Q3</f>
        <v>0.4</v>
      </c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15</v>
      </c>
      <c r="H42" s="13" t="n">
        <v>20</v>
      </c>
      <c r="I42" s="13" t="n">
        <v>33</v>
      </c>
      <c r="J42" s="13" t="n">
        <v>21</v>
      </c>
      <c r="K42" s="13" t="n">
        <v>5</v>
      </c>
      <c r="L42" s="13" t="n">
        <v>8</v>
      </c>
      <c r="M42" s="13" t="n">
        <v>6</v>
      </c>
      <c r="P42" s="9" t="s">
        <v>49</v>
      </c>
      <c r="Q42" s="9"/>
      <c r="R42" s="9"/>
      <c r="S42" s="14" t="n">
        <f aca="false">Tabella52791124791618202224262830323436384042444648505254565860626466[[#This Row],[Colonna1]]*$Q3</f>
        <v>6</v>
      </c>
      <c r="T42" s="14" t="n">
        <f aca="false">Tabella52791124791618202224262830323436384042444648505254565860626466[[#This Row],[Colonna2]]*$Q3</f>
        <v>8</v>
      </c>
      <c r="U42" s="14" t="n">
        <f aca="false">Tabella52791124791618202224262830323436384042444648505254565860626466[[#This Row],[Colonna3]]*$Q3</f>
        <v>13.2</v>
      </c>
      <c r="V42" s="14" t="n">
        <f aca="false">Tabella52791124791618202224262830323436384042444648505254565860626466[[#This Row],[Colonna4]]*$Q3</f>
        <v>8.4</v>
      </c>
      <c r="W42" s="14" t="n">
        <f aca="false">Tabella52791124791618202224262830323436384042444648505254565860626466[[#This Row],[Colonna5]]*$Q3</f>
        <v>2</v>
      </c>
      <c r="X42" s="14" t="n">
        <f aca="false">Tabella52791124791618202224262830323436384042444648505254565860626466[[#This Row],[Colonna6]]*$Q3</f>
        <v>3.2</v>
      </c>
      <c r="Y42" s="14" t="n">
        <f aca="false">Tabella52791124791618202224262830323436384042444648505254565860626466[[#This Row],[Colonna7]]*$Q3</f>
        <v>2.4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9</v>
      </c>
      <c r="H44" s="13" t="n">
        <v>10</v>
      </c>
      <c r="I44" s="13" t="n">
        <v>11</v>
      </c>
      <c r="J44" s="13" t="n">
        <v>17</v>
      </c>
      <c r="K44" s="13" t="n">
        <v>5</v>
      </c>
      <c r="L44" s="13" t="n">
        <v>3</v>
      </c>
      <c r="M44" s="13" t="n">
        <v>4</v>
      </c>
      <c r="P44" s="12" t="s">
        <v>51</v>
      </c>
      <c r="Q44" s="12"/>
      <c r="R44" s="12"/>
      <c r="S44" s="14" t="n">
        <f aca="false">Tabella52791124791618202224262830323436384042444648505254565860626466[[#This Row],[Colonna1]]*$Q3</f>
        <v>3.6</v>
      </c>
      <c r="T44" s="14" t="n">
        <f aca="false">Tabella52791124791618202224262830323436384042444648505254565860626466[[#This Row],[Colonna2]]*$Q3</f>
        <v>4</v>
      </c>
      <c r="U44" s="14" t="n">
        <f aca="false">Tabella52791124791618202224262830323436384042444648505254565860626466[[#This Row],[Colonna3]]*$Q3</f>
        <v>4.4</v>
      </c>
      <c r="V44" s="14" t="n">
        <f aca="false">Tabella52791124791618202224262830323436384042444648505254565860626466[[#This Row],[Colonna4]]*$Q3</f>
        <v>6.8</v>
      </c>
      <c r="W44" s="14" t="n">
        <f aca="false">Tabella52791124791618202224262830323436384042444648505254565860626466[[#This Row],[Colonna5]]*$Q3</f>
        <v>2</v>
      </c>
      <c r="X44" s="14" t="n">
        <f aca="false">Tabella52791124791618202224262830323436384042444648505254565860626466[[#This Row],[Colonna6]]*$Q3</f>
        <v>1.2</v>
      </c>
      <c r="Y44" s="14" t="n">
        <f aca="false">Tabella52791124791618202224262830323436384042444648505254565860626466[[#This Row],[Colonna7]]*$Q3</f>
        <v>1.6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2</v>
      </c>
      <c r="H49" s="13" t="n">
        <v>2</v>
      </c>
      <c r="I49" s="13" t="n">
        <v>3</v>
      </c>
      <c r="J49" s="13" t="n">
        <v>1</v>
      </c>
      <c r="K49" s="13" t="n">
        <v>1</v>
      </c>
      <c r="L49" s="13" t="n">
        <v>4</v>
      </c>
      <c r="M49" s="13" t="n">
        <v>1</v>
      </c>
      <c r="P49" s="18" t="s">
        <v>56</v>
      </c>
      <c r="Q49" s="18"/>
      <c r="R49" s="18"/>
      <c r="S49" s="14" t="n">
        <f aca="false">Tabella52791124791618202224262830323436384042444648505254565860626466[[#This Row],[Colonna1]]*$Q3</f>
        <v>0.8</v>
      </c>
      <c r="T49" s="14" t="n">
        <f aca="false">Tabella52791124791618202224262830323436384042444648505254565860626466[[#This Row],[Colonna2]]*$Q3</f>
        <v>0.8</v>
      </c>
      <c r="U49" s="14" t="n">
        <f aca="false">Tabella52791124791618202224262830323436384042444648505254565860626466[[#This Row],[Colonna3]]*$Q3</f>
        <v>1.2</v>
      </c>
      <c r="V49" s="14" t="n">
        <f aca="false">Tabella52791124791618202224262830323436384042444648505254565860626466[[#This Row],[Colonna4]]*$Q3</f>
        <v>0.4</v>
      </c>
      <c r="W49" s="14" t="n">
        <f aca="false">Tabella52791124791618202224262830323436384042444648505254565860626466[[#This Row],[Colonna5]]*$Q3</f>
        <v>0.4</v>
      </c>
      <c r="X49" s="14" t="n">
        <f aca="false">Tabella52791124791618202224262830323436384042444648505254565860626466[[#This Row],[Colonna6]]*$Q3</f>
        <v>1.6</v>
      </c>
      <c r="Y49" s="14" t="n">
        <f aca="false">Tabella52791124791618202224262830323436384042444648505254565860626466[[#This Row],[Colonna7]]*$Q3</f>
        <v>0.4</v>
      </c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11</v>
      </c>
      <c r="H52" s="13" t="n">
        <v>13</v>
      </c>
      <c r="I52" s="13" t="n">
        <v>13</v>
      </c>
      <c r="J52" s="13" t="n">
        <v>18</v>
      </c>
      <c r="K52" s="13" t="n">
        <v>5</v>
      </c>
      <c r="L52" s="13" t="n">
        <v>4</v>
      </c>
      <c r="M52" s="13" t="n">
        <v>11</v>
      </c>
      <c r="P52" s="12" t="s">
        <v>59</v>
      </c>
      <c r="Q52" s="12"/>
      <c r="R52" s="12"/>
      <c r="S52" s="14" t="n">
        <f aca="false">Tabella52791124791618202224262830323436384042444648505254565860626466[[#This Row],[Colonna1]]*$Q3</f>
        <v>4.4</v>
      </c>
      <c r="T52" s="14" t="n">
        <f aca="false">Tabella52791124791618202224262830323436384042444648505254565860626466[[#This Row],[Colonna2]]*$Q3</f>
        <v>5.2</v>
      </c>
      <c r="U52" s="14" t="n">
        <f aca="false">Tabella52791124791618202224262830323436384042444648505254565860626466[[#This Row],[Colonna3]]*$Q3</f>
        <v>5.2</v>
      </c>
      <c r="V52" s="14" t="n">
        <f aca="false">Tabella52791124791618202224262830323436384042444648505254565860626466[[#This Row],[Colonna4]]*$Q3</f>
        <v>7.2</v>
      </c>
      <c r="W52" s="14" t="n">
        <f aca="false">Tabella52791124791618202224262830323436384042444648505254565860626466[[#This Row],[Colonna5]]*$Q3</f>
        <v>2</v>
      </c>
      <c r="X52" s="14" t="n">
        <f aca="false">Tabella52791124791618202224262830323436384042444648505254565860626466[[#This Row],[Colonna6]]*$Q3</f>
        <v>1.6</v>
      </c>
      <c r="Y52" s="14" t="n">
        <f aca="false">Tabella52791124791618202224262830323436384042444648505254565860626466[[#This Row],[Colonna7]]*$Q3</f>
        <v>4.4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SUM(G52,G49,G44,G42,G41,G29,G26,G22,G12,G7)</f>
        <v>106</v>
      </c>
      <c r="H53" s="55" t="n">
        <f aca="false">SUM(H52,H49,H44,H42,H41,H40,H39,H38,H29,H26,H22,H12,H7)</f>
        <v>357</v>
      </c>
      <c r="I53" s="55" t="n">
        <f aca="false">SUM(I52,I49,I44,I42,I41,I38,I29,I26,I22,I12,I7)</f>
        <v>127</v>
      </c>
      <c r="J53" s="55" t="n">
        <f aca="false">SUM(J52,J49,J44,J42,J41,J38,J37,J29,J26,J22,J12,J7)</f>
        <v>153</v>
      </c>
      <c r="K53" s="55" t="n">
        <f aca="false">SUM(K49,K52,K44,K42,K41,K29,K26,K22,K12,K7)</f>
        <v>45</v>
      </c>
      <c r="L53" s="55" t="n">
        <f aca="false">SUM(L52,L49,L44,L42,L41,L29,L26,L22,L7)</f>
        <v>45</v>
      </c>
      <c r="M53" s="55" t="n">
        <f aca="false">SUM(M52,M49,M44,M42,M29,M26,M22,M7)</f>
        <v>196</v>
      </c>
      <c r="P53" s="17" t="s">
        <v>60</v>
      </c>
      <c r="Q53" s="17"/>
      <c r="R53" s="17"/>
      <c r="S53" s="56" t="n">
        <f aca="false">Tabella52791124791618202224262830323436384042444648505254565860626466[[#This Row],[Colonna1]]*$Q3</f>
        <v>42.4</v>
      </c>
      <c r="T53" s="56" t="n">
        <f aca="false">Tabella52791124791618202224262830323436384042444648505254565860626466[[#This Row],[Colonna2]]*$Q3</f>
        <v>142.8</v>
      </c>
      <c r="U53" s="56" t="n">
        <f aca="false">Tabella52791124791618202224262830323436384042444648505254565860626466[[#This Row],[Colonna3]]*$Q3</f>
        <v>50.8</v>
      </c>
      <c r="V53" s="56" t="n">
        <f aca="false">Tabella52791124791618202224262830323436384042444648505254565860626466[[#This Row],[Colonna4]]*$Q3</f>
        <v>61.2</v>
      </c>
      <c r="W53" s="56" t="n">
        <f aca="false">Tabella52791124791618202224262830323436384042444648505254565860626466[[#This Row],[Colonna5]]*$Q3</f>
        <v>18</v>
      </c>
      <c r="X53" s="56" t="n">
        <f aca="false">Tabella52791124791618202224262830323436384042444648505254565860626466[[#This Row],[Colonna6]]*$Q3</f>
        <v>18</v>
      </c>
      <c r="Y53" s="56" t="n">
        <f aca="false">Tabella52791124791618202224262830323436384042444648505254565860626466[[#This Row],[Colonna7]]*$Q3</f>
        <v>78.4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279</v>
      </c>
      <c r="H58" s="26" t="n">
        <v>447</v>
      </c>
      <c r="I58" s="26" t="n">
        <v>432</v>
      </c>
      <c r="J58" s="26" t="n">
        <v>707</v>
      </c>
      <c r="K58" s="26" t="n">
        <v>326</v>
      </c>
      <c r="L58" s="26" t="n">
        <v>398</v>
      </c>
      <c r="M58" s="26" t="n">
        <v>319</v>
      </c>
      <c r="P58" s="23" t="s">
        <v>62</v>
      </c>
      <c r="Q58" s="23"/>
      <c r="R58" s="23"/>
      <c r="S58" s="57" t="n">
        <f aca="false">G58*$Q3</f>
        <v>111.6</v>
      </c>
      <c r="T58" s="57" t="n">
        <f aca="false">H58*$Q3</f>
        <v>178.8</v>
      </c>
      <c r="U58" s="57" t="n">
        <f aca="false">I58*$Q3</f>
        <v>172.8</v>
      </c>
      <c r="V58" s="57" t="n">
        <f aca="false">J58*$Q3</f>
        <v>282.8</v>
      </c>
      <c r="W58" s="57" t="n">
        <f aca="false">K58*$Q3</f>
        <v>130.4</v>
      </c>
      <c r="X58" s="57" t="n">
        <f aca="false">L58*$Q3</f>
        <v>159.2</v>
      </c>
      <c r="Y58" s="57" t="n">
        <f aca="false">M58*$Q3</f>
        <v>127.6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8</v>
      </c>
      <c r="H62" s="26" t="n">
        <v>18</v>
      </c>
      <c r="I62" s="26" t="n">
        <v>9</v>
      </c>
      <c r="J62" s="26" t="n">
        <v>19</v>
      </c>
      <c r="K62" s="26" t="n">
        <v>4</v>
      </c>
      <c r="L62" s="26" t="n">
        <v>17</v>
      </c>
      <c r="M62" s="26" t="n">
        <v>14</v>
      </c>
      <c r="P62" s="9" t="s">
        <v>66</v>
      </c>
      <c r="Q62" s="9"/>
      <c r="R62" s="9"/>
      <c r="S62" s="57" t="n">
        <f aca="false">G62*$Q3</f>
        <v>3.2</v>
      </c>
      <c r="T62" s="57" t="n">
        <f aca="false">H62*$Q3</f>
        <v>7.2</v>
      </c>
      <c r="U62" s="57" t="n">
        <f aca="false">I62*$Q3</f>
        <v>3.6</v>
      </c>
      <c r="V62" s="57" t="n">
        <f aca="false">J62*$Q3</f>
        <v>7.6</v>
      </c>
      <c r="W62" s="57" t="n">
        <f aca="false">K62*$Q3</f>
        <v>1.6</v>
      </c>
      <c r="X62" s="57" t="n">
        <f aca="false">L62*$Q3</f>
        <v>6.8</v>
      </c>
      <c r="Y62" s="57" t="n">
        <f aca="false">M62*$Q3</f>
        <v>5.6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2</v>
      </c>
      <c r="H63" s="26" t="n">
        <v>1</v>
      </c>
      <c r="I63" s="26" t="n">
        <v>4</v>
      </c>
      <c r="J63" s="26" t="n">
        <v>2</v>
      </c>
      <c r="K63" s="26" t="n">
        <v>1</v>
      </c>
      <c r="L63" s="26" t="n">
        <v>7</v>
      </c>
      <c r="M63" s="26" t="n">
        <v>2</v>
      </c>
      <c r="P63" s="9" t="s">
        <v>67</v>
      </c>
      <c r="Q63" s="9"/>
      <c r="R63" s="9"/>
      <c r="S63" s="57" t="n">
        <f aca="false">G63*$Q3</f>
        <v>0.8</v>
      </c>
      <c r="T63" s="57" t="n">
        <f aca="false">H63*$Q3</f>
        <v>0.4</v>
      </c>
      <c r="U63" s="57" t="n">
        <f aca="false">I63*$Q3</f>
        <v>1.6</v>
      </c>
      <c r="V63" s="57" t="n">
        <f aca="false">J63*$Q3</f>
        <v>0.8</v>
      </c>
      <c r="W63" s="57" t="n">
        <f aca="false">K63*$Q3</f>
        <v>0.4</v>
      </c>
      <c r="X63" s="57" t="n">
        <f aca="false">L63*$Q3</f>
        <v>2.8</v>
      </c>
      <c r="Y63" s="57" t="n">
        <f aca="false">M63*$Q3</f>
        <v>0.8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6</v>
      </c>
      <c r="H64" s="26" t="n">
        <v>8</v>
      </c>
      <c r="I64" s="26" t="n">
        <v>6</v>
      </c>
      <c r="J64" s="26" t="n">
        <v>3</v>
      </c>
      <c r="K64" s="26" t="n">
        <v>2</v>
      </c>
      <c r="L64" s="26" t="n">
        <v>1</v>
      </c>
      <c r="M64" s="26" t="n">
        <v>1</v>
      </c>
      <c r="P64" s="9" t="s">
        <v>68</v>
      </c>
      <c r="Q64" s="9"/>
      <c r="R64" s="9"/>
      <c r="S64" s="57" t="n">
        <f aca="false">G64*$Q3</f>
        <v>2.4</v>
      </c>
      <c r="T64" s="57" t="n">
        <f aca="false">H64*$Q3</f>
        <v>3.2</v>
      </c>
      <c r="U64" s="57" t="n">
        <f aca="false">I64*$Q3</f>
        <v>2.4</v>
      </c>
      <c r="V64" s="57" t="n">
        <f aca="false">J64*$Q3</f>
        <v>1.2</v>
      </c>
      <c r="W64" s="57" t="n">
        <f aca="false">K64*$Q3</f>
        <v>0.8</v>
      </c>
      <c r="X64" s="57" t="n">
        <f aca="false">L64*$Q3</f>
        <v>0.4</v>
      </c>
      <c r="Y64" s="57" t="n">
        <f aca="false">M64*$Q3</f>
        <v>0.4</v>
      </c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 t="n">
        <v>1</v>
      </c>
      <c r="I65" s="26" t="n">
        <v>1</v>
      </c>
      <c r="J65" s="26"/>
      <c r="K65" s="26" t="n">
        <v>6</v>
      </c>
      <c r="L65" s="26"/>
      <c r="M65" s="26"/>
      <c r="P65" s="9" t="s">
        <v>69</v>
      </c>
      <c r="Q65" s="9"/>
      <c r="R65" s="9"/>
      <c r="S65" s="57"/>
      <c r="T65" s="57" t="n">
        <f aca="false">H65*$Q3</f>
        <v>0.4</v>
      </c>
      <c r="U65" s="57" t="n">
        <f aca="false">I65*$Q3</f>
        <v>0.4</v>
      </c>
      <c r="V65" s="57"/>
      <c r="W65" s="57" t="n">
        <f aca="false">K65*$Q3</f>
        <v>2.4</v>
      </c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29</v>
      </c>
      <c r="H67" s="26" t="n">
        <v>40</v>
      </c>
      <c r="I67" s="26" t="n">
        <v>15</v>
      </c>
      <c r="J67" s="26" t="n">
        <v>23</v>
      </c>
      <c r="K67" s="26" t="n">
        <v>5</v>
      </c>
      <c r="L67" s="26" t="n">
        <v>85</v>
      </c>
      <c r="M67" s="26" t="n">
        <v>57</v>
      </c>
      <c r="P67" s="9" t="s">
        <v>71</v>
      </c>
      <c r="Q67" s="9"/>
      <c r="R67" s="9"/>
      <c r="S67" s="57" t="n">
        <f aca="false">G67*$Q3</f>
        <v>11.6</v>
      </c>
      <c r="T67" s="57" t="n">
        <f aca="false">H67*$Q3</f>
        <v>16</v>
      </c>
      <c r="U67" s="57" t="n">
        <f aca="false">I67*$Q3</f>
        <v>6</v>
      </c>
      <c r="V67" s="57" t="n">
        <f aca="false">J67*$Q3</f>
        <v>9.2</v>
      </c>
      <c r="W67" s="57" t="n">
        <f aca="false">K67*$Q3</f>
        <v>2</v>
      </c>
      <c r="X67" s="57" t="n">
        <f aca="false">L67*$Q3</f>
        <v>34</v>
      </c>
      <c r="Y67" s="57" t="n">
        <f aca="false">M67*$Q3</f>
        <v>22.8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10</v>
      </c>
      <c r="H68" s="30" t="n">
        <v>14</v>
      </c>
      <c r="I68" s="30" t="n">
        <v>20</v>
      </c>
      <c r="J68" s="30" t="n">
        <v>15</v>
      </c>
      <c r="K68" s="30" t="n">
        <v>14</v>
      </c>
      <c r="L68" s="30" t="n">
        <v>2</v>
      </c>
      <c r="M68" s="30" t="n">
        <v>2</v>
      </c>
      <c r="P68" s="9" t="s">
        <v>72</v>
      </c>
      <c r="Q68" s="9"/>
      <c r="R68" s="9"/>
      <c r="S68" s="59" t="n">
        <f aca="false">G68*$Q3</f>
        <v>4</v>
      </c>
      <c r="T68" s="59" t="n">
        <f aca="false">H68*$Q3</f>
        <v>5.6</v>
      </c>
      <c r="U68" s="59" t="n">
        <f aca="false">I68*$Q3</f>
        <v>8</v>
      </c>
      <c r="V68" s="59" t="n">
        <f aca="false">J68*$Q3</f>
        <v>6</v>
      </c>
      <c r="W68" s="59" t="n">
        <f aca="false">K68*$Q3</f>
        <v>5.6</v>
      </c>
      <c r="X68" s="59" t="n">
        <f aca="false">L68*$Q3</f>
        <v>0.8</v>
      </c>
      <c r="Y68" s="59" t="n">
        <f aca="false">M68*$Q3</f>
        <v>0.8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57</v>
      </c>
      <c r="H69" s="30" t="n">
        <v>70</v>
      </c>
      <c r="I69" s="30" t="n">
        <v>30</v>
      </c>
      <c r="J69" s="30" t="n">
        <v>11</v>
      </c>
      <c r="K69" s="30" t="n">
        <v>32</v>
      </c>
      <c r="L69" s="30" t="n">
        <v>13</v>
      </c>
      <c r="M69" s="30" t="n">
        <v>1</v>
      </c>
      <c r="P69" s="9" t="s">
        <v>73</v>
      </c>
      <c r="Q69" s="9"/>
      <c r="R69" s="9"/>
      <c r="S69" s="59" t="n">
        <f aca="false">G69*$Q3</f>
        <v>22.8</v>
      </c>
      <c r="T69" s="59" t="n">
        <f aca="false">H69*$Q3</f>
        <v>28</v>
      </c>
      <c r="U69" s="59" t="n">
        <f aca="false">I69*$Q3</f>
        <v>12</v>
      </c>
      <c r="V69" s="59" t="n">
        <f aca="false">J69*$Q3</f>
        <v>4.4</v>
      </c>
      <c r="W69" s="59" t="n">
        <f aca="false">K69*$Q3</f>
        <v>12.8</v>
      </c>
      <c r="X69" s="59" t="n">
        <f aca="false">L69*$Q3</f>
        <v>5.2</v>
      </c>
      <c r="Y69" s="59" t="n">
        <f aca="false">M69*$Q3</f>
        <v>0.4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SUM(G58,G62,G63,G64,G67,G68,G69)</f>
        <v>391</v>
      </c>
      <c r="H70" s="60" t="n">
        <f aca="false">SUM(H58,H62,H63,H64,H65,H67,H68,H69)</f>
        <v>599</v>
      </c>
      <c r="I70" s="60" t="n">
        <f aca="false">SUM(I58,I62,I63,I64,I65,I67,I68,I69)</f>
        <v>517</v>
      </c>
      <c r="J70" s="60" t="n">
        <f aca="false">SUM(J58,J62,J63,J64,J67,J68,J69)</f>
        <v>780</v>
      </c>
      <c r="K70" s="12" t="n">
        <f aca="false">SUM(K58,K62,K63,K64,K65,K67,K68,K69)</f>
        <v>390</v>
      </c>
      <c r="L70" s="12" t="n">
        <f aca="false">SUM(L58,L62,L63,L64,L67,L68,L69)</f>
        <v>523</v>
      </c>
      <c r="M70" s="12" t="n">
        <f aca="false">SUM(M58,M62,M63,M64,M67,M68,M69)</f>
        <v>396</v>
      </c>
      <c r="P70" s="9" t="s">
        <v>60</v>
      </c>
      <c r="Q70" s="9"/>
      <c r="R70" s="9"/>
      <c r="S70" s="61" t="n">
        <f aca="false">G70*$Q3</f>
        <v>156.4</v>
      </c>
      <c r="T70" s="61" t="n">
        <f aca="false">H70*$Q3</f>
        <v>239.6</v>
      </c>
      <c r="U70" s="61" t="n">
        <f aca="false">I70*$Q3</f>
        <v>206.8</v>
      </c>
      <c r="V70" s="61" t="n">
        <f aca="false">J70*$Q3</f>
        <v>312</v>
      </c>
      <c r="W70" s="61" t="n">
        <f aca="false">K70*$Q3</f>
        <v>156</v>
      </c>
      <c r="X70" s="61" t="n">
        <f aca="false">L70*$Q3</f>
        <v>209.2</v>
      </c>
      <c r="Y70" s="61" t="n">
        <f aca="false">M70*$Q3</f>
        <v>158.4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37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45110</v>
      </c>
      <c r="K3" s="5" t="n">
        <v>45116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45096</v>
      </c>
      <c r="W3" s="5" t="n">
        <v>45102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9</v>
      </c>
      <c r="H7" s="13" t="n">
        <v>4</v>
      </c>
      <c r="I7" s="13" t="n">
        <v>8</v>
      </c>
      <c r="J7" s="13" t="n">
        <v>2</v>
      </c>
      <c r="K7" s="13" t="n">
        <v>1</v>
      </c>
      <c r="L7" s="13" t="n">
        <v>2</v>
      </c>
      <c r="M7" s="13" t="n">
        <v>2</v>
      </c>
      <c r="P7" s="12" t="s">
        <v>14</v>
      </c>
      <c r="Q7" s="12"/>
      <c r="R7" s="12"/>
      <c r="S7" s="14" t="n">
        <f aca="false">Tabella52791124791618202224262830323436384042444648505254565860626468[[#This Row],[Colonna1]]*$Q3</f>
        <v>3.6</v>
      </c>
      <c r="T7" s="14" t="n">
        <f aca="false">Tabella52791124791618202224262830323436384042444648505254565860626468[[#This Row],[Colonna2]]*$Q3</f>
        <v>1.6</v>
      </c>
      <c r="U7" s="14" t="n">
        <f aca="false">Tabella52791124791618202224262830323436384042444648505254565860626468[[#This Row],[Colonna3]]*$Q3</f>
        <v>3.2</v>
      </c>
      <c r="V7" s="14" t="n">
        <f aca="false">Tabella52791124791618202224262830323436384042444648505254565860626468[[#This Row],[Colonna4]]*$Q3</f>
        <v>0.8</v>
      </c>
      <c r="W7" s="14" t="n">
        <f aca="false">Tabella52791124791618202224262830323436384042444648505254565860626468[[#This Row],[Colonna5]]*$Q3</f>
        <v>0.4</v>
      </c>
      <c r="X7" s="14" t="n">
        <f aca="false">Tabella52791124791618202224262830323436384042444648505254565860626468[[#This Row],[Colonna6]]*$Q3</f>
        <v>0.8</v>
      </c>
      <c r="Y7" s="14" t="n">
        <f aca="false">Tabella52791124791618202224262830323436384042444648505254565860626468[[#This Row],[Colonna7]]*$Q3</f>
        <v>0.8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2</v>
      </c>
      <c r="H12" s="13" t="n">
        <v>1</v>
      </c>
      <c r="I12" s="13" t="n">
        <v>1</v>
      </c>
      <c r="J12" s="13" t="n">
        <v>1</v>
      </c>
      <c r="K12" s="13"/>
      <c r="L12" s="13" t="n">
        <v>1</v>
      </c>
      <c r="M12" s="13"/>
      <c r="P12" s="12" t="s">
        <v>19</v>
      </c>
      <c r="Q12" s="12"/>
      <c r="R12" s="12"/>
      <c r="S12" s="14" t="n">
        <f aca="false">Tabella52791124791618202224262830323436384042444648505254565860626468[[#This Row],[Colonna1]]*$Q3</f>
        <v>0.8</v>
      </c>
      <c r="T12" s="14" t="n">
        <f aca="false">Tabella52791124791618202224262830323436384042444648505254565860626468[[#This Row],[Colonna2]]*$Q3</f>
        <v>0.4</v>
      </c>
      <c r="U12" s="14" t="n">
        <f aca="false">Tabella52791124791618202224262830323436384042444648505254565860626468[[#This Row],[Colonna3]]*$Q3</f>
        <v>0.4</v>
      </c>
      <c r="V12" s="14" t="n">
        <f aca="false">Tabella52791124791618202224262830323436384042444648505254565860626468[[#This Row],[Colonna4]]*$Q3</f>
        <v>0.4</v>
      </c>
      <c r="W12" s="14"/>
      <c r="X12" s="14" t="n">
        <f aca="false">Tabella52791124791618202224262830323436384042444648505254565860626468[[#This Row],[Colonna6]]*$Q3</f>
        <v>0.4</v>
      </c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 t="n">
        <v>1</v>
      </c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 t="n">
        <f aca="false">Tabella52791124791618202224262830323436384042444648505254565860626468[[#This Row],[Colonna6]]*$Q3</f>
        <v>0.4</v>
      </c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17</v>
      </c>
      <c r="H22" s="13" t="n">
        <v>9</v>
      </c>
      <c r="I22" s="13" t="n">
        <v>9</v>
      </c>
      <c r="J22" s="13" t="n">
        <v>3</v>
      </c>
      <c r="K22" s="13"/>
      <c r="L22" s="13" t="n">
        <v>1</v>
      </c>
      <c r="M22" s="13"/>
      <c r="P22" s="12" t="s">
        <v>29</v>
      </c>
      <c r="Q22" s="12"/>
      <c r="R22" s="12"/>
      <c r="S22" s="14" t="n">
        <f aca="false">Tabella52791124791618202224262830323436384042444648505254565860626468[[#This Row],[Colonna1]]*$Q3</f>
        <v>6.8</v>
      </c>
      <c r="T22" s="14" t="n">
        <f aca="false">Tabella52791124791618202224262830323436384042444648505254565860626468[[#This Row],[Colonna2]]*$Q3</f>
        <v>3.6</v>
      </c>
      <c r="U22" s="14" t="n">
        <f aca="false">Tabella52791124791618202224262830323436384042444648505254565860626468[[#This Row],[Colonna3]]*$Q3</f>
        <v>3.6</v>
      </c>
      <c r="V22" s="14" t="n">
        <f aca="false">Tabella52791124791618202224262830323436384042444648505254565860626468[[#This Row],[Colonna4]]*$Q3</f>
        <v>1.2</v>
      </c>
      <c r="W22" s="14"/>
      <c r="X22" s="14" t="n">
        <f aca="false">Tabella52791124791618202224262830323436384042444648505254565860626468[[#This Row],[Colonna6]]*$Q3</f>
        <v>0.4</v>
      </c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72</v>
      </c>
      <c r="H26" s="13" t="n">
        <v>18</v>
      </c>
      <c r="I26" s="13" t="n">
        <v>205</v>
      </c>
      <c r="J26" s="13" t="n">
        <v>40</v>
      </c>
      <c r="K26" s="13" t="n">
        <v>18</v>
      </c>
      <c r="L26" s="13" t="n">
        <v>20</v>
      </c>
      <c r="M26" s="13" t="n">
        <v>16</v>
      </c>
      <c r="P26" s="12" t="s">
        <v>33</v>
      </c>
      <c r="Q26" s="12"/>
      <c r="R26" s="12"/>
      <c r="S26" s="14" t="n">
        <f aca="false">Tabella52791124791618202224262830323436384042444648505254565860626468[[#This Row],[Colonna1]]*$Q3</f>
        <v>28.8</v>
      </c>
      <c r="T26" s="14" t="n">
        <f aca="false">Tabella52791124791618202224262830323436384042444648505254565860626468[[#This Row],[Colonna2]]*$Q3</f>
        <v>7.2</v>
      </c>
      <c r="U26" s="14" t="n">
        <f aca="false">Tabella52791124791618202224262830323436384042444648505254565860626468[[#This Row],[Colonna3]]*$Q3</f>
        <v>82</v>
      </c>
      <c r="V26" s="14" t="n">
        <f aca="false">Tabella52791124791618202224262830323436384042444648505254565860626468[[#This Row],[Colonna4]]*$Q3</f>
        <v>16</v>
      </c>
      <c r="W26" s="14" t="n">
        <f aca="false">Tabella52791124791618202224262830323436384042444648505254565860626468[[#This Row],[Colonna5]]*$Q3</f>
        <v>7.2</v>
      </c>
      <c r="X26" s="14" t="n">
        <f aca="false">Tabella52791124791618202224262830323436384042444648505254565860626468[[#This Row],[Colonna6]]*$Q3</f>
        <v>8</v>
      </c>
      <c r="Y26" s="14" t="n">
        <f aca="false">Tabella52791124791618202224262830323436384042444648505254565860626468[[#This Row],[Colonna7]]*$Q3</f>
        <v>6.4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 t="n">
        <v>2</v>
      </c>
      <c r="I28" s="13" t="n">
        <v>2</v>
      </c>
      <c r="J28" s="13"/>
      <c r="K28" s="13"/>
      <c r="L28" s="13"/>
      <c r="M28" s="13"/>
      <c r="P28" s="12" t="s">
        <v>35</v>
      </c>
      <c r="Q28" s="12"/>
      <c r="R28" s="12"/>
      <c r="S28" s="14"/>
      <c r="T28" s="14" t="n">
        <f aca="false">Tabella52791124791618202224262830323436384042444648505254565860626468[[#This Row],[Colonna2]]*$Q3</f>
        <v>0.8</v>
      </c>
      <c r="U28" s="14" t="n">
        <f aca="false">Tabella52791124791618202224262830323436384042444648505254565860626468[[#This Row],[Colonna3]]*$Q3</f>
        <v>0.8</v>
      </c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37</v>
      </c>
      <c r="H29" s="13" t="n">
        <v>34</v>
      </c>
      <c r="I29" s="13" t="n">
        <v>48</v>
      </c>
      <c r="J29" s="13" t="n">
        <v>12</v>
      </c>
      <c r="K29" s="13" t="n">
        <v>7</v>
      </c>
      <c r="L29" s="13" t="n">
        <v>8</v>
      </c>
      <c r="M29" s="13" t="n">
        <v>3</v>
      </c>
      <c r="P29" s="12" t="s">
        <v>36</v>
      </c>
      <c r="Q29" s="12"/>
      <c r="R29" s="12"/>
      <c r="S29" s="14" t="n">
        <f aca="false">Tabella52791124791618202224262830323436384042444648505254565860626468[[#This Row],[Colonna1]]*$Q3</f>
        <v>14.8</v>
      </c>
      <c r="T29" s="14" t="n">
        <f aca="false">Tabella52791124791618202224262830323436384042444648505254565860626468[[#This Row],[Colonna2]]*$Q3</f>
        <v>13.6</v>
      </c>
      <c r="U29" s="14" t="n">
        <f aca="false">Tabella52791124791618202224262830323436384042444648505254565860626468[[#This Row],[Colonna3]]*$Q3</f>
        <v>19.2</v>
      </c>
      <c r="V29" s="14" t="n">
        <f aca="false">Tabella52791124791618202224262830323436384042444648505254565860626468[[#This Row],[Colonna4]]*$Q3</f>
        <v>4.8</v>
      </c>
      <c r="W29" s="14" t="n">
        <f aca="false">Tabella52791124791618202224262830323436384042444648505254565860626468[[#This Row],[Colonna5]]*$Q3</f>
        <v>2.8</v>
      </c>
      <c r="X29" s="14" t="n">
        <f aca="false">Tabella52791124791618202224262830323436384042444648505254565860626468[[#This Row],[Colonna6]]*$Q3</f>
        <v>3.2</v>
      </c>
      <c r="Y29" s="14" t="n">
        <f aca="false">Tabella52791124791618202224262830323436384042444648505254565860626468[[#This Row],[Colonna7]]*$Q3</f>
        <v>1.2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1</v>
      </c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 t="n">
        <f aca="false">Tabella52791124791618202224262830323436384042444648505254565860626468[[#This Row],[Colonna1]]*$Q3</f>
        <v>0.4</v>
      </c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 t="n">
        <v>1</v>
      </c>
      <c r="H39" s="13" t="n">
        <v>2</v>
      </c>
      <c r="I39" s="13"/>
      <c r="J39" s="13"/>
      <c r="K39" s="13"/>
      <c r="L39" s="13"/>
      <c r="M39" s="13"/>
      <c r="P39" s="12" t="s">
        <v>46</v>
      </c>
      <c r="Q39" s="12"/>
      <c r="R39" s="12"/>
      <c r="S39" s="14" t="n">
        <f aca="false">Tabella52791124791618202224262830323436384042444648505254565860626468[[#This Row],[Colonna1]]*$Q3</f>
        <v>0.4</v>
      </c>
      <c r="T39" s="14" t="n">
        <f aca="false">Tabella52791124791618202224262830323436384042444648505254565860626468[[#This Row],[Colonna2]]*$Q3</f>
        <v>0.8</v>
      </c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 t="n">
        <v>1</v>
      </c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 t="n">
        <f aca="false">Tabella52791124791618202224262830323436384042444648505254565860626468[[#This Row],[Colonna4]]*$Q3</f>
        <v>0.4</v>
      </c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7</v>
      </c>
      <c r="H41" s="13" t="n">
        <v>1</v>
      </c>
      <c r="I41" s="13" t="n">
        <v>5</v>
      </c>
      <c r="J41" s="13" t="n">
        <v>6</v>
      </c>
      <c r="K41" s="13" t="n">
        <v>4</v>
      </c>
      <c r="L41" s="13" t="n">
        <v>1</v>
      </c>
      <c r="M41" s="13"/>
      <c r="P41" s="18" t="s">
        <v>48</v>
      </c>
      <c r="Q41" s="18"/>
      <c r="R41" s="18"/>
      <c r="S41" s="14" t="n">
        <f aca="false">Tabella52791124791618202224262830323436384042444648505254565860626468[[#This Row],[Colonna1]]*$Q3</f>
        <v>2.8</v>
      </c>
      <c r="T41" s="14" t="n">
        <f aca="false">Tabella52791124791618202224262830323436384042444648505254565860626468[[#This Row],[Colonna2]]*$Q3</f>
        <v>0.4</v>
      </c>
      <c r="U41" s="14" t="n">
        <f aca="false">Tabella52791124791618202224262830323436384042444648505254565860626468[[#This Row],[Colonna3]]*$Q3</f>
        <v>2</v>
      </c>
      <c r="V41" s="14" t="n">
        <f aca="false">Tabella52791124791618202224262830323436384042444648505254565860626468[[#This Row],[Colonna4]]*$Q3</f>
        <v>2.4</v>
      </c>
      <c r="W41" s="14" t="n">
        <f aca="false">Tabella52791124791618202224262830323436384042444648505254565860626468[[#This Row],[Colonna5]]*$Q3</f>
        <v>1.6</v>
      </c>
      <c r="X41" s="14" t="n">
        <f aca="false">Tabella52791124791618202224262830323436384042444648505254565860626468[[#This Row],[Colonna6]]*$Q3</f>
        <v>0.4</v>
      </c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21</v>
      </c>
      <c r="H42" s="13" t="n">
        <v>21</v>
      </c>
      <c r="I42" s="13" t="n">
        <v>14</v>
      </c>
      <c r="J42" s="13" t="n">
        <v>12</v>
      </c>
      <c r="K42" s="13" t="n">
        <v>3</v>
      </c>
      <c r="L42" s="13" t="n">
        <v>2</v>
      </c>
      <c r="M42" s="13"/>
      <c r="P42" s="9" t="s">
        <v>49</v>
      </c>
      <c r="Q42" s="9"/>
      <c r="R42" s="9"/>
      <c r="S42" s="14" t="n">
        <f aca="false">Tabella52791124791618202224262830323436384042444648505254565860626468[[#This Row],[Colonna1]]*$Q3</f>
        <v>8.4</v>
      </c>
      <c r="T42" s="14" t="n">
        <f aca="false">Tabella52791124791618202224262830323436384042444648505254565860626468[[#This Row],[Colonna2]]*$Q3</f>
        <v>8.4</v>
      </c>
      <c r="U42" s="14" t="n">
        <f aca="false">Tabella52791124791618202224262830323436384042444648505254565860626468[[#This Row],[Colonna3]]*$Q3</f>
        <v>5.6</v>
      </c>
      <c r="V42" s="14" t="n">
        <f aca="false">Tabella52791124791618202224262830323436384042444648505254565860626468[[#This Row],[Colonna4]]*$Q3</f>
        <v>4.8</v>
      </c>
      <c r="W42" s="14" t="n">
        <f aca="false">Tabella52791124791618202224262830323436384042444648505254565860626468[[#This Row],[Colonna5]]*$Q3</f>
        <v>1.2</v>
      </c>
      <c r="X42" s="14" t="n">
        <f aca="false">Tabella52791124791618202224262830323436384042444648505254565860626468[[#This Row],[Colonna6]]*$Q3</f>
        <v>0.8</v>
      </c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14</v>
      </c>
      <c r="H44" s="13" t="n">
        <v>11</v>
      </c>
      <c r="I44" s="13" t="n">
        <v>7</v>
      </c>
      <c r="J44" s="13" t="n">
        <v>4</v>
      </c>
      <c r="K44" s="13" t="n">
        <v>8</v>
      </c>
      <c r="L44" s="13" t="n">
        <v>13</v>
      </c>
      <c r="M44" s="13" t="n">
        <v>9</v>
      </c>
      <c r="P44" s="12" t="s">
        <v>51</v>
      </c>
      <c r="Q44" s="12"/>
      <c r="R44" s="12"/>
      <c r="S44" s="14" t="n">
        <f aca="false">Tabella52791124791618202224262830323436384042444648505254565860626468[[#This Row],[Colonna1]]*$Q3</f>
        <v>5.6</v>
      </c>
      <c r="T44" s="14" t="n">
        <f aca="false">Tabella52791124791618202224262830323436384042444648505254565860626468[[#This Row],[Colonna2]]*$Q3</f>
        <v>4.4</v>
      </c>
      <c r="U44" s="14" t="n">
        <f aca="false">Tabella52791124791618202224262830323436384042444648505254565860626468[[#This Row],[Colonna3]]*$Q3</f>
        <v>2.8</v>
      </c>
      <c r="V44" s="14" t="n">
        <f aca="false">Tabella52791124791618202224262830323436384042444648505254565860626468[[#This Row],[Colonna4]]*$Q3</f>
        <v>1.6</v>
      </c>
      <c r="W44" s="14" t="n">
        <f aca="false">Tabella52791124791618202224262830323436384042444648505254565860626468[[#This Row],[Colonna5]]*$Q3</f>
        <v>3.2</v>
      </c>
      <c r="X44" s="14" t="n">
        <f aca="false">Tabella52791124791618202224262830323436384042444648505254565860626468[[#This Row],[Colonna6]]*$Q3</f>
        <v>5.2</v>
      </c>
      <c r="Y44" s="14" t="n">
        <f aca="false">Tabella52791124791618202224262830323436384042444648505254565860626468[[#This Row],[Colonna7]]*$Q3</f>
        <v>3.6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 t="n">
        <v>5</v>
      </c>
      <c r="I49" s="13"/>
      <c r="J49" s="13" t="n">
        <v>8</v>
      </c>
      <c r="K49" s="13" t="n">
        <v>2</v>
      </c>
      <c r="L49" s="13" t="n">
        <v>1</v>
      </c>
      <c r="M49" s="13" t="n">
        <v>1</v>
      </c>
      <c r="P49" s="18" t="s">
        <v>56</v>
      </c>
      <c r="Q49" s="18"/>
      <c r="R49" s="18"/>
      <c r="S49" s="14"/>
      <c r="T49" s="14" t="n">
        <f aca="false">Tabella52791124791618202224262830323436384042444648505254565860626468[[#This Row],[Colonna2]]*$Q3</f>
        <v>2</v>
      </c>
      <c r="U49" s="14"/>
      <c r="V49" s="14" t="n">
        <f aca="false">Tabella52791124791618202224262830323436384042444648505254565860626468[[#This Row],[Colonna4]]*$Q3</f>
        <v>3.2</v>
      </c>
      <c r="W49" s="14" t="n">
        <f aca="false">Tabella52791124791618202224262830323436384042444648505254565860626468[[#This Row],[Colonna5]]*$Q3</f>
        <v>0.8</v>
      </c>
      <c r="X49" s="14" t="n">
        <f aca="false">Tabella52791124791618202224262830323436384042444648505254565860626468[[#This Row],[Colonna6]]*$Q3</f>
        <v>0.4</v>
      </c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9</v>
      </c>
      <c r="H52" s="13" t="n">
        <v>18</v>
      </c>
      <c r="I52" s="13" t="n">
        <v>14</v>
      </c>
      <c r="J52" s="13" t="n">
        <v>11</v>
      </c>
      <c r="K52" s="13" t="n">
        <v>12</v>
      </c>
      <c r="L52" s="13" t="n">
        <v>12</v>
      </c>
      <c r="M52" s="13" t="n">
        <v>6</v>
      </c>
      <c r="P52" s="12" t="s">
        <v>59</v>
      </c>
      <c r="Q52" s="12"/>
      <c r="R52" s="12"/>
      <c r="S52" s="14" t="n">
        <f aca="false">Tabella52791124791618202224262830323436384042444648505254565860626468[[#This Row],[Colonna1]]*$Q3</f>
        <v>3.6</v>
      </c>
      <c r="T52" s="14" t="n">
        <f aca="false">Tabella52791124791618202224262830323436384042444648505254565860626468[[#This Row],[Colonna2]]*$Q3</f>
        <v>7.2</v>
      </c>
      <c r="U52" s="14" t="n">
        <f aca="false">Tabella52791124791618202224262830323436384042444648505254565860626468[[#This Row],[Colonna3]]*$Q3</f>
        <v>5.6</v>
      </c>
      <c r="V52" s="14" t="n">
        <f aca="false">Tabella52791124791618202224262830323436384042444648505254565860626468[[#This Row],[Colonna4]]*$Q3</f>
        <v>4.4</v>
      </c>
      <c r="W52" s="14" t="n">
        <f aca="false">Tabella52791124791618202224262830323436384042444648505254565860626468[[#This Row],[Colonna5]]*$Q3</f>
        <v>4.8</v>
      </c>
      <c r="X52" s="14" t="n">
        <f aca="false">Tabella52791124791618202224262830323436384042444648505254565860626468[[#This Row],[Colonna6]]*$Q3</f>
        <v>4.8</v>
      </c>
      <c r="Y52" s="14" t="n">
        <f aca="false">Tabella52791124791618202224262830323436384042444648505254565860626468[[#This Row],[Colonna7]]*$Q3</f>
        <v>2.4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SUM(G52,G44,G42,G41,G39,G38,G29,G26,G22,G12,G7)</f>
        <v>190</v>
      </c>
      <c r="H53" s="55" t="n">
        <f aca="false">SUM(H52,H49,H44,H42,H41,H39,H29,H28,H26,H22,H12,H7)</f>
        <v>126</v>
      </c>
      <c r="I53" s="55" t="n">
        <f aca="false">SUM(I6:I52)</f>
        <v>313</v>
      </c>
      <c r="J53" s="55" t="n">
        <f aca="false">SUM(J52,J49,J44,J42,J41,J40,J29,J26,J22,J12,J7)</f>
        <v>100</v>
      </c>
      <c r="K53" s="55" t="n">
        <f aca="false">SUM(K6:K52)</f>
        <v>55</v>
      </c>
      <c r="L53" s="55" t="n">
        <f aca="false">SUM(L6:L52)</f>
        <v>62</v>
      </c>
      <c r="M53" s="55" t="n">
        <f aca="false">SUM(M6:M52)</f>
        <v>37</v>
      </c>
      <c r="P53" s="17" t="s">
        <v>60</v>
      </c>
      <c r="Q53" s="17"/>
      <c r="R53" s="17"/>
      <c r="S53" s="56" t="n">
        <f aca="false">Tabella52791124791618202224262830323436384042444648505254565860626468[[#This Row],[Colonna1]]*$Q3</f>
        <v>76</v>
      </c>
      <c r="T53" s="56" t="n">
        <f aca="false">Tabella52791124791618202224262830323436384042444648505254565860626468[[#This Row],[Colonna2]]*$Q3</f>
        <v>50.4</v>
      </c>
      <c r="U53" s="56" t="n">
        <f aca="false">Tabella52791124791618202224262830323436384042444648505254565860626468[[#This Row],[Colonna3]]*$Q3</f>
        <v>125.2</v>
      </c>
      <c r="V53" s="56" t="n">
        <f aca="false">Tabella52791124791618202224262830323436384042444648505254565860626468[[#This Row],[Colonna4]]*$Q3</f>
        <v>40</v>
      </c>
      <c r="W53" s="56" t="n">
        <f aca="false">Tabella52791124791618202224262830323436384042444648505254565860626468[[#This Row],[Colonna5]]*$Q3</f>
        <v>22</v>
      </c>
      <c r="X53" s="56" t="n">
        <f aca="false">Tabella52791124791618202224262830323436384042444648505254565860626468[[#This Row],[Colonna6]]*$Q3</f>
        <v>24.8</v>
      </c>
      <c r="Y53" s="56" t="n">
        <f aca="false">Tabella52791124791618202224262830323436384042444648505254565860626468[[#This Row],[Colonna7]]*$Q3</f>
        <v>14.8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1427</v>
      </c>
      <c r="H58" s="26" t="n">
        <v>712</v>
      </c>
      <c r="I58" s="26" t="n">
        <v>470</v>
      </c>
      <c r="J58" s="26" t="n">
        <v>380</v>
      </c>
      <c r="K58" s="26" t="n">
        <v>401</v>
      </c>
      <c r="L58" s="26" t="n">
        <v>553</v>
      </c>
      <c r="M58" s="26" t="n">
        <v>310</v>
      </c>
      <c r="P58" s="23" t="s">
        <v>62</v>
      </c>
      <c r="Q58" s="23"/>
      <c r="R58" s="23"/>
      <c r="S58" s="57" t="n">
        <f aca="false">G58*$Q3</f>
        <v>570.8</v>
      </c>
      <c r="T58" s="57" t="n">
        <f aca="false">H58*$Q3</f>
        <v>284.8</v>
      </c>
      <c r="U58" s="57" t="n">
        <f aca="false">I58*$Q3</f>
        <v>188</v>
      </c>
      <c r="V58" s="57" t="n">
        <f aca="false">J58*$Q3</f>
        <v>152</v>
      </c>
      <c r="W58" s="57" t="n">
        <f aca="false">K58*$Q3</f>
        <v>160.4</v>
      </c>
      <c r="X58" s="57" t="n">
        <f aca="false">L58*$Q3</f>
        <v>221.2</v>
      </c>
      <c r="Y58" s="57" t="n">
        <f aca="false">M58*$Q3</f>
        <v>124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32</v>
      </c>
      <c r="H62" s="26" t="n">
        <v>28</v>
      </c>
      <c r="I62" s="26" t="n">
        <v>6</v>
      </c>
      <c r="J62" s="26" t="n">
        <v>5</v>
      </c>
      <c r="K62" s="26" t="n">
        <v>12</v>
      </c>
      <c r="L62" s="26" t="n">
        <v>27</v>
      </c>
      <c r="M62" s="26" t="n">
        <v>47</v>
      </c>
      <c r="P62" s="9" t="s">
        <v>66</v>
      </c>
      <c r="Q62" s="9"/>
      <c r="R62" s="9"/>
      <c r="S62" s="57" t="n">
        <f aca="false">G62*$Q3</f>
        <v>12.8</v>
      </c>
      <c r="T62" s="57" t="n">
        <f aca="false">H62*$Q3</f>
        <v>11.2</v>
      </c>
      <c r="U62" s="57" t="n">
        <f aca="false">I62*$Q3</f>
        <v>2.4</v>
      </c>
      <c r="V62" s="57" t="n">
        <f aca="false">J62*$Q3</f>
        <v>2</v>
      </c>
      <c r="W62" s="57" t="n">
        <f aca="false">K62*$Q3</f>
        <v>4.8</v>
      </c>
      <c r="X62" s="57" t="n">
        <f aca="false">L62*$Q3</f>
        <v>10.8</v>
      </c>
      <c r="Y62" s="57" t="n">
        <f aca="false">M62*$Q3</f>
        <v>18.8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2</v>
      </c>
      <c r="H63" s="26" t="n">
        <v>6</v>
      </c>
      <c r="I63" s="26" t="n">
        <v>2</v>
      </c>
      <c r="J63" s="26" t="n">
        <v>2</v>
      </c>
      <c r="K63" s="26" t="n">
        <v>2</v>
      </c>
      <c r="L63" s="26" t="n">
        <v>20</v>
      </c>
      <c r="M63" s="26" t="n">
        <v>13</v>
      </c>
      <c r="P63" s="9" t="s">
        <v>67</v>
      </c>
      <c r="Q63" s="9"/>
      <c r="R63" s="9"/>
      <c r="S63" s="57" t="n">
        <f aca="false">G63*$Q3</f>
        <v>0.8</v>
      </c>
      <c r="T63" s="57" t="n">
        <f aca="false">H63*$Q3</f>
        <v>2.4</v>
      </c>
      <c r="U63" s="57" t="n">
        <f aca="false">I63*$Q3</f>
        <v>0.8</v>
      </c>
      <c r="V63" s="57" t="n">
        <f aca="false">J63*$Q3</f>
        <v>0.8</v>
      </c>
      <c r="W63" s="57" t="n">
        <f aca="false">K63*$Q3</f>
        <v>0.8</v>
      </c>
      <c r="X63" s="57" t="n">
        <f aca="false">L63*$Q3</f>
        <v>8</v>
      </c>
      <c r="Y63" s="57" t="n">
        <f aca="false">M63*$Q3</f>
        <v>5.2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23</v>
      </c>
      <c r="H64" s="26" t="n">
        <v>11</v>
      </c>
      <c r="I64" s="26" t="n">
        <v>8</v>
      </c>
      <c r="J64" s="26" t="n">
        <v>8</v>
      </c>
      <c r="K64" s="26" t="n">
        <v>3</v>
      </c>
      <c r="L64" s="26" t="n">
        <v>4</v>
      </c>
      <c r="M64" s="26" t="n">
        <v>4</v>
      </c>
      <c r="P64" s="9" t="s">
        <v>68</v>
      </c>
      <c r="Q64" s="9"/>
      <c r="R64" s="9"/>
      <c r="S64" s="57" t="n">
        <f aca="false">G64*$Q3</f>
        <v>9.2</v>
      </c>
      <c r="T64" s="57" t="n">
        <f aca="false">H64*$Q3</f>
        <v>4.4</v>
      </c>
      <c r="U64" s="57" t="n">
        <f aca="false">I64*$Q3</f>
        <v>3.2</v>
      </c>
      <c r="V64" s="57" t="n">
        <f aca="false">J64*$Q3</f>
        <v>3.2</v>
      </c>
      <c r="W64" s="57" t="n">
        <f aca="false">K64*$Q3</f>
        <v>1.2</v>
      </c>
      <c r="X64" s="57" t="n">
        <f aca="false">L64*$Q3</f>
        <v>1.6</v>
      </c>
      <c r="Y64" s="57" t="n">
        <f aca="false">M64*$Q3</f>
        <v>1.6</v>
      </c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4</v>
      </c>
      <c r="H65" s="26" t="n">
        <v>11</v>
      </c>
      <c r="I65" s="26"/>
      <c r="J65" s="26" t="n">
        <v>1</v>
      </c>
      <c r="K65" s="26"/>
      <c r="L65" s="26"/>
      <c r="M65" s="26"/>
      <c r="P65" s="9" t="s">
        <v>69</v>
      </c>
      <c r="Q65" s="9"/>
      <c r="R65" s="9"/>
      <c r="S65" s="57" t="n">
        <f aca="false">G65*$Q3</f>
        <v>1.6</v>
      </c>
      <c r="T65" s="57" t="n">
        <f aca="false">H65*$Q3</f>
        <v>4.4</v>
      </c>
      <c r="U65" s="57"/>
      <c r="V65" s="57" t="n">
        <f aca="false">J65*$Q3</f>
        <v>0.4</v>
      </c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87</v>
      </c>
      <c r="H67" s="26" t="n">
        <v>38</v>
      </c>
      <c r="I67" s="26" t="n">
        <v>30</v>
      </c>
      <c r="J67" s="26" t="n">
        <v>18</v>
      </c>
      <c r="K67" s="26" t="n">
        <v>15</v>
      </c>
      <c r="L67" s="26" t="n">
        <v>30</v>
      </c>
      <c r="M67" s="26" t="n">
        <v>19</v>
      </c>
      <c r="P67" s="9" t="s">
        <v>71</v>
      </c>
      <c r="Q67" s="9"/>
      <c r="R67" s="9"/>
      <c r="S67" s="57" t="n">
        <f aca="false">G67*$Q3</f>
        <v>34.8</v>
      </c>
      <c r="T67" s="57" t="n">
        <f aca="false">H67*$Q3</f>
        <v>15.2</v>
      </c>
      <c r="U67" s="57" t="n">
        <f aca="false">I67*$Q3</f>
        <v>12</v>
      </c>
      <c r="V67" s="57" t="n">
        <f aca="false">J67*$Q3</f>
        <v>7.2</v>
      </c>
      <c r="W67" s="57" t="n">
        <f aca="false">K67*$Q3</f>
        <v>6</v>
      </c>
      <c r="X67" s="57" t="n">
        <f aca="false">L67*$Q3</f>
        <v>12</v>
      </c>
      <c r="Y67" s="57" t="n">
        <f aca="false">M67*$Q3</f>
        <v>7.6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22</v>
      </c>
      <c r="H68" s="30" t="n">
        <v>15</v>
      </c>
      <c r="I68" s="30" t="n">
        <v>12</v>
      </c>
      <c r="J68" s="30" t="n">
        <v>3</v>
      </c>
      <c r="K68" s="30" t="n">
        <v>3</v>
      </c>
      <c r="L68" s="30" t="n">
        <v>4</v>
      </c>
      <c r="M68" s="30" t="n">
        <v>1</v>
      </c>
      <c r="P68" s="9" t="s">
        <v>72</v>
      </c>
      <c r="Q68" s="9"/>
      <c r="R68" s="9"/>
      <c r="S68" s="57" t="n">
        <f aca="false">G68*$Q3</f>
        <v>8.8</v>
      </c>
      <c r="T68" s="57" t="n">
        <f aca="false">H68*$Q3</f>
        <v>6</v>
      </c>
      <c r="U68" s="57" t="n">
        <f aca="false">I68*$Q3</f>
        <v>4.8</v>
      </c>
      <c r="V68" s="57" t="n">
        <f aca="false">J68*$Q3</f>
        <v>1.2</v>
      </c>
      <c r="W68" s="57" t="n">
        <f aca="false">K68*$Q3</f>
        <v>1.2</v>
      </c>
      <c r="X68" s="57" t="n">
        <f aca="false">L68*$Q3</f>
        <v>1.6</v>
      </c>
      <c r="Y68" s="57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12</v>
      </c>
      <c r="H69" s="30" t="n">
        <v>17</v>
      </c>
      <c r="I69" s="30" t="n">
        <v>4</v>
      </c>
      <c r="J69" s="30" t="n">
        <v>16</v>
      </c>
      <c r="K69" s="30" t="n">
        <v>15</v>
      </c>
      <c r="L69" s="30" t="n">
        <v>150</v>
      </c>
      <c r="M69" s="30" t="n">
        <v>127</v>
      </c>
      <c r="P69" s="9" t="s">
        <v>73</v>
      </c>
      <c r="Q69" s="9"/>
      <c r="R69" s="9"/>
      <c r="S69" s="57" t="n">
        <f aca="false">G69*$Q3</f>
        <v>4.8</v>
      </c>
      <c r="T69" s="57" t="n">
        <f aca="false">H69*$Q3</f>
        <v>6.8</v>
      </c>
      <c r="U69" s="57" t="n">
        <f aca="false">I69*$Q3</f>
        <v>1.6</v>
      </c>
      <c r="V69" s="57" t="n">
        <f aca="false">J69*$Q3</f>
        <v>6.4</v>
      </c>
      <c r="W69" s="57" t="n">
        <f aca="false">K69*$Q3</f>
        <v>6</v>
      </c>
      <c r="X69" s="57" t="n">
        <f aca="false">L69*$Q3</f>
        <v>60</v>
      </c>
      <c r="Y69" s="57" t="n">
        <f aca="false">M69*$Q3</f>
        <v>50.8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SUM(G58,G62,G63,G64,G65,G67,G68,G69)</f>
        <v>1609</v>
      </c>
      <c r="H70" s="60" t="n">
        <f aca="false">SUM(H58,H62,H63,H64,H65,H67,H68,H69)</f>
        <v>838</v>
      </c>
      <c r="I70" s="60" t="n">
        <f aca="false">SUM(I58,I62:I64,I67:I69)</f>
        <v>532</v>
      </c>
      <c r="J70" s="60" t="n">
        <f aca="false">SUM(J58:J69)</f>
        <v>433</v>
      </c>
      <c r="K70" s="12" t="n">
        <f aca="false">SUM(K58:K69)</f>
        <v>451</v>
      </c>
      <c r="L70" s="12" t="n">
        <f aca="false">SUM(L58:L69)</f>
        <v>788</v>
      </c>
      <c r="M70" s="12" t="n">
        <f aca="false">SUM(M58:M69)</f>
        <v>521</v>
      </c>
      <c r="P70" s="9" t="s">
        <v>60</v>
      </c>
      <c r="Q70" s="9"/>
      <c r="R70" s="9"/>
      <c r="S70" s="61" t="n">
        <f aca="false">G70*$Q3</f>
        <v>643.6</v>
      </c>
      <c r="T70" s="61" t="n">
        <f aca="false">H70*$Q3</f>
        <v>335.2</v>
      </c>
      <c r="U70" s="61" t="n">
        <f aca="false">I70*$Q3</f>
        <v>212.8</v>
      </c>
      <c r="V70" s="61" t="n">
        <f aca="false">J70*$Q3</f>
        <v>173.2</v>
      </c>
      <c r="W70" s="61" t="n">
        <f aca="false">K70*$Q3</f>
        <v>180.4</v>
      </c>
      <c r="X70" s="61" t="n">
        <f aca="false">L70*$Q3</f>
        <v>315.2</v>
      </c>
      <c r="Y70" s="61" t="n">
        <f aca="false">M70*$Q3</f>
        <v>208.4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L34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45117</v>
      </c>
      <c r="K3" s="5" t="n">
        <v>45123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45117</v>
      </c>
      <c r="W3" s="5" t="n">
        <v>45123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29</v>
      </c>
      <c r="H7" s="13" t="n">
        <v>5</v>
      </c>
      <c r="I7" s="13" t="n">
        <v>3</v>
      </c>
      <c r="J7" s="13" t="n">
        <v>4</v>
      </c>
      <c r="K7" s="13" t="n">
        <v>6</v>
      </c>
      <c r="L7" s="13" t="n">
        <v>3</v>
      </c>
      <c r="M7" s="13" t="n">
        <v>1</v>
      </c>
      <c r="P7" s="12" t="s">
        <v>14</v>
      </c>
      <c r="Q7" s="12"/>
      <c r="R7" s="12"/>
      <c r="S7" s="14" t="n">
        <f aca="false">Tabella5279112479161820222426283032343638404244464850525456586062646870[[#This Row],[Colonna1]]*$Q3</f>
        <v>11.6</v>
      </c>
      <c r="T7" s="14" t="n">
        <f aca="false">Tabella5279112479161820222426283032343638404244464850525456586062646870[[#This Row],[Colonna2]]*$Q3</f>
        <v>2</v>
      </c>
      <c r="U7" s="14" t="n">
        <f aca="false">Tabella5279112479161820222426283032343638404244464850525456586062646870[[#This Row],[Colonna3]]*$Q3</f>
        <v>1.2</v>
      </c>
      <c r="V7" s="14" t="n">
        <f aca="false">Tabella5279112479161820222426283032343638404244464850525456586062646870[[#This Row],[Colonna4]]*$Q3</f>
        <v>1.6</v>
      </c>
      <c r="W7" s="14" t="n">
        <f aca="false">Tabella5279112479161820222426283032343638404244464850525456586062646870[[#This Row],[Colonna5]]*$Q3</f>
        <v>2.4</v>
      </c>
      <c r="X7" s="14" t="n">
        <f aca="false">Tabella5279112479161820222426283032343638404244464850525456586062646870[[#This Row],[Colonna6]]*$Q3</f>
        <v>1.2</v>
      </c>
      <c r="Y7" s="14" t="n">
        <f aca="false">Tabella5279112479161820222426283032343638404244464850525456586062646870[[#This Row],[Colonna7]]*$Q3</f>
        <v>0.4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4</v>
      </c>
      <c r="H12" s="13" t="n">
        <v>4</v>
      </c>
      <c r="I12" s="13" t="n">
        <v>5</v>
      </c>
      <c r="J12" s="13" t="n">
        <v>1</v>
      </c>
      <c r="K12" s="13" t="n">
        <v>2</v>
      </c>
      <c r="L12" s="13"/>
      <c r="M12" s="13"/>
      <c r="P12" s="12" t="s">
        <v>19</v>
      </c>
      <c r="Q12" s="12"/>
      <c r="R12" s="12"/>
      <c r="S12" s="14" t="n">
        <f aca="false">Tabella5279112479161820222426283032343638404244464850525456586062646870[[#This Row],[Colonna1]]*$Q3</f>
        <v>1.6</v>
      </c>
      <c r="T12" s="14" t="n">
        <f aca="false">Tabella5279112479161820222426283032343638404244464850525456586062646870[[#This Row],[Colonna2]]*$Q3</f>
        <v>1.6</v>
      </c>
      <c r="U12" s="14" t="n">
        <f aca="false">Tabella5279112479161820222426283032343638404244464850525456586062646870[[#This Row],[Colonna3]]*$Q3</f>
        <v>2</v>
      </c>
      <c r="V12" s="14" t="n">
        <f aca="false">Tabella5279112479161820222426283032343638404244464850525456586062646870[[#This Row],[Colonna4]]*$Q3</f>
        <v>0.4</v>
      </c>
      <c r="W12" s="14" t="n">
        <f aca="false">Tabella5279112479161820222426283032343638404244464850525456586062646870[[#This Row],[Colonna5]]*$Q3</f>
        <v>0.8</v>
      </c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 t="n">
        <v>1</v>
      </c>
      <c r="J20" s="13" t="n">
        <v>1</v>
      </c>
      <c r="K20" s="13"/>
      <c r="L20" s="13"/>
      <c r="M20" s="13"/>
      <c r="P20" s="9" t="s">
        <v>27</v>
      </c>
      <c r="Q20" s="9"/>
      <c r="R20" s="9"/>
      <c r="S20" s="14"/>
      <c r="T20" s="14"/>
      <c r="U20" s="14" t="n">
        <f aca="false">Tabella5279112479161820222426283032343638404244464850525456586062646870[[#This Row],[Colonna3]]*$Q3</f>
        <v>0.4</v>
      </c>
      <c r="V20" s="14" t="n">
        <f aca="false">Tabella5279112479161820222426283032343638404244464850525456586062646870[[#This Row],[Colonna4]]*$Q3</f>
        <v>0.4</v>
      </c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7</v>
      </c>
      <c r="H22" s="13" t="n">
        <v>8</v>
      </c>
      <c r="I22" s="13" t="n">
        <v>4</v>
      </c>
      <c r="J22" s="13" t="n">
        <v>5</v>
      </c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Tabella5279112479161820222426283032343638404244464850525456586062646870[[#This Row],[Colonna1]]*$Q3</f>
        <v>2.8</v>
      </c>
      <c r="T22" s="14" t="n">
        <f aca="false">Tabella5279112479161820222426283032343638404244464850525456586062646870[[#This Row],[Colonna2]]*$Q3</f>
        <v>3.2</v>
      </c>
      <c r="U22" s="14" t="n">
        <f aca="false">Tabella5279112479161820222426283032343638404244464850525456586062646870[[#This Row],[Colonna3]]*$Q3</f>
        <v>1.6</v>
      </c>
      <c r="V22" s="14" t="n">
        <f aca="false">Tabella5279112479161820222426283032343638404244464850525456586062646870[[#This Row],[Colonna4]]*$Q3</f>
        <v>2</v>
      </c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286</v>
      </c>
      <c r="H26" s="13" t="n">
        <v>345</v>
      </c>
      <c r="I26" s="13" t="n">
        <v>280</v>
      </c>
      <c r="J26" s="13" t="n">
        <v>13</v>
      </c>
      <c r="K26" s="13" t="n">
        <v>10</v>
      </c>
      <c r="L26" s="13" t="n">
        <v>26</v>
      </c>
      <c r="M26" s="13" t="n">
        <v>10</v>
      </c>
      <c r="P26" s="12" t="s">
        <v>33</v>
      </c>
      <c r="Q26" s="12"/>
      <c r="R26" s="12"/>
      <c r="S26" s="14" t="n">
        <f aca="false">Tabella5279112479161820222426283032343638404244464850525456586062646870[[#This Row],[Colonna1]]*$Q3</f>
        <v>114.4</v>
      </c>
      <c r="T26" s="14" t="n">
        <f aca="false">Tabella5279112479161820222426283032343638404244464850525456586062646870[[#This Row],[Colonna2]]*$Q3</f>
        <v>138</v>
      </c>
      <c r="U26" s="14" t="n">
        <f aca="false">Tabella5279112479161820222426283032343638404244464850525456586062646870[[#This Row],[Colonna3]]*$Q3</f>
        <v>112</v>
      </c>
      <c r="V26" s="14" t="n">
        <f aca="false">Tabella5279112479161820222426283032343638404244464850525456586062646870[[#This Row],[Colonna4]]*$Q3</f>
        <v>5.2</v>
      </c>
      <c r="W26" s="14" t="n">
        <f aca="false">Tabella5279112479161820222426283032343638404244464850525456586062646870[[#This Row],[Colonna5]]*$Q3</f>
        <v>4</v>
      </c>
      <c r="X26" s="14" t="n">
        <f aca="false">Tabella5279112479161820222426283032343638404244464850525456586062646870[[#This Row],[Colonna6]]*$Q3</f>
        <v>10.4</v>
      </c>
      <c r="Y26" s="14" t="n">
        <f aca="false">Tabella5279112479161820222426283032343638404244464850525456586062646870[[#This Row],[Colonna7]]*$Q3</f>
        <v>4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46</v>
      </c>
      <c r="H29" s="13" t="n">
        <v>46</v>
      </c>
      <c r="I29" s="13" t="n">
        <v>21</v>
      </c>
      <c r="J29" s="13" t="n">
        <v>33</v>
      </c>
      <c r="K29" s="13" t="n">
        <v>5</v>
      </c>
      <c r="L29" s="13" t="n">
        <v>7</v>
      </c>
      <c r="M29" s="13" t="n">
        <v>2</v>
      </c>
      <c r="P29" s="12" t="s">
        <v>36</v>
      </c>
      <c r="Q29" s="12"/>
      <c r="R29" s="12"/>
      <c r="S29" s="14" t="n">
        <f aca="false">Tabella5279112479161820222426283032343638404244464850525456586062646870[[#This Row],[Colonna1]]*$Q3</f>
        <v>18.4</v>
      </c>
      <c r="T29" s="14" t="n">
        <f aca="false">Tabella5279112479161820222426283032343638404244464850525456586062646870[[#This Row],[Colonna2]]*$Q3</f>
        <v>18.4</v>
      </c>
      <c r="U29" s="14" t="n">
        <f aca="false">Tabella5279112479161820222426283032343638404244464850525456586062646870[[#This Row],[Colonna3]]*$Q3</f>
        <v>8.4</v>
      </c>
      <c r="V29" s="14" t="n">
        <f aca="false">Tabella5279112479161820222426283032343638404244464850525456586062646870[[#This Row],[Colonna4]]*$Q3</f>
        <v>13.2</v>
      </c>
      <c r="W29" s="14" t="n">
        <f aca="false">Tabella5279112479161820222426283032343638404244464850525456586062646870[[#This Row],[Colonna5]]*$Q3</f>
        <v>2</v>
      </c>
      <c r="X29" s="14" t="n">
        <f aca="false">Tabella5279112479161820222426283032343638404244464850525456586062646870[[#This Row],[Colonna6]]*$Q3</f>
        <v>2.8</v>
      </c>
      <c r="Y29" s="14" t="n">
        <f aca="false">Tabella5279112479161820222426283032343638404244464850525456586062646870[[#This Row],[Colonna7]]*$Q3</f>
        <v>0.8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 t="n">
        <v>2</v>
      </c>
      <c r="H37" s="13" t="n">
        <v>2</v>
      </c>
      <c r="I37" s="13" t="n">
        <v>1</v>
      </c>
      <c r="J37" s="13" t="n">
        <v>1</v>
      </c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7</v>
      </c>
      <c r="H41" s="13" t="n">
        <v>8</v>
      </c>
      <c r="I41" s="13" t="n">
        <v>5</v>
      </c>
      <c r="J41" s="13" t="n">
        <v>1</v>
      </c>
      <c r="K41" s="13" t="n">
        <v>2</v>
      </c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Tabella5279112479161820222426283032343638404244464850525456586062646870[[#This Row],[Colonna1]]*$Q3</f>
        <v>2.8</v>
      </c>
      <c r="T41" s="14" t="n">
        <f aca="false">Tabella5279112479161820222426283032343638404244464850525456586062646870[[#This Row],[Colonna2]]*$Q3</f>
        <v>3.2</v>
      </c>
      <c r="U41" s="14" t="n">
        <f aca="false">Tabella5279112479161820222426283032343638404244464850525456586062646870[[#This Row],[Colonna3]]*$Q3</f>
        <v>2</v>
      </c>
      <c r="V41" s="14" t="n">
        <f aca="false">Tabella5279112479161820222426283032343638404244464850525456586062646870[[#This Row],[Colonna4]]*$Q3</f>
        <v>0.4</v>
      </c>
      <c r="W41" s="14" t="n">
        <f aca="false">Tabella5279112479161820222426283032343638404244464850525456586062646870[[#This Row],[Colonna5]]*$Q3</f>
        <v>0.8</v>
      </c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19</v>
      </c>
      <c r="H42" s="13" t="n">
        <v>14</v>
      </c>
      <c r="I42" s="13" t="n">
        <v>28</v>
      </c>
      <c r="J42" s="13" t="n">
        <v>9</v>
      </c>
      <c r="K42" s="13" t="n">
        <v>5</v>
      </c>
      <c r="L42" s="13" t="n">
        <v>3</v>
      </c>
      <c r="M42" s="13"/>
      <c r="P42" s="9" t="s">
        <v>49</v>
      </c>
      <c r="Q42" s="9"/>
      <c r="R42" s="9"/>
      <c r="S42" s="14" t="n">
        <f aca="false">Tabella5279112479161820222426283032343638404244464850525456586062646870[[#This Row],[Colonna1]]*$Q3</f>
        <v>7.6</v>
      </c>
      <c r="T42" s="14" t="n">
        <f aca="false">Tabella5279112479161820222426283032343638404244464850525456586062646870[[#This Row],[Colonna2]]*$Q3</f>
        <v>5.6</v>
      </c>
      <c r="U42" s="14" t="n">
        <f aca="false">Tabella5279112479161820222426283032343638404244464850525456586062646870[[#This Row],[Colonna3]]*$Q3</f>
        <v>11.2</v>
      </c>
      <c r="V42" s="14" t="n">
        <f aca="false">Tabella5279112479161820222426283032343638404244464850525456586062646870[[#This Row],[Colonna4]]*$Q3</f>
        <v>3.6</v>
      </c>
      <c r="W42" s="14" t="n">
        <f aca="false">Tabella5279112479161820222426283032343638404244464850525456586062646870[[#This Row],[Colonna5]]*$Q3</f>
        <v>2</v>
      </c>
      <c r="X42" s="14" t="n">
        <f aca="false">Tabella5279112479161820222426283032343638404244464850525456586062646870[[#This Row],[Colonna6]]*$Q3</f>
        <v>1.2</v>
      </c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43</v>
      </c>
      <c r="H44" s="13" t="n">
        <v>21</v>
      </c>
      <c r="I44" s="13" t="n">
        <v>18</v>
      </c>
      <c r="J44" s="13" t="n">
        <v>32</v>
      </c>
      <c r="K44" s="13" t="n">
        <v>2</v>
      </c>
      <c r="L44" s="13" t="n">
        <v>1</v>
      </c>
      <c r="M44" s="13" t="n">
        <v>1</v>
      </c>
      <c r="P44" s="12" t="s">
        <v>51</v>
      </c>
      <c r="Q44" s="12"/>
      <c r="R44" s="12"/>
      <c r="S44" s="14" t="n">
        <f aca="false">Tabella5279112479161820222426283032343638404244464850525456586062646870[[#This Row],[Colonna1]]*$Q3</f>
        <v>17.2</v>
      </c>
      <c r="T44" s="14" t="n">
        <f aca="false">Tabella5279112479161820222426283032343638404244464850525456586062646870[[#This Row],[Colonna2]]*$Q3</f>
        <v>8.4</v>
      </c>
      <c r="U44" s="14" t="n">
        <f aca="false">Tabella5279112479161820222426283032343638404244464850525456586062646870[[#This Row],[Colonna3]]*$Q3</f>
        <v>7.2</v>
      </c>
      <c r="V44" s="14" t="n">
        <f aca="false">Tabella5279112479161820222426283032343638404244464850525456586062646870[[#This Row],[Colonna4]]*$Q3</f>
        <v>12.8</v>
      </c>
      <c r="W44" s="14" t="n">
        <f aca="false">Tabella5279112479161820222426283032343638404244464850525456586062646870[[#This Row],[Colonna5]]*$Q3</f>
        <v>0.8</v>
      </c>
      <c r="X44" s="14" t="n">
        <f aca="false">Tabella5279112479161820222426283032343638404244464850525456586062646870[[#This Row],[Colonna6]]*$Q3</f>
        <v>0.4</v>
      </c>
      <c r="Y44" s="14" t="n">
        <f aca="false">Tabella5279112479161820222426283032343638404244464850525456586062646870[[#This Row],[Colonna7]]*$Q3</f>
        <v>0.4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 t="n">
        <v>2</v>
      </c>
      <c r="I49" s="13" t="n">
        <v>1</v>
      </c>
      <c r="J49" s="13"/>
      <c r="K49" s="13"/>
      <c r="L49" s="13"/>
      <c r="M49" s="13"/>
      <c r="P49" s="18" t="s">
        <v>56</v>
      </c>
      <c r="Q49" s="18"/>
      <c r="R49" s="18"/>
      <c r="S49" s="14"/>
      <c r="T49" s="14" t="n">
        <f aca="false">Tabella5279112479161820222426283032343638404244464850525456586062646870[[#This Row],[Colonna2]]*$Q3</f>
        <v>0.8</v>
      </c>
      <c r="U49" s="14" t="n">
        <f aca="false">Tabella5279112479161820222426283032343638404244464850525456586062646870[[#This Row],[Colonna3]]*$Q3</f>
        <v>0.4</v>
      </c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54</v>
      </c>
      <c r="H52" s="13" t="n">
        <v>23</v>
      </c>
      <c r="I52" s="13" t="n">
        <v>40</v>
      </c>
      <c r="J52" s="13" t="n">
        <v>27</v>
      </c>
      <c r="K52" s="13" t="n">
        <v>5</v>
      </c>
      <c r="L52" s="13" t="n">
        <v>8</v>
      </c>
      <c r="M52" s="13" t="n">
        <v>2</v>
      </c>
      <c r="P52" s="12" t="s">
        <v>59</v>
      </c>
      <c r="Q52" s="12"/>
      <c r="R52" s="12"/>
      <c r="S52" s="14" t="n">
        <f aca="false">Tabella5279112479161820222426283032343638404244464850525456586062646870[[#This Row],[Colonna1]]*$Q3</f>
        <v>21.6</v>
      </c>
      <c r="T52" s="14" t="n">
        <f aca="false">Tabella5279112479161820222426283032343638404244464850525456586062646870[[#This Row],[Colonna2]]*$Q3</f>
        <v>9.2</v>
      </c>
      <c r="U52" s="14" t="n">
        <f aca="false">Tabella5279112479161820222426283032343638404244464850525456586062646870[[#This Row],[Colonna3]]*$Q3</f>
        <v>16</v>
      </c>
      <c r="V52" s="14" t="n">
        <f aca="false">Tabella5279112479161820222426283032343638404244464850525456586062646870[[#This Row],[Colonna4]]*$Q3</f>
        <v>10.8</v>
      </c>
      <c r="W52" s="14" t="n">
        <f aca="false">Tabella5279112479161820222426283032343638404244464850525456586062646870[[#This Row],[Colonna5]]*$Q3</f>
        <v>2</v>
      </c>
      <c r="X52" s="14" t="n">
        <f aca="false">Tabella5279112479161820222426283032343638404244464850525456586062646870[[#This Row],[Colonna6]]*$Q3</f>
        <v>3.2</v>
      </c>
      <c r="Y52" s="14" t="n">
        <f aca="false">Tabella5279112479161820222426283032343638404244464850525456586062646870[[#This Row],[Colonna7]]*$Q3</f>
        <v>0.8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497</v>
      </c>
      <c r="H53" s="55" t="n">
        <f aca="false">SUM(H6:H52)</f>
        <v>478</v>
      </c>
      <c r="I53" s="55" t="n">
        <f aca="false">SUM(I6:I52)</f>
        <v>407</v>
      </c>
      <c r="J53" s="55" t="n">
        <f aca="false">SUM(J6:J52)</f>
        <v>127</v>
      </c>
      <c r="K53" s="55" t="n">
        <f aca="false">SUM(K6:K52)</f>
        <v>37</v>
      </c>
      <c r="L53" s="55" t="n">
        <f aca="false">SUM(L6:L52)</f>
        <v>48</v>
      </c>
      <c r="M53" s="55" t="n">
        <f aca="false">SUM(M6:M52)</f>
        <v>16</v>
      </c>
      <c r="P53" s="17" t="s">
        <v>60</v>
      </c>
      <c r="Q53" s="17"/>
      <c r="R53" s="17"/>
      <c r="S53" s="56" t="n">
        <f aca="false">Tabella5279112479161820222426283032343638404244464850525456586062646870[[#This Row],[Colonna1]]*$Q3</f>
        <v>198.8</v>
      </c>
      <c r="T53" s="56" t="n">
        <f aca="false">Tabella5279112479161820222426283032343638404244464850525456586062646870[[#This Row],[Colonna2]]*$Q3</f>
        <v>191.2</v>
      </c>
      <c r="U53" s="56" t="n">
        <f aca="false">Tabella5279112479161820222426283032343638404244464850525456586062646870[[#This Row],[Colonna3]]*$Q3</f>
        <v>162.8</v>
      </c>
      <c r="V53" s="56" t="n">
        <f aca="false">Tabella5279112479161820222426283032343638404244464850525456586062646870[[#This Row],[Colonna4]]*$Q3</f>
        <v>50.8</v>
      </c>
      <c r="W53" s="56" t="n">
        <f aca="false">Tabella5279112479161820222426283032343638404244464850525456586062646870[[#This Row],[Colonna5]]*$Q3</f>
        <v>14.8</v>
      </c>
      <c r="X53" s="56" t="n">
        <f aca="false">Tabella5279112479161820222426283032343638404244464850525456586062646870[[#This Row],[Colonna6]]*$Q3</f>
        <v>19.2</v>
      </c>
      <c r="Y53" s="56" t="n">
        <f aca="false">Tabella5279112479161820222426283032343638404244464850525456586062646870[[#This Row],[Colonna7]]*$Q3</f>
        <v>6.4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690</v>
      </c>
      <c r="H58" s="26" t="n">
        <v>350</v>
      </c>
      <c r="I58" s="26" t="n">
        <v>458</v>
      </c>
      <c r="J58" s="26" t="n">
        <v>440</v>
      </c>
      <c r="K58" s="26" t="n">
        <v>39</v>
      </c>
      <c r="L58" s="26" t="n">
        <v>71</v>
      </c>
      <c r="M58" s="26" t="n">
        <v>42</v>
      </c>
      <c r="P58" s="23" t="s">
        <v>62</v>
      </c>
      <c r="Q58" s="23"/>
      <c r="R58" s="23"/>
      <c r="S58" s="57" t="n">
        <f aca="false">G58*$Q3</f>
        <v>276</v>
      </c>
      <c r="T58" s="57" t="n">
        <f aca="false">H58*$Q3</f>
        <v>140</v>
      </c>
      <c r="U58" s="57" t="n">
        <f aca="false">I58*$Q3</f>
        <v>183.2</v>
      </c>
      <c r="V58" s="57" t="n">
        <f aca="false">J58*$Q3</f>
        <v>176</v>
      </c>
      <c r="W58" s="57" t="n">
        <f aca="false">K58*$Q3</f>
        <v>15.6</v>
      </c>
      <c r="X58" s="57" t="n">
        <f aca="false">L58*$Q3</f>
        <v>28.4</v>
      </c>
      <c r="Y58" s="57" t="n">
        <f aca="false">M58*$Q3</f>
        <v>16.8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83</v>
      </c>
      <c r="H62" s="26" t="n">
        <v>20</v>
      </c>
      <c r="I62" s="26" t="n">
        <v>33</v>
      </c>
      <c r="J62" s="26" t="n">
        <v>48</v>
      </c>
      <c r="K62" s="26" t="n">
        <v>10</v>
      </c>
      <c r="L62" s="26" t="n">
        <v>7</v>
      </c>
      <c r="M62" s="26"/>
      <c r="P62" s="9" t="s">
        <v>66</v>
      </c>
      <c r="Q62" s="9"/>
      <c r="R62" s="9"/>
      <c r="S62" s="57" t="n">
        <f aca="false">G62*$Q3</f>
        <v>33.2</v>
      </c>
      <c r="T62" s="57" t="n">
        <f aca="false">H62*$Q3</f>
        <v>8</v>
      </c>
      <c r="U62" s="57" t="n">
        <f aca="false">I62*$Q3</f>
        <v>13.2</v>
      </c>
      <c r="V62" s="57" t="n">
        <f aca="false">J62*$Q3</f>
        <v>19.2</v>
      </c>
      <c r="W62" s="57" t="n">
        <f aca="false">K62*$Q3</f>
        <v>4</v>
      </c>
      <c r="X62" s="57" t="n">
        <f aca="false">L62*$Q3</f>
        <v>2.8</v>
      </c>
      <c r="Y62" s="57"/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14</v>
      </c>
      <c r="H63" s="26" t="n">
        <v>9</v>
      </c>
      <c r="I63" s="26" t="n">
        <v>6</v>
      </c>
      <c r="J63" s="26" t="n">
        <v>3</v>
      </c>
      <c r="K63" s="26" t="n">
        <v>3</v>
      </c>
      <c r="L63" s="26"/>
      <c r="M63" s="26" t="n">
        <v>1</v>
      </c>
      <c r="P63" s="9" t="s">
        <v>67</v>
      </c>
      <c r="Q63" s="9"/>
      <c r="R63" s="9"/>
      <c r="S63" s="57" t="n">
        <f aca="false">G63*$Q3</f>
        <v>5.6</v>
      </c>
      <c r="T63" s="57" t="n">
        <f aca="false">H63*$Q3</f>
        <v>3.6</v>
      </c>
      <c r="U63" s="57" t="n">
        <f aca="false">I63*$Q3</f>
        <v>2.4</v>
      </c>
      <c r="V63" s="57" t="n">
        <f aca="false">J63*$Q3</f>
        <v>1.2</v>
      </c>
      <c r="W63" s="57" t="n">
        <f aca="false">K63*$Q3</f>
        <v>1.2</v>
      </c>
      <c r="X63" s="57"/>
      <c r="Y63" s="57" t="n">
        <f aca="false">M63*$Q3</f>
        <v>0.4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8</v>
      </c>
      <c r="H64" s="26" t="n">
        <v>10</v>
      </c>
      <c r="I64" s="26" t="n">
        <v>19</v>
      </c>
      <c r="J64" s="26" t="n">
        <v>26</v>
      </c>
      <c r="K64" s="26" t="n">
        <v>5</v>
      </c>
      <c r="L64" s="26" t="n">
        <v>4</v>
      </c>
      <c r="M64" s="26"/>
      <c r="P64" s="9" t="s">
        <v>68</v>
      </c>
      <c r="Q64" s="9"/>
      <c r="R64" s="9"/>
      <c r="S64" s="57" t="n">
        <f aca="false">G64*$Q3</f>
        <v>3.2</v>
      </c>
      <c r="T64" s="57" t="n">
        <f aca="false">H64*$Q3</f>
        <v>4</v>
      </c>
      <c r="U64" s="57" t="n">
        <f aca="false">I64*$Q3</f>
        <v>7.6</v>
      </c>
      <c r="V64" s="57" t="n">
        <f aca="false">J64*$Q3</f>
        <v>10.4</v>
      </c>
      <c r="W64" s="57" t="n">
        <f aca="false">K64*$Q3</f>
        <v>2</v>
      </c>
      <c r="X64" s="57" t="n">
        <f aca="false">L64*$Q3</f>
        <v>1.6</v>
      </c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/>
      <c r="J65" s="26"/>
      <c r="K65" s="26" t="n">
        <v>1</v>
      </c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 t="n">
        <f aca="false">K65*$Q3</f>
        <v>0.4</v>
      </c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85</v>
      </c>
      <c r="H67" s="26" t="n">
        <v>84</v>
      </c>
      <c r="I67" s="26" t="n">
        <v>44</v>
      </c>
      <c r="J67" s="26" t="n">
        <v>31</v>
      </c>
      <c r="K67" s="26" t="n">
        <v>7</v>
      </c>
      <c r="L67" s="26" t="n">
        <v>19</v>
      </c>
      <c r="M67" s="26" t="n">
        <v>3</v>
      </c>
      <c r="P67" s="9" t="s">
        <v>71</v>
      </c>
      <c r="Q67" s="9"/>
      <c r="R67" s="9"/>
      <c r="S67" s="57" t="n">
        <f aca="false">G67*$Q3</f>
        <v>34</v>
      </c>
      <c r="T67" s="57" t="n">
        <f aca="false">H67*$Q3</f>
        <v>33.6</v>
      </c>
      <c r="U67" s="57" t="n">
        <f aca="false">I67*$Q3</f>
        <v>17.6</v>
      </c>
      <c r="V67" s="57" t="n">
        <f aca="false">J67*$Q3</f>
        <v>12.4</v>
      </c>
      <c r="W67" s="57" t="n">
        <f aca="false">K67*$Q3</f>
        <v>2.8</v>
      </c>
      <c r="X67" s="57" t="n">
        <f aca="false">L67*$Q3</f>
        <v>7.6</v>
      </c>
      <c r="Y67" s="57" t="n">
        <f aca="false">M67*$Q3</f>
        <v>1.2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5</v>
      </c>
      <c r="H68" s="30" t="n">
        <v>8</v>
      </c>
      <c r="I68" s="30" t="n">
        <v>10</v>
      </c>
      <c r="J68" s="30" t="n">
        <v>4</v>
      </c>
      <c r="K68" s="30" t="n">
        <v>3</v>
      </c>
      <c r="L68" s="30" t="n">
        <v>1</v>
      </c>
      <c r="M68" s="30"/>
      <c r="P68" s="9" t="s">
        <v>72</v>
      </c>
      <c r="Q68" s="9"/>
      <c r="R68" s="9"/>
      <c r="S68" s="57" t="n">
        <f aca="false">G68*$Q3</f>
        <v>2</v>
      </c>
      <c r="T68" s="57" t="n">
        <f aca="false">H68*$Q3</f>
        <v>3.2</v>
      </c>
      <c r="U68" s="57" t="n">
        <f aca="false">I68*$Q3</f>
        <v>4</v>
      </c>
      <c r="V68" s="57" t="n">
        <f aca="false">J68*$Q3</f>
        <v>1.6</v>
      </c>
      <c r="W68" s="57" t="n">
        <f aca="false">K68*$Q3</f>
        <v>1.2</v>
      </c>
      <c r="X68" s="57" t="n">
        <f aca="false">L68*$Q3</f>
        <v>0.4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266</v>
      </c>
      <c r="H69" s="30" t="n">
        <v>65</v>
      </c>
      <c r="I69" s="30" t="n">
        <v>80</v>
      </c>
      <c r="J69" s="30" t="n">
        <v>44</v>
      </c>
      <c r="K69" s="30" t="n">
        <v>28</v>
      </c>
      <c r="L69" s="30" t="n">
        <v>21</v>
      </c>
      <c r="M69" s="30" t="n">
        <v>6</v>
      </c>
      <c r="P69" s="9" t="s">
        <v>73</v>
      </c>
      <c r="Q69" s="9"/>
      <c r="R69" s="9"/>
      <c r="S69" s="57" t="n">
        <f aca="false">G69*Q3</f>
        <v>106.4</v>
      </c>
      <c r="T69" s="57" t="n">
        <f aca="false">H69*$Q3</f>
        <v>26</v>
      </c>
      <c r="U69" s="57" t="n">
        <f aca="false">I69*$Q3</f>
        <v>32</v>
      </c>
      <c r="V69" s="57" t="n">
        <f aca="false">J69*$Q3</f>
        <v>17.6</v>
      </c>
      <c r="W69" s="57" t="n">
        <f aca="false">K69*$Q3</f>
        <v>11.2</v>
      </c>
      <c r="X69" s="57" t="n">
        <f aca="false">L69*$Q3</f>
        <v>8.4</v>
      </c>
      <c r="Y69" s="57" t="n">
        <f aca="false">M69*$Q3</f>
        <v>2.4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1151</v>
      </c>
      <c r="H70" s="60" t="n">
        <f aca="false">SUM(H58:H69)</f>
        <v>546</v>
      </c>
      <c r="I70" s="60" t="n">
        <f aca="false">SUM(I58:I69)</f>
        <v>650</v>
      </c>
      <c r="J70" s="60" t="n">
        <f aca="false">SUM(J58:J69)</f>
        <v>596</v>
      </c>
      <c r="K70" s="12" t="n">
        <f aca="false">SUM(K58:K69)</f>
        <v>96</v>
      </c>
      <c r="L70" s="12" t="n">
        <f aca="false">SUM(L58:L69)</f>
        <v>123</v>
      </c>
      <c r="M70" s="12" t="n">
        <f aca="false">SUM(M58:M69)</f>
        <v>52</v>
      </c>
      <c r="P70" s="9" t="s">
        <v>60</v>
      </c>
      <c r="Q70" s="9"/>
      <c r="R70" s="9"/>
      <c r="S70" s="61" t="n">
        <f aca="false">G70*$Q3</f>
        <v>460.4</v>
      </c>
      <c r="T70" s="61" t="n">
        <f aca="false">H70*$Q3</f>
        <v>218.4</v>
      </c>
      <c r="U70" s="61" t="n">
        <f aca="false">I70*$Q3</f>
        <v>260</v>
      </c>
      <c r="V70" s="61" t="n">
        <f aca="false">J70*$Q3</f>
        <v>238.4</v>
      </c>
      <c r="W70" s="61" t="n">
        <f aca="false">K70*$Q3</f>
        <v>38.4</v>
      </c>
      <c r="X70" s="61" t="n">
        <f aca="false">L70*$Q3</f>
        <v>49.2</v>
      </c>
      <c r="Y70" s="61" t="n">
        <f aca="false">M70*$Q3</f>
        <v>20.8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28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45124</v>
      </c>
      <c r="K3" s="5" t="n">
        <v>45130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45124</v>
      </c>
      <c r="W3" s="5" t="n">
        <v>45130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5</v>
      </c>
      <c r="H7" s="13" t="n">
        <v>23</v>
      </c>
      <c r="I7" s="13" t="n">
        <v>25</v>
      </c>
      <c r="J7" s="13" t="n">
        <v>16</v>
      </c>
      <c r="K7" s="13" t="n">
        <v>1</v>
      </c>
      <c r="L7" s="13" t="n">
        <v>3</v>
      </c>
      <c r="M7" s="13" t="n">
        <v>3</v>
      </c>
      <c r="P7" s="12" t="s">
        <v>14</v>
      </c>
      <c r="Q7" s="12"/>
      <c r="R7" s="12"/>
      <c r="S7" s="14" t="n">
        <f aca="false">Tabella527911247916182022242628303234363840424446485052545658606264687072[[#This Row],[Colonna1]]*$Q3</f>
        <v>2</v>
      </c>
      <c r="T7" s="14" t="n">
        <f aca="false">Tabella527911247916182022242628303234363840424446485052545658606264687072[[#This Row],[Colonna2]]*$Q3</f>
        <v>9.2</v>
      </c>
      <c r="U7" s="14" t="n">
        <f aca="false">Tabella527911247916182022242628303234363840424446485052545658606264687072[[#This Row],[Colonna3]]*$Q3</f>
        <v>10</v>
      </c>
      <c r="V7" s="14" t="n">
        <f aca="false">Tabella527911247916182022242628303234363840424446485052545658606264687072[[#This Row],[Colonna4]]*$Q3</f>
        <v>6.4</v>
      </c>
      <c r="W7" s="14" t="n">
        <f aca="false">Tabella527911247916182022242628303234363840424446485052545658606264687072[[#This Row],[Colonna5]]*$Q3</f>
        <v>0.4</v>
      </c>
      <c r="X7" s="14" t="n">
        <f aca="false">Tabella527911247916182022242628303234363840424446485052545658606264687072[[#This Row],[Colonna6]]*$Q3</f>
        <v>1.2</v>
      </c>
      <c r="Y7" s="14" t="n">
        <f aca="false">Tabella527911247916182022242628303234363840424446485052545658606264687072[[#This Row],[Colonna7]]*$Q3</f>
        <v>1.2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 t="n">
        <v>1</v>
      </c>
      <c r="K9" s="13" t="n">
        <v>1</v>
      </c>
      <c r="L9" s="13"/>
      <c r="M9" s="13"/>
      <c r="P9" s="12" t="s">
        <v>16</v>
      </c>
      <c r="Q9" s="12"/>
      <c r="R9" s="12"/>
      <c r="S9" s="14"/>
      <c r="T9" s="14"/>
      <c r="U9" s="14"/>
      <c r="V9" s="14" t="n">
        <f aca="false">Tabella527911247916182022242628303234363840424446485052545658606264687072[[#This Row],[Colonna4]]*$Q3</f>
        <v>0.4</v>
      </c>
      <c r="W9" s="14" t="n">
        <f aca="false">Tabella527911247916182022242628303234363840424446485052545658606264687072[[#This Row],[Colonna5]]*$Q3</f>
        <v>0.4</v>
      </c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5</v>
      </c>
      <c r="H12" s="13" t="n">
        <v>16</v>
      </c>
      <c r="I12" s="13" t="n">
        <v>4</v>
      </c>
      <c r="J12" s="13" t="n">
        <v>7</v>
      </c>
      <c r="K12" s="13" t="n">
        <v>8</v>
      </c>
      <c r="L12" s="13"/>
      <c r="M12" s="13" t="n">
        <v>1</v>
      </c>
      <c r="P12" s="12" t="s">
        <v>19</v>
      </c>
      <c r="Q12" s="12"/>
      <c r="R12" s="12"/>
      <c r="S12" s="14" t="n">
        <f aca="false">Tabella527911247916182022242628303234363840424446485052545658606264687072[[#This Row],[Colonna1]]*$Q3</f>
        <v>2</v>
      </c>
      <c r="T12" s="14" t="n">
        <f aca="false">Tabella527911247916182022242628303234363840424446485052545658606264687072[[#This Row],[Colonna2]]*$Q3</f>
        <v>6.4</v>
      </c>
      <c r="U12" s="14" t="n">
        <f aca="false">Tabella527911247916182022242628303234363840424446485052545658606264687072[[#This Row],[Colonna3]]*$Q3</f>
        <v>1.6</v>
      </c>
      <c r="V12" s="14" t="n">
        <f aca="false">Tabella527911247916182022242628303234363840424446485052545658606264687072[[#This Row],[Colonna4]]*$Q3</f>
        <v>2.8</v>
      </c>
      <c r="W12" s="14" t="n">
        <f aca="false">Tabella527911247916182022242628303234363840424446485052545658606264687072[[#This Row],[Colonna5]]*$Q3</f>
        <v>3.2</v>
      </c>
      <c r="X12" s="14"/>
      <c r="Y12" s="14" t="n">
        <f aca="false">Tabella527911247916182022242628303234363840424446485052545658606264687072[[#This Row],[Colonna7]]*$Q3</f>
        <v>0.4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1</v>
      </c>
      <c r="H15" s="13"/>
      <c r="I15" s="13"/>
      <c r="J15" s="13"/>
      <c r="K15" s="13" t="n">
        <v>1</v>
      </c>
      <c r="L15" s="13"/>
      <c r="M15" s="13"/>
      <c r="P15" s="12" t="s">
        <v>22</v>
      </c>
      <c r="Q15" s="12"/>
      <c r="R15" s="12"/>
      <c r="S15" s="14" t="n">
        <f aca="false">Tabella527911247916182022242628303234363840424446485052545658606264687072[[#This Row],[Colonna1]]*$Q3</f>
        <v>0.4</v>
      </c>
      <c r="T15" s="14"/>
      <c r="U15" s="14"/>
      <c r="V15" s="14"/>
      <c r="W15" s="14" t="n">
        <f aca="false">Tabella527911247916182022242628303234363840424446485052545658606264687072[[#This Row],[Colonna5]]*$Q3</f>
        <v>0.4</v>
      </c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 t="n">
        <v>1</v>
      </c>
      <c r="K20" s="13"/>
      <c r="L20" s="13" t="n">
        <v>2</v>
      </c>
      <c r="M20" s="13"/>
      <c r="P20" s="9" t="s">
        <v>27</v>
      </c>
      <c r="Q20" s="9"/>
      <c r="R20" s="9"/>
      <c r="S20" s="14"/>
      <c r="T20" s="14"/>
      <c r="U20" s="14"/>
      <c r="V20" s="14" t="n">
        <f aca="false">Tabella527911247916182022242628303234363840424446485052545658606264687072[[#This Row],[Colonna4]]*$Q3</f>
        <v>0.4</v>
      </c>
      <c r="W20" s="14"/>
      <c r="X20" s="14" t="n">
        <f aca="false">Tabella527911247916182022242628303234363840424446485052545658606264687072[[#This Row],[Colonna6]]*$Q3</f>
        <v>0.8</v>
      </c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</v>
      </c>
      <c r="H22" s="13" t="n">
        <v>6</v>
      </c>
      <c r="I22" s="13" t="n">
        <v>2</v>
      </c>
      <c r="J22" s="13" t="n">
        <v>12</v>
      </c>
      <c r="K22" s="13" t="n">
        <v>3</v>
      </c>
      <c r="L22" s="13" t="n">
        <v>1</v>
      </c>
      <c r="M22" s="13"/>
      <c r="P22" s="12" t="s">
        <v>29</v>
      </c>
      <c r="Q22" s="12"/>
      <c r="R22" s="12"/>
      <c r="S22" s="14" t="n">
        <f aca="false">Tabella527911247916182022242628303234363840424446485052545658606264687072[[#This Row],[Colonna1]]*$Q3</f>
        <v>0.8</v>
      </c>
      <c r="T22" s="14" t="n">
        <f aca="false">Tabella527911247916182022242628303234363840424446485052545658606264687072[[#This Row],[Colonna2]]*$Q3</f>
        <v>2.4</v>
      </c>
      <c r="U22" s="14" t="n">
        <f aca="false">Tabella527911247916182022242628303234363840424446485052545658606264687072[[#This Row],[Colonna3]]*$Q3</f>
        <v>0.8</v>
      </c>
      <c r="V22" s="14" t="n">
        <f aca="false">Tabella527911247916182022242628303234363840424446485052545658606264687072[[#This Row],[Colonna4]]*$Q3</f>
        <v>4.8</v>
      </c>
      <c r="W22" s="14" t="n">
        <f aca="false">Tabella527911247916182022242628303234363840424446485052545658606264687072[[#This Row],[Colonna5]]*$Q3</f>
        <v>1.2</v>
      </c>
      <c r="X22" s="14" t="n">
        <f aca="false">Tabella527911247916182022242628303234363840424446485052545658606264687072[[#This Row],[Colonna6]]*$Q3</f>
        <v>0.4</v>
      </c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 t="n">
        <v>1</v>
      </c>
      <c r="I23" s="13"/>
      <c r="J23" s="13"/>
      <c r="K23" s="13" t="n">
        <v>1</v>
      </c>
      <c r="L23" s="13"/>
      <c r="M23" s="13"/>
      <c r="P23" s="17" t="s">
        <v>30</v>
      </c>
      <c r="Q23" s="17"/>
      <c r="R23" s="17"/>
      <c r="S23" s="136"/>
      <c r="T23" s="14" t="n">
        <f aca="false">Tabella527911247916182022242628303234363840424446485052545658606264687072[[#This Row],[Colonna2]]*$Q3</f>
        <v>0.4</v>
      </c>
      <c r="U23" s="14"/>
      <c r="V23" s="14"/>
      <c r="W23" s="14" t="n">
        <f aca="false">Tabella527911247916182022242628303234363840424446485052545658606264687072[[#This Row],[Colonna5]]*$Q3</f>
        <v>0.4</v>
      </c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53</v>
      </c>
      <c r="H26" s="13" t="n">
        <v>55</v>
      </c>
      <c r="I26" s="13" t="n">
        <v>30</v>
      </c>
      <c r="J26" s="13" t="n">
        <v>18</v>
      </c>
      <c r="K26" s="13" t="n">
        <v>18</v>
      </c>
      <c r="L26" s="13" t="n">
        <v>3</v>
      </c>
      <c r="M26" s="13" t="n">
        <v>2</v>
      </c>
      <c r="P26" s="12" t="s">
        <v>33</v>
      </c>
      <c r="Q26" s="12"/>
      <c r="R26" s="12"/>
      <c r="S26" s="14" t="n">
        <f aca="false">Tabella527911247916182022242628303234363840424446485052545658606264687072[[#This Row],[Colonna1]]*$Q3</f>
        <v>21.2</v>
      </c>
      <c r="T26" s="14" t="n">
        <f aca="false">Tabella527911247916182022242628303234363840424446485052545658606264687072[[#This Row],[Colonna2]]*$Q3</f>
        <v>22</v>
      </c>
      <c r="U26" s="14" t="n">
        <f aca="false">Tabella527911247916182022242628303234363840424446485052545658606264687072[[#This Row],[Colonna3]]*$Q3</f>
        <v>12</v>
      </c>
      <c r="V26" s="14" t="n">
        <f aca="false">Tabella527911247916182022242628303234363840424446485052545658606264687072[[#This Row],[Colonna4]]*$Q3</f>
        <v>7.2</v>
      </c>
      <c r="W26" s="14" t="n">
        <f aca="false">Tabella527911247916182022242628303234363840424446485052545658606264687072[[#This Row],[Colonna5]]*$Q3</f>
        <v>7.2</v>
      </c>
      <c r="X26" s="14" t="n">
        <f aca="false">Tabella527911247916182022242628303234363840424446485052545658606264687072[[#This Row],[Colonna6]]*$Q3</f>
        <v>1.2</v>
      </c>
      <c r="Y26" s="14" t="n">
        <f aca="false">Tabella527911247916182022242628303234363840424446485052545658606264687072[[#This Row],[Colonna7]]*$Q3</f>
        <v>0.8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 t="n">
        <v>1</v>
      </c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 t="n">
        <f aca="false">Tabella527911247916182022242628303234363840424446485052545658606264687072[[#This Row],[Colonna2]]*$Q3</f>
        <v>0.4</v>
      </c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 t="n">
        <v>2</v>
      </c>
      <c r="I28" s="13" t="n">
        <v>1</v>
      </c>
      <c r="J28" s="13"/>
      <c r="K28" s="13"/>
      <c r="L28" s="13"/>
      <c r="M28" s="13"/>
      <c r="P28" s="12" t="s">
        <v>35</v>
      </c>
      <c r="Q28" s="12"/>
      <c r="R28" s="12"/>
      <c r="S28" s="14"/>
      <c r="T28" s="14" t="n">
        <f aca="false">Tabella527911247916182022242628303234363840424446485052545658606264687072[[#This Row],[Colonna2]]*$Q3</f>
        <v>0.8</v>
      </c>
      <c r="U28" s="14" t="n">
        <f aca="false">Tabella527911247916182022242628303234363840424446485052545658606264687072[[#This Row],[Colonna3]]*$Q3</f>
        <v>0.4</v>
      </c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8</v>
      </c>
      <c r="H29" s="13" t="n">
        <v>41</v>
      </c>
      <c r="I29" s="13" t="n">
        <v>30</v>
      </c>
      <c r="J29" s="13" t="n">
        <v>31</v>
      </c>
      <c r="K29" s="13" t="n">
        <v>13</v>
      </c>
      <c r="L29" s="13" t="n">
        <v>7</v>
      </c>
      <c r="M29" s="13" t="n">
        <v>1</v>
      </c>
      <c r="P29" s="12" t="s">
        <v>36</v>
      </c>
      <c r="Q29" s="12"/>
      <c r="R29" s="12"/>
      <c r="S29" s="14" t="n">
        <f aca="false">Tabella527911247916182022242628303234363840424446485052545658606264687072[[#This Row],[Colonna1]]*$Q3</f>
        <v>3.2</v>
      </c>
      <c r="T29" s="14" t="n">
        <f aca="false">Tabella527911247916182022242628303234363840424446485052545658606264687072[[#This Row],[Colonna2]]*$Q3</f>
        <v>16.4</v>
      </c>
      <c r="U29" s="14" t="n">
        <f aca="false">Tabella527911247916182022242628303234363840424446485052545658606264687072[[#This Row],[Colonna3]]*$Q3</f>
        <v>12</v>
      </c>
      <c r="V29" s="14" t="n">
        <f aca="false">Tabella527911247916182022242628303234363840424446485052545658606264687072[[#This Row],[Colonna4]]*$Q3</f>
        <v>12.4</v>
      </c>
      <c r="W29" s="14" t="n">
        <f aca="false">Tabella527911247916182022242628303234363840424446485052545658606264687072[[#This Row],[Colonna5]]*$Q3</f>
        <v>5.2</v>
      </c>
      <c r="X29" s="14" t="n">
        <f aca="false">Tabella527911247916182022242628303234363840424446485052545658606264687072[[#This Row],[Colonna6]]*$Q3</f>
        <v>2.8</v>
      </c>
      <c r="Y29" s="14" t="n">
        <f aca="false">Tabella527911247916182022242628303234363840424446485052545658606264687072[[#This Row],[Colonna7]]*$Q3</f>
        <v>0.4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 t="n">
        <v>5</v>
      </c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 t="n">
        <f aca="false">Tabella527911247916182022242628303234363840424446485052545658606264687072[[#This Row],[Colonna2]]*$Q3</f>
        <v>2</v>
      </c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1</v>
      </c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 t="n">
        <f aca="false">Tabella527911247916182022242628303234363840424446485052545658606264687072[[#This Row],[Colonna1]]*$Q3</f>
        <v>0.4</v>
      </c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2</v>
      </c>
      <c r="H41" s="13" t="n">
        <v>7</v>
      </c>
      <c r="I41" s="13" t="n">
        <v>4</v>
      </c>
      <c r="J41" s="13" t="n">
        <v>2</v>
      </c>
      <c r="K41" s="13" t="n">
        <v>1</v>
      </c>
      <c r="L41" s="13" t="n">
        <v>1</v>
      </c>
      <c r="M41" s="13"/>
      <c r="P41" s="18" t="s">
        <v>48</v>
      </c>
      <c r="Q41" s="18"/>
      <c r="R41" s="18"/>
      <c r="S41" s="14" t="n">
        <f aca="false">Tabella527911247916182022242628303234363840424446485052545658606264687072[[#This Row],[Colonna1]]*$Q3</f>
        <v>0.8</v>
      </c>
      <c r="T41" s="14" t="n">
        <f aca="false">Tabella527911247916182022242628303234363840424446485052545658606264687072[[#This Row],[Colonna2]]*$Q3</f>
        <v>2.8</v>
      </c>
      <c r="U41" s="14" t="n">
        <f aca="false">Tabella527911247916182022242628303234363840424446485052545658606264687072[[#This Row],[Colonna3]]*$Q3</f>
        <v>1.6</v>
      </c>
      <c r="V41" s="14" t="n">
        <f aca="false">Tabella527911247916182022242628303234363840424446485052545658606264687072[[#This Row],[Colonna4]]*$Q3</f>
        <v>0.8</v>
      </c>
      <c r="W41" s="14" t="n">
        <f aca="false">Tabella527911247916182022242628303234363840424446485052545658606264687072[[#This Row],[Colonna5]]*$Q3</f>
        <v>0.4</v>
      </c>
      <c r="X41" s="14" t="n">
        <f aca="false">Tabella527911247916182022242628303234363840424446485052545658606264687072[[#This Row],[Colonna6]]*$Q3</f>
        <v>0.4</v>
      </c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8</v>
      </c>
      <c r="H42" s="13" t="n">
        <v>13</v>
      </c>
      <c r="I42" s="13" t="n">
        <v>12</v>
      </c>
      <c r="J42" s="13" t="n">
        <v>14</v>
      </c>
      <c r="K42" s="13" t="n">
        <v>8</v>
      </c>
      <c r="L42" s="13" t="n">
        <v>2</v>
      </c>
      <c r="M42" s="13" t="n">
        <v>3</v>
      </c>
      <c r="P42" s="9" t="s">
        <v>49</v>
      </c>
      <c r="Q42" s="9"/>
      <c r="R42" s="9"/>
      <c r="S42" s="14" t="n">
        <f aca="false">Tabella527911247916182022242628303234363840424446485052545658606264687072[[#This Row],[Colonna1]]*$Q3</f>
        <v>3.2</v>
      </c>
      <c r="T42" s="14" t="n">
        <f aca="false">Tabella527911247916182022242628303234363840424446485052545658606264687072[[#This Row],[Colonna2]]*$Q3</f>
        <v>5.2</v>
      </c>
      <c r="U42" s="14" t="n">
        <f aca="false">Tabella527911247916182022242628303234363840424446485052545658606264687072[[#This Row],[Colonna3]]*$Q3</f>
        <v>4.8</v>
      </c>
      <c r="V42" s="14" t="n">
        <f aca="false">Tabella527911247916182022242628303234363840424446485052545658606264687072[[#This Row],[Colonna4]]*$Q3</f>
        <v>5.6</v>
      </c>
      <c r="W42" s="14" t="n">
        <f aca="false">Tabella527911247916182022242628303234363840424446485052545658606264687072[[#This Row],[Colonna5]]*$Q3</f>
        <v>3.2</v>
      </c>
      <c r="X42" s="14" t="n">
        <f aca="false">Tabella527911247916182022242628303234363840424446485052545658606264687072[[#This Row],[Colonna6]]*$Q3</f>
        <v>0.8</v>
      </c>
      <c r="Y42" s="14" t="n">
        <f aca="false">Tabella527911247916182022242628303234363840424446485052545658606264687072[[#This Row],[Colonna7]]*$Q3</f>
        <v>1.2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13</v>
      </c>
      <c r="H44" s="13" t="n">
        <v>33</v>
      </c>
      <c r="I44" s="13" t="n">
        <v>18</v>
      </c>
      <c r="J44" s="13" t="n">
        <v>34</v>
      </c>
      <c r="K44" s="13" t="n">
        <v>3</v>
      </c>
      <c r="L44" s="13" t="n">
        <v>2</v>
      </c>
      <c r="M44" s="13" t="n">
        <v>2</v>
      </c>
      <c r="P44" s="12" t="s">
        <v>51</v>
      </c>
      <c r="Q44" s="12"/>
      <c r="R44" s="12"/>
      <c r="S44" s="14" t="n">
        <f aca="false">Tabella527911247916182022242628303234363840424446485052545658606264687072[[#This Row],[Colonna1]]*$Q3</f>
        <v>5.2</v>
      </c>
      <c r="T44" s="14" t="n">
        <f aca="false">Tabella527911247916182022242628303234363840424446485052545658606264687072[[#This Row],[Colonna2]]*$Q3</f>
        <v>13.2</v>
      </c>
      <c r="U44" s="14" t="n">
        <f aca="false">Tabella527911247916182022242628303234363840424446485052545658606264687072[[#This Row],[Colonna3]]*$Q3</f>
        <v>7.2</v>
      </c>
      <c r="V44" s="14" t="n">
        <f aca="false">Tabella527911247916182022242628303234363840424446485052545658606264687072[[#This Row],[Colonna4]]*$Q3</f>
        <v>13.6</v>
      </c>
      <c r="W44" s="14" t="n">
        <f aca="false">Tabella527911247916182022242628303234363840424446485052545658606264687072[[#This Row],[Colonna5]]*$Q3</f>
        <v>1.2</v>
      </c>
      <c r="X44" s="14" t="n">
        <f aca="false">Tabella527911247916182022242628303234363840424446485052545658606264687072[[#This Row],[Colonna6]]*$Q3</f>
        <v>0.8</v>
      </c>
      <c r="Y44" s="14" t="n">
        <f aca="false">Tabella527911247916182022242628303234363840424446485052545658606264687072[[#This Row],[Colonna7]]*$Q3</f>
        <v>0.8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1</v>
      </c>
      <c r="H49" s="13"/>
      <c r="I49" s="13" t="n">
        <v>1</v>
      </c>
      <c r="J49" s="13"/>
      <c r="K49" s="13" t="n">
        <v>2</v>
      </c>
      <c r="L49" s="13" t="n">
        <v>3</v>
      </c>
      <c r="M49" s="13"/>
      <c r="P49" s="18" t="s">
        <v>56</v>
      </c>
      <c r="Q49" s="18"/>
      <c r="R49" s="18"/>
      <c r="S49" s="14" t="n">
        <f aca="false">Tabella527911247916182022242628303234363840424446485052545658606264687072[[#This Row],[Colonna1]]*$Q3</f>
        <v>0.4</v>
      </c>
      <c r="T49" s="14"/>
      <c r="U49" s="14" t="n">
        <f aca="false">Tabella527911247916182022242628303234363840424446485052545658606264687072[[#This Row],[Colonna3]]*$Q3</f>
        <v>0.4</v>
      </c>
      <c r="V49" s="14"/>
      <c r="W49" s="14" t="n">
        <f aca="false">Tabella527911247916182022242628303234363840424446485052545658606264687072[[#This Row],[Colonna5]]*$Q3</f>
        <v>0.8</v>
      </c>
      <c r="X49" s="14" t="n">
        <f aca="false">Tabella527911247916182022242628303234363840424446485052545658606264687072[[#This Row],[Colonna6]]*$Q3</f>
        <v>1.2</v>
      </c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4</v>
      </c>
      <c r="H52" s="13" t="n">
        <v>18</v>
      </c>
      <c r="I52" s="13" t="n">
        <v>10</v>
      </c>
      <c r="J52" s="13" t="n">
        <v>13</v>
      </c>
      <c r="K52" s="13" t="n">
        <v>9</v>
      </c>
      <c r="L52" s="13" t="n">
        <v>1</v>
      </c>
      <c r="M52" s="13" t="n">
        <v>2</v>
      </c>
      <c r="P52" s="12" t="s">
        <v>59</v>
      </c>
      <c r="Q52" s="12"/>
      <c r="R52" s="12"/>
      <c r="S52" s="14" t="n">
        <f aca="false">Tabella527911247916182022242628303234363840424446485052545658606264687072[[#This Row],[Colonna1]]*$Q3</f>
        <v>1.6</v>
      </c>
      <c r="T52" s="14" t="n">
        <f aca="false">Tabella527911247916182022242628303234363840424446485052545658606264687072[[#This Row],[Colonna2]]*$Q3</f>
        <v>7.2</v>
      </c>
      <c r="U52" s="14" t="n">
        <f aca="false">Tabella527911247916182022242628303234363840424446485052545658606264687072[[#This Row],[Colonna3]]*$Q3</f>
        <v>4</v>
      </c>
      <c r="V52" s="14" t="n">
        <f aca="false">Tabella527911247916182022242628303234363840424446485052545658606264687072[[#This Row],[Colonna4]]*$Q3</f>
        <v>5.2</v>
      </c>
      <c r="W52" s="14" t="n">
        <f aca="false">Tabella527911247916182022242628303234363840424446485052545658606264687072[[#This Row],[Colonna5]]*$Q3</f>
        <v>3.6</v>
      </c>
      <c r="X52" s="14" t="n">
        <f aca="false">Tabella527911247916182022242628303234363840424446485052545658606264687072[[#This Row],[Colonna6]]*$Q3</f>
        <v>0.4</v>
      </c>
      <c r="Y52" s="14" t="n">
        <f aca="false">Tabella527911247916182022242628303234363840424446485052545658606264687072[[#This Row],[Colonna7]]*$Q3</f>
        <v>0.8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103</v>
      </c>
      <c r="H53" s="55" t="n">
        <f aca="false">SUM(H6:H52)</f>
        <v>221</v>
      </c>
      <c r="I53" s="55" t="n">
        <f aca="false">SUM(I6:I52)</f>
        <v>137</v>
      </c>
      <c r="J53" s="55" t="n">
        <f aca="false">SUM(J6:J52)</f>
        <v>149</v>
      </c>
      <c r="K53" s="55" t="n">
        <f aca="false">SUM(K6:K52)</f>
        <v>69</v>
      </c>
      <c r="L53" s="55" t="n">
        <f aca="false">SUM(L6:L52)</f>
        <v>25</v>
      </c>
      <c r="M53" s="55" t="n">
        <f aca="false">SUM(M6:M52)</f>
        <v>14</v>
      </c>
      <c r="P53" s="17" t="s">
        <v>60</v>
      </c>
      <c r="Q53" s="17"/>
      <c r="R53" s="17"/>
      <c r="S53" s="56" t="n">
        <f aca="false">Tabella527911247916182022242628303234363840424446485052545658606264687072[[#This Row],[Colonna1]]*$Q3</f>
        <v>41.2</v>
      </c>
      <c r="T53" s="56" t="n">
        <f aca="false">Tabella527911247916182022242628303234363840424446485052545658606264687072[[#This Row],[Colonna2]]*$Q3</f>
        <v>88.4</v>
      </c>
      <c r="U53" s="56" t="n">
        <f aca="false">Tabella527911247916182022242628303234363840424446485052545658606264687072[[#This Row],[Colonna3]]*$Q3</f>
        <v>54.8</v>
      </c>
      <c r="V53" s="56" t="n">
        <f aca="false">Tabella527911247916182022242628303234363840424446485052545658606264687072[[#This Row],[Colonna4]]*$Q3</f>
        <v>59.6</v>
      </c>
      <c r="W53" s="56" t="n">
        <f aca="false">Tabella527911247916182022242628303234363840424446485052545658606264687072[[#This Row],[Colonna5]]*$Q3</f>
        <v>27.6</v>
      </c>
      <c r="X53" s="56" t="n">
        <f aca="false">Tabella527911247916182022242628303234363840424446485052545658606264687072[[#This Row],[Colonna6]]*$Q3</f>
        <v>10</v>
      </c>
      <c r="Y53" s="56" t="n">
        <f aca="false">Tabella527911247916182022242628303234363840424446485052545658606264687072[[#This Row],[Colonna7]]*$Q3</f>
        <v>5.6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130</v>
      </c>
      <c r="H58" s="26" t="n">
        <v>330</v>
      </c>
      <c r="I58" s="26" t="n">
        <v>110</v>
      </c>
      <c r="J58" s="26" t="n">
        <v>283</v>
      </c>
      <c r="K58" s="26" t="n">
        <v>115</v>
      </c>
      <c r="L58" s="26" t="n">
        <v>76</v>
      </c>
      <c r="M58" s="26" t="n">
        <v>67</v>
      </c>
      <c r="P58" s="23" t="s">
        <v>62</v>
      </c>
      <c r="Q58" s="23"/>
      <c r="R58" s="23"/>
      <c r="S58" s="57" t="n">
        <f aca="false">G58*$Q3</f>
        <v>52</v>
      </c>
      <c r="T58" s="57" t="n">
        <f aca="false">H58*$Q3</f>
        <v>132</v>
      </c>
      <c r="U58" s="57" t="n">
        <f aca="false">I58*$Q3</f>
        <v>44</v>
      </c>
      <c r="V58" s="57" t="n">
        <f aca="false">J58*$Q3</f>
        <v>113.2</v>
      </c>
      <c r="W58" s="57" t="n">
        <f aca="false">K58*$Q3</f>
        <v>46</v>
      </c>
      <c r="X58" s="57" t="n">
        <f aca="false">L58*$Q3</f>
        <v>30.4</v>
      </c>
      <c r="Y58" s="57" t="n">
        <f aca="false">M58*$Q3</f>
        <v>26.8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10</v>
      </c>
      <c r="H62" s="26" t="n">
        <v>33</v>
      </c>
      <c r="I62" s="26" t="n">
        <v>15</v>
      </c>
      <c r="J62" s="26" t="n">
        <v>46</v>
      </c>
      <c r="K62" s="26" t="n">
        <v>6</v>
      </c>
      <c r="L62" s="26" t="n">
        <v>15</v>
      </c>
      <c r="M62" s="26" t="n">
        <v>4</v>
      </c>
      <c r="P62" s="9" t="s">
        <v>66</v>
      </c>
      <c r="Q62" s="9"/>
      <c r="R62" s="9"/>
      <c r="S62" s="57" t="n">
        <f aca="false">G62*$Q3</f>
        <v>4</v>
      </c>
      <c r="T62" s="57" t="n">
        <f aca="false">H62*$Q3</f>
        <v>13.2</v>
      </c>
      <c r="U62" s="57" t="n">
        <f aca="false">I62*$Q3</f>
        <v>6</v>
      </c>
      <c r="V62" s="57" t="n">
        <f aca="false">J62*$Q3</f>
        <v>18.4</v>
      </c>
      <c r="W62" s="57" t="n">
        <f aca="false">K62*$Q3</f>
        <v>2.4</v>
      </c>
      <c r="X62" s="57" t="n">
        <f aca="false">L62*$Q3</f>
        <v>6</v>
      </c>
      <c r="Y62" s="57" t="n">
        <f aca="false">M62*$Q3</f>
        <v>1.6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7</v>
      </c>
      <c r="H63" s="26" t="n">
        <v>21</v>
      </c>
      <c r="I63" s="26" t="n">
        <v>7</v>
      </c>
      <c r="J63" s="26" t="n">
        <v>14</v>
      </c>
      <c r="K63" s="26" t="n">
        <v>4</v>
      </c>
      <c r="L63" s="26" t="n">
        <v>5</v>
      </c>
      <c r="M63" s="26" t="n">
        <v>8</v>
      </c>
      <c r="P63" s="9" t="s">
        <v>67</v>
      </c>
      <c r="Q63" s="9"/>
      <c r="R63" s="9"/>
      <c r="S63" s="57" t="n">
        <f aca="false">G63*$Q3</f>
        <v>2.8</v>
      </c>
      <c r="T63" s="57" t="n">
        <f aca="false">H63*$Q3</f>
        <v>8.4</v>
      </c>
      <c r="U63" s="57" t="n">
        <f aca="false">I63*$Q3</f>
        <v>2.8</v>
      </c>
      <c r="V63" s="57" t="n">
        <f aca="false">J63*$Q3</f>
        <v>5.6</v>
      </c>
      <c r="W63" s="57" t="n">
        <f aca="false">K63*$Q3</f>
        <v>1.6</v>
      </c>
      <c r="X63" s="57" t="n">
        <f aca="false">L63*$Q3</f>
        <v>2</v>
      </c>
      <c r="Y63" s="57" t="n">
        <f aca="false">M63*$Q3</f>
        <v>3.2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11</v>
      </c>
      <c r="H64" s="26" t="n">
        <v>15</v>
      </c>
      <c r="I64" s="26" t="n">
        <v>8</v>
      </c>
      <c r="J64" s="26" t="n">
        <v>12</v>
      </c>
      <c r="K64" s="26" t="n">
        <v>7</v>
      </c>
      <c r="L64" s="26" t="n">
        <v>2</v>
      </c>
      <c r="M64" s="26" t="n">
        <v>5</v>
      </c>
      <c r="P64" s="9" t="s">
        <v>68</v>
      </c>
      <c r="Q64" s="9"/>
      <c r="R64" s="9"/>
      <c r="S64" s="57" t="n">
        <f aca="false">G64*$Q3</f>
        <v>4.4</v>
      </c>
      <c r="T64" s="57" t="n">
        <f aca="false">H64*$Q3</f>
        <v>6</v>
      </c>
      <c r="U64" s="57" t="n">
        <f aca="false">I64*$Q3</f>
        <v>3.2</v>
      </c>
      <c r="V64" s="57" t="n">
        <f aca="false">J64*$Q3</f>
        <v>4.8</v>
      </c>
      <c r="W64" s="57" t="n">
        <f aca="false">K64*$Q3</f>
        <v>2.8</v>
      </c>
      <c r="X64" s="57" t="n">
        <f aca="false">L64*$Q3</f>
        <v>0.8</v>
      </c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/>
      <c r="J65" s="26" t="n">
        <v>3</v>
      </c>
      <c r="K65" s="26" t="n">
        <v>2</v>
      </c>
      <c r="L65" s="26" t="n">
        <v>4</v>
      </c>
      <c r="M65" s="26"/>
      <c r="P65" s="9" t="s">
        <v>69</v>
      </c>
      <c r="Q65" s="9"/>
      <c r="R65" s="9"/>
      <c r="S65" s="57"/>
      <c r="T65" s="57"/>
      <c r="U65" s="57"/>
      <c r="V65" s="57" t="n">
        <f aca="false">J65*$Q3</f>
        <v>1.2</v>
      </c>
      <c r="W65" s="57" t="n">
        <f aca="false">K65*$Q3</f>
        <v>0.8</v>
      </c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23</v>
      </c>
      <c r="H67" s="26" t="n">
        <v>45</v>
      </c>
      <c r="I67" s="26" t="n">
        <v>31</v>
      </c>
      <c r="J67" s="26" t="n">
        <v>44</v>
      </c>
      <c r="K67" s="26" t="n">
        <v>10</v>
      </c>
      <c r="L67" s="26" t="n">
        <v>10</v>
      </c>
      <c r="M67" s="26" t="n">
        <v>11</v>
      </c>
      <c r="P67" s="9" t="s">
        <v>71</v>
      </c>
      <c r="Q67" s="9"/>
      <c r="R67" s="9"/>
      <c r="S67" s="57" t="n">
        <f aca="false">G67*$Q3</f>
        <v>9.2</v>
      </c>
      <c r="T67" s="57" t="n">
        <f aca="false">H67*$Q3</f>
        <v>18</v>
      </c>
      <c r="U67" s="57" t="n">
        <f aca="false">I67*$Q3</f>
        <v>12.4</v>
      </c>
      <c r="V67" s="57" t="n">
        <f aca="false">J67*$Q3</f>
        <v>17.6</v>
      </c>
      <c r="W67" s="57" t="n">
        <f aca="false">K67*$Q3</f>
        <v>4</v>
      </c>
      <c r="X67" s="57" t="n">
        <f aca="false">L67*$Q3</f>
        <v>4</v>
      </c>
      <c r="Y67" s="57" t="n">
        <f aca="false">M67*$Q3</f>
        <v>4.4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13</v>
      </c>
      <c r="H68" s="30" t="n">
        <v>15</v>
      </c>
      <c r="I68" s="30" t="n">
        <v>8</v>
      </c>
      <c r="J68" s="30" t="n">
        <v>15</v>
      </c>
      <c r="K68" s="30" t="n">
        <v>2</v>
      </c>
      <c r="L68" s="30" t="n">
        <v>1</v>
      </c>
      <c r="M68" s="30" t="n">
        <v>1</v>
      </c>
      <c r="P68" s="9" t="s">
        <v>72</v>
      </c>
      <c r="Q68" s="9"/>
      <c r="R68" s="9"/>
      <c r="S68" s="57" t="n">
        <f aca="false">G68*$Q3</f>
        <v>5.2</v>
      </c>
      <c r="T68" s="57" t="n">
        <f aca="false">H68*$Q3</f>
        <v>6</v>
      </c>
      <c r="U68" s="57" t="n">
        <f aca="false">I68*$Q3</f>
        <v>3.2</v>
      </c>
      <c r="V68" s="57" t="n">
        <f aca="false">J68*$Q3</f>
        <v>6</v>
      </c>
      <c r="W68" s="57" t="n">
        <f aca="false">K68*$Q3</f>
        <v>0.8</v>
      </c>
      <c r="X68" s="57" t="n">
        <f aca="false">L68*$Q3</f>
        <v>0.4</v>
      </c>
      <c r="Y68" s="57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30</v>
      </c>
      <c r="H69" s="30" t="n">
        <v>88</v>
      </c>
      <c r="I69" s="30" t="n">
        <v>5</v>
      </c>
      <c r="J69" s="30" t="n">
        <v>74</v>
      </c>
      <c r="K69" s="30" t="n">
        <v>31</v>
      </c>
      <c r="L69" s="30" t="n">
        <v>12</v>
      </c>
      <c r="M69" s="30" t="n">
        <v>4</v>
      </c>
      <c r="P69" s="9" t="s">
        <v>73</v>
      </c>
      <c r="Q69" s="9"/>
      <c r="R69" s="9"/>
      <c r="S69" s="57" t="n">
        <f aca="false">G69*Q3</f>
        <v>12</v>
      </c>
      <c r="T69" s="57" t="n">
        <f aca="false">H69*$Q3</f>
        <v>35.2</v>
      </c>
      <c r="U69" s="57" t="n">
        <f aca="false">I69*$Q3</f>
        <v>2</v>
      </c>
      <c r="V69" s="57" t="n">
        <f aca="false">J69*$Q3</f>
        <v>29.6</v>
      </c>
      <c r="W69" s="57" t="n">
        <f aca="false">K69*$Q3</f>
        <v>12.4</v>
      </c>
      <c r="X69" s="57" t="n">
        <f aca="false">L69*$Q3</f>
        <v>4.8</v>
      </c>
      <c r="Y69" s="57" t="n">
        <f aca="false">M69*$Q3</f>
        <v>1.6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224</v>
      </c>
      <c r="H70" s="60" t="n">
        <f aca="false">SUM(H58:H69)</f>
        <v>547</v>
      </c>
      <c r="I70" s="60" t="n">
        <f aca="false">SUM(I58:I69)</f>
        <v>184</v>
      </c>
      <c r="J70" s="60" t="n">
        <f aca="false">SUM(J58:J69)</f>
        <v>491</v>
      </c>
      <c r="K70" s="12" t="n">
        <f aca="false">SUM(K58:K69)</f>
        <v>177</v>
      </c>
      <c r="L70" s="12" t="n">
        <f aca="false">SUM(L58:L69)</f>
        <v>125</v>
      </c>
      <c r="M70" s="12" t="n">
        <f aca="false">SUM(M58:M69)</f>
        <v>100</v>
      </c>
      <c r="P70" s="9" t="s">
        <v>60</v>
      </c>
      <c r="Q70" s="9"/>
      <c r="R70" s="9"/>
      <c r="S70" s="61" t="n">
        <f aca="false">G70*$Q3</f>
        <v>89.6</v>
      </c>
      <c r="T70" s="61" t="n">
        <f aca="false">H70*$Q3</f>
        <v>218.8</v>
      </c>
      <c r="U70" s="61" t="n">
        <f aca="false">I70*$Q3</f>
        <v>73.6</v>
      </c>
      <c r="V70" s="61" t="n">
        <f aca="false">J70*$Q3</f>
        <v>196.4</v>
      </c>
      <c r="W70" s="61" t="n">
        <f aca="false">K70*$Q3</f>
        <v>70.8</v>
      </c>
      <c r="X70" s="61" t="n">
        <f aca="false">L70*$Q3</f>
        <v>50</v>
      </c>
      <c r="Y70" s="61" t="n">
        <f aca="false">M70*$Q3</f>
        <v>40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34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45138</v>
      </c>
      <c r="K3" s="5" t="n">
        <v>45144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45138</v>
      </c>
      <c r="W3" s="5" t="n">
        <v>45144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 t="n">
        <v>5</v>
      </c>
      <c r="I7" s="13" t="n">
        <v>3</v>
      </c>
      <c r="J7" s="13" t="n">
        <v>1</v>
      </c>
      <c r="K7" s="13" t="n">
        <v>1</v>
      </c>
      <c r="L7" s="13"/>
      <c r="M7" s="13"/>
      <c r="P7" s="12" t="s">
        <v>14</v>
      </c>
      <c r="Q7" s="12"/>
      <c r="R7" s="12"/>
      <c r="S7" s="14"/>
      <c r="T7" s="14" t="n">
        <f aca="false">Tabella5279112479161820222426283032343638404244464850525456586062646870727476[[#This Row],[Colonna2]]*$Q3</f>
        <v>2</v>
      </c>
      <c r="U7" s="14" t="n">
        <f aca="false">Tabella5279112479161820222426283032343638404244464850525456586062646870727476[[#This Row],[Colonna3]]*$Q3</f>
        <v>1.2</v>
      </c>
      <c r="V7" s="14" t="n">
        <f aca="false">Tabella5279112479161820222426283032343638404244464850525456586062646870727476[[#This Row],[Colonna4]]*$Q3</f>
        <v>0.4</v>
      </c>
      <c r="W7" s="14" t="n">
        <f aca="false">Tabella5279112479161820222426283032343638404244464850525456586062646870727476[[#This Row],[Colonna5]]*$Q3</f>
        <v>0.4</v>
      </c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4</v>
      </c>
      <c r="H12" s="13" t="n">
        <v>4</v>
      </c>
      <c r="I12" s="13" t="n">
        <v>5</v>
      </c>
      <c r="J12" s="13" t="n">
        <v>1</v>
      </c>
      <c r="K12" s="13" t="n">
        <v>4</v>
      </c>
      <c r="L12" s="13" t="n">
        <v>4</v>
      </c>
      <c r="M12" s="13" t="n">
        <v>2</v>
      </c>
      <c r="P12" s="12" t="s">
        <v>19</v>
      </c>
      <c r="Q12" s="12"/>
      <c r="R12" s="12"/>
      <c r="S12" s="14" t="n">
        <f aca="false">Tabella5279112479161820222426283032343638404244464850525456586062646870727476[[#This Row],[Colonna1]]*$Q3</f>
        <v>1.6</v>
      </c>
      <c r="T12" s="14" t="n">
        <f aca="false">Tabella5279112479161820222426283032343638404244464850525456586062646870727476[[#This Row],[Colonna2]]*$Q3</f>
        <v>1.6</v>
      </c>
      <c r="U12" s="14" t="n">
        <f aca="false">Tabella5279112479161820222426283032343638404244464850525456586062646870727476[[#This Row],[Colonna3]]*$Q3</f>
        <v>2</v>
      </c>
      <c r="V12" s="14" t="n">
        <f aca="false">Tabella5279112479161820222426283032343638404244464850525456586062646870727476[[#This Row],[Colonna4]]*$Q3</f>
        <v>0.4</v>
      </c>
      <c r="W12" s="14" t="n">
        <f aca="false">Tabella5279112479161820222426283032343638404244464850525456586062646870727476[[#This Row],[Colonna5]]*$Q3</f>
        <v>1.6</v>
      </c>
      <c r="X12" s="14"/>
      <c r="Y12" s="14" t="n">
        <f aca="false">Tabella5279112479161820222426283032343638404244464850525456586062646870727476[[#This Row],[Colonna7]]*$Q3</f>
        <v>0.8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3</v>
      </c>
      <c r="H22" s="13" t="n">
        <v>9</v>
      </c>
      <c r="I22" s="13" t="n">
        <v>7</v>
      </c>
      <c r="J22" s="13" t="n">
        <v>1</v>
      </c>
      <c r="K22" s="13"/>
      <c r="L22" s="13" t="n">
        <v>1</v>
      </c>
      <c r="M22" s="13"/>
      <c r="P22" s="12" t="s">
        <v>29</v>
      </c>
      <c r="Q22" s="12"/>
      <c r="R22" s="12"/>
      <c r="S22" s="14" t="n">
        <f aca="false">Tabella5279112479161820222426283032343638404244464850525456586062646870727476[[#This Row],[Colonna1]]*$Q3</f>
        <v>1.2</v>
      </c>
      <c r="T22" s="14" t="n">
        <f aca="false">Tabella5279112479161820222426283032343638404244464850525456586062646870727476[[#This Row],[Colonna2]]*$Q3</f>
        <v>3.6</v>
      </c>
      <c r="U22" s="14" t="n">
        <f aca="false">Tabella5279112479161820222426283032343638404244464850525456586062646870727476[[#This Row],[Colonna3]]*$Q3</f>
        <v>2.8</v>
      </c>
      <c r="V22" s="14" t="n">
        <f aca="false">Tabella5279112479161820222426283032343638404244464850525456586062646870727476[[#This Row],[Colonna4]]*$Q3</f>
        <v>0.4</v>
      </c>
      <c r="W22" s="14"/>
      <c r="X22" s="14" t="n">
        <f aca="false">Tabella5279112479161820222426283032343638404244464850525456586062646870727476[[#This Row],[Colonna6]]*$Q3</f>
        <v>0.4</v>
      </c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6</v>
      </c>
      <c r="H26" s="13" t="n">
        <v>15</v>
      </c>
      <c r="I26" s="13" t="n">
        <v>4</v>
      </c>
      <c r="J26" s="13" t="n">
        <v>2</v>
      </c>
      <c r="K26" s="13" t="n">
        <v>6</v>
      </c>
      <c r="L26" s="13" t="n">
        <v>2</v>
      </c>
      <c r="M26" s="13" t="n">
        <v>2</v>
      </c>
      <c r="P26" s="12" t="s">
        <v>33</v>
      </c>
      <c r="Q26" s="12"/>
      <c r="R26" s="12"/>
      <c r="S26" s="14" t="n">
        <f aca="false">Tabella5279112479161820222426283032343638404244464850525456586062646870727476[[#This Row],[Colonna1]]*$Q3</f>
        <v>2.4</v>
      </c>
      <c r="T26" s="14" t="n">
        <f aca="false">Tabella5279112479161820222426283032343638404244464850525456586062646870727476[[#This Row],[Colonna2]]*$Q3</f>
        <v>6</v>
      </c>
      <c r="U26" s="14" t="n">
        <f aca="false">Tabella5279112479161820222426283032343638404244464850525456586062646870727476[[#This Row],[Colonna3]]*$Q3</f>
        <v>1.6</v>
      </c>
      <c r="V26" s="14" t="n">
        <f aca="false">Tabella5279112479161820222426283032343638404244464850525456586062646870727476[[#This Row],[Colonna4]]*$Q3</f>
        <v>0.8</v>
      </c>
      <c r="W26" s="14" t="n">
        <f aca="false">Tabella5279112479161820222426283032343638404244464850525456586062646870727476[[#This Row],[Colonna5]]*$Q3</f>
        <v>2.4</v>
      </c>
      <c r="X26" s="14" t="n">
        <f aca="false">Tabella5279112479161820222426283032343638404244464850525456586062646870727476[[#This Row],[Colonna6]]*$Q3</f>
        <v>0.8</v>
      </c>
      <c r="Y26" s="14" t="n">
        <f aca="false">Tabella5279112479161820222426283032343638404244464850525456586062646870727476[[#This Row],[Colonna7]]*$Q3</f>
        <v>0.8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 t="n">
        <f aca="false">Tabella5279112479161820222426283032343638404244464850525456586062646870727476[[#This Row],[Colonna2]]*$Q3</f>
        <v>0</v>
      </c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 t="n">
        <v>2</v>
      </c>
      <c r="I28" s="13" t="n">
        <v>2</v>
      </c>
      <c r="J28" s="13"/>
      <c r="K28" s="13"/>
      <c r="L28" s="13"/>
      <c r="M28" s="13" t="n">
        <v>1</v>
      </c>
      <c r="P28" s="12" t="s">
        <v>35</v>
      </c>
      <c r="Q28" s="12"/>
      <c r="R28" s="12"/>
      <c r="S28" s="14"/>
      <c r="T28" s="14" t="n">
        <f aca="false">Tabella5279112479161820222426283032343638404244464850525456586062646870727476[[#This Row],[Colonna2]]*$Q3</f>
        <v>0.8</v>
      </c>
      <c r="U28" s="14" t="n">
        <f aca="false">Tabella5279112479161820222426283032343638404244464850525456586062646870727476[[#This Row],[Colonna3]]*$Q3</f>
        <v>0.8</v>
      </c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18</v>
      </c>
      <c r="H29" s="13" t="n">
        <v>15</v>
      </c>
      <c r="I29" s="13" t="n">
        <v>9</v>
      </c>
      <c r="J29" s="13" t="n">
        <v>7</v>
      </c>
      <c r="K29" s="13" t="n">
        <v>4</v>
      </c>
      <c r="L29" s="13" t="n">
        <v>4</v>
      </c>
      <c r="M29" s="13" t="n">
        <v>3</v>
      </c>
      <c r="P29" s="12" t="s">
        <v>36</v>
      </c>
      <c r="Q29" s="12"/>
      <c r="R29" s="12"/>
      <c r="S29" s="14" t="n">
        <f aca="false">Tabella5279112479161820222426283032343638404244464850525456586062646870727476[[#This Row],[Colonna1]]*$Q3</f>
        <v>7.2</v>
      </c>
      <c r="T29" s="14" t="n">
        <f aca="false">Tabella5279112479161820222426283032343638404244464850525456586062646870727476[[#This Row],[Colonna2]]*$Q3</f>
        <v>6</v>
      </c>
      <c r="U29" s="14" t="n">
        <f aca="false">Tabella5279112479161820222426283032343638404244464850525456586062646870727476[[#This Row],[Colonna3]]*$Q3</f>
        <v>3.6</v>
      </c>
      <c r="V29" s="14" t="n">
        <f aca="false">Tabella5279112479161820222426283032343638404244464850525456586062646870727476[[#This Row],[Colonna4]]*$Q3</f>
        <v>2.8</v>
      </c>
      <c r="W29" s="14" t="n">
        <f aca="false">Tabella5279112479161820222426283032343638404244464850525456586062646870727476[[#This Row],[Colonna5]]*$Q3</f>
        <v>1.6</v>
      </c>
      <c r="X29" s="14" t="n">
        <f aca="false">Tabella5279112479161820222426283032343638404244464850525456586062646870727476[[#This Row],[Colonna6]]*$Q3</f>
        <v>1.6</v>
      </c>
      <c r="Y29" s="14" t="n">
        <f aca="false">Tabella5279112479161820222426283032343638404244464850525456586062646870727476[[#This Row],[Colonna7]]*$Q3</f>
        <v>1.2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 t="n">
        <v>2</v>
      </c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 t="n">
        <f aca="false">Tabella5279112479161820222426283032343638404244464850525456586062646870727476[[#This Row],[Colonna2]]*$Q3</f>
        <v>0.8</v>
      </c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 t="n">
        <v>8</v>
      </c>
      <c r="I38" s="13"/>
      <c r="J38" s="13" t="n">
        <v>1</v>
      </c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13" t="n">
        <v>4</v>
      </c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Tabella5279112479161820222426283032343638404244464850525456586062646870727476[[#This Row],[Colonna1]]*$Q3</f>
        <v>0.4</v>
      </c>
      <c r="T41" s="14" t="n">
        <f aca="false">Tabella5279112479161820222426283032343638404244464850525456586062646870727476[[#This Row],[Colonna2]]*$Q3</f>
        <v>1.6</v>
      </c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2</v>
      </c>
      <c r="H42" s="13" t="n">
        <v>10</v>
      </c>
      <c r="I42" s="13" t="n">
        <v>3</v>
      </c>
      <c r="J42" s="13" t="n">
        <v>3</v>
      </c>
      <c r="K42" s="13" t="n">
        <v>7</v>
      </c>
      <c r="L42" s="13" t="n">
        <v>1</v>
      </c>
      <c r="M42" s="13" t="n">
        <v>2</v>
      </c>
      <c r="P42" s="9" t="s">
        <v>49</v>
      </c>
      <c r="Q42" s="9"/>
      <c r="R42" s="9"/>
      <c r="S42" s="14" t="n">
        <f aca="false">Tabella5279112479161820222426283032343638404244464850525456586062646870727476[[#This Row],[Colonna1]]*$Q3</f>
        <v>0.8</v>
      </c>
      <c r="T42" s="14" t="n">
        <f aca="false">Tabella5279112479161820222426283032343638404244464850525456586062646870727476[[#This Row],[Colonna2]]*$Q3</f>
        <v>4</v>
      </c>
      <c r="U42" s="14" t="n">
        <f aca="false">Tabella5279112479161820222426283032343638404244464850525456586062646870727476[[#This Row],[Colonna3]]*$Q3</f>
        <v>1.2</v>
      </c>
      <c r="V42" s="14" t="n">
        <f aca="false">Tabella5279112479161820222426283032343638404244464850525456586062646870727476[[#This Row],[Colonna4]]*$Q3</f>
        <v>1.2</v>
      </c>
      <c r="W42" s="14" t="n">
        <f aca="false">Tabella5279112479161820222426283032343638404244464850525456586062646870727476[[#This Row],[Colonna5]]*$Q3</f>
        <v>2.8</v>
      </c>
      <c r="X42" s="14" t="n">
        <f aca="false">Tabella5279112479161820222426283032343638404244464850525456586062646870727476[[#This Row],[Colonna6]]*$Q3</f>
        <v>0.4</v>
      </c>
      <c r="Y42" s="14" t="n">
        <f aca="false">Tabella5279112479161820222426283032343638404244464850525456586062646870727476[[#This Row],[Colonna7]]*$Q3</f>
        <v>0.8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11</v>
      </c>
      <c r="H44" s="13" t="n">
        <v>32</v>
      </c>
      <c r="I44" s="13" t="n">
        <v>5</v>
      </c>
      <c r="J44" s="13" t="n">
        <v>5</v>
      </c>
      <c r="K44" s="13" t="n">
        <v>10</v>
      </c>
      <c r="L44" s="13" t="n">
        <v>5</v>
      </c>
      <c r="M44" s="13" t="n">
        <v>8</v>
      </c>
      <c r="P44" s="12" t="s">
        <v>51</v>
      </c>
      <c r="Q44" s="12"/>
      <c r="R44" s="12"/>
      <c r="S44" s="14" t="n">
        <f aca="false">Tabella5279112479161820222426283032343638404244464850525456586062646870727476[[#This Row],[Colonna1]]*$Q3</f>
        <v>4.4</v>
      </c>
      <c r="T44" s="14" t="n">
        <f aca="false">Tabella5279112479161820222426283032343638404244464850525456586062646870727476[[#This Row],[Colonna2]]*$Q3</f>
        <v>12.8</v>
      </c>
      <c r="U44" s="14" t="n">
        <f aca="false">Tabella5279112479161820222426283032343638404244464850525456586062646870727476[[#This Row],[Colonna3]]*$Q3</f>
        <v>2</v>
      </c>
      <c r="V44" s="14" t="n">
        <f aca="false">Tabella5279112479161820222426283032343638404244464850525456586062646870727476[[#This Row],[Colonna4]]*$Q3</f>
        <v>2</v>
      </c>
      <c r="W44" s="14" t="n">
        <f aca="false">Tabella5279112479161820222426283032343638404244464850525456586062646870727476[[#This Row],[Colonna5]]*$Q3</f>
        <v>4</v>
      </c>
      <c r="X44" s="14" t="n">
        <f aca="false">Tabella5279112479161820222426283032343638404244464850525456586062646870727476[[#This Row],[Colonna6]]*$Q3</f>
        <v>2</v>
      </c>
      <c r="Y44" s="14" t="n">
        <f aca="false">Tabella5279112479161820222426283032343638404244464850525456586062646870727476[[#This Row],[Colonna7]]*$Q3</f>
        <v>3.2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 t="n">
        <v>1</v>
      </c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 t="n">
        <v>1</v>
      </c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11</v>
      </c>
      <c r="H52" s="13" t="n">
        <v>8</v>
      </c>
      <c r="I52" s="13" t="n">
        <v>1</v>
      </c>
      <c r="J52" s="13" t="n">
        <v>8</v>
      </c>
      <c r="K52" s="13" t="n">
        <v>10</v>
      </c>
      <c r="L52" s="13" t="n">
        <v>6</v>
      </c>
      <c r="M52" s="13" t="n">
        <v>4</v>
      </c>
      <c r="P52" s="12" t="s">
        <v>59</v>
      </c>
      <c r="Q52" s="12"/>
      <c r="R52" s="12"/>
      <c r="S52" s="14" t="n">
        <f aca="false">Tabella5279112479161820222426283032343638404244464850525456586062646870727476[[#This Row],[Colonna1]]*$Q3</f>
        <v>4.4</v>
      </c>
      <c r="T52" s="14" t="n">
        <f aca="false">Tabella5279112479161820222426283032343638404244464850525456586062646870727476[[#This Row],[Colonna2]]*$Q3</f>
        <v>3.2</v>
      </c>
      <c r="U52" s="14" t="n">
        <f aca="false">Tabella5279112479161820222426283032343638404244464850525456586062646870727476[[#This Row],[Colonna3]]*$Q3</f>
        <v>0.4</v>
      </c>
      <c r="V52" s="14" t="n">
        <f aca="false">Tabella5279112479161820222426283032343638404244464850525456586062646870727476[[#This Row],[Colonna4]]*$Q3</f>
        <v>3.2</v>
      </c>
      <c r="W52" s="14" t="n">
        <f aca="false">Tabella5279112479161820222426283032343638404244464850525456586062646870727476[[#This Row],[Colonna5]]*$Q3</f>
        <v>4</v>
      </c>
      <c r="X52" s="14" t="n">
        <f aca="false">Tabella5279112479161820222426283032343638404244464850525456586062646870727476[[#This Row],[Colonna6]]*$Q3</f>
        <v>2.4</v>
      </c>
      <c r="Y52" s="14" t="n">
        <f aca="false">Tabella5279112479161820222426283032343638404244464850525456586062646870727476[[#This Row],[Colonna7]]*$Q3</f>
        <v>1.6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56</v>
      </c>
      <c r="H53" s="55" t="n">
        <f aca="false">SUM(H6:H52)</f>
        <v>115</v>
      </c>
      <c r="I53" s="55" t="n">
        <f aca="false">SUM(I6:I52)</f>
        <v>39</v>
      </c>
      <c r="J53" s="55" t="n">
        <f aca="false">SUM(J6:J52)</f>
        <v>30</v>
      </c>
      <c r="K53" s="55" t="n">
        <f aca="false">SUM(K6:K52)</f>
        <v>42</v>
      </c>
      <c r="L53" s="55" t="n">
        <f aca="false">SUM(L6:L52)</f>
        <v>23</v>
      </c>
      <c r="M53" s="55" t="n">
        <f aca="false">SUM(M6:M52)</f>
        <v>22</v>
      </c>
      <c r="P53" s="17" t="s">
        <v>60</v>
      </c>
      <c r="Q53" s="17"/>
      <c r="R53" s="17"/>
      <c r="S53" s="56" t="n">
        <f aca="false">Tabella5279112479161820222426283032343638404244464850525456586062646870727476[[#This Row],[Colonna1]]*$Q3</f>
        <v>22.4</v>
      </c>
      <c r="T53" s="56" t="n">
        <f aca="false">Tabella5279112479161820222426283032343638404244464850525456586062646870727476[[#This Row],[Colonna2]]*$Q3</f>
        <v>46</v>
      </c>
      <c r="U53" s="56" t="n">
        <f aca="false">Tabella5279112479161820222426283032343638404244464850525456586062646870727476[[#This Row],[Colonna3]]*$Q3</f>
        <v>15.6</v>
      </c>
      <c r="V53" s="56" t="n">
        <f aca="false">Tabella5279112479161820222426283032343638404244464850525456586062646870727476[[#This Row],[Colonna4]]*$Q3</f>
        <v>12</v>
      </c>
      <c r="W53" s="56" t="n">
        <f aca="false">Tabella5279112479161820222426283032343638404244464850525456586062646870727476[[#This Row],[Colonna5]]*$Q3</f>
        <v>16.8</v>
      </c>
      <c r="X53" s="56" t="n">
        <f aca="false">Tabella5279112479161820222426283032343638404244464850525456586062646870727476[[#This Row],[Colonna6]]*$Q3</f>
        <v>9.2</v>
      </c>
      <c r="Y53" s="56" t="n">
        <f aca="false">Tabella5279112479161820222426283032343638404244464850525456586062646870727476[[#This Row],[Colonna7]]*$Q3</f>
        <v>8.8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382</v>
      </c>
      <c r="H58" s="26" t="n">
        <v>270</v>
      </c>
      <c r="I58" s="26" t="n">
        <v>56</v>
      </c>
      <c r="J58" s="26" t="n">
        <v>158</v>
      </c>
      <c r="K58" s="26" t="n">
        <v>65</v>
      </c>
      <c r="L58" s="26" t="n">
        <v>50</v>
      </c>
      <c r="M58" s="26" t="n">
        <v>301</v>
      </c>
      <c r="P58" s="23" t="s">
        <v>62</v>
      </c>
      <c r="Q58" s="23"/>
      <c r="R58" s="23"/>
      <c r="S58" s="57" t="n">
        <f aca="false">G58*$Q3</f>
        <v>152.8</v>
      </c>
      <c r="T58" s="57" t="n">
        <f aca="false">H58*$Q3</f>
        <v>108</v>
      </c>
      <c r="U58" s="57" t="n">
        <f aca="false">I58*$Q3</f>
        <v>22.4</v>
      </c>
      <c r="V58" s="57" t="n">
        <f aca="false">J58*$Q3</f>
        <v>63.2</v>
      </c>
      <c r="W58" s="57" t="n">
        <f aca="false">K58*$Q3</f>
        <v>26</v>
      </c>
      <c r="X58" s="57" t="n">
        <f aca="false">L58*$Q3</f>
        <v>20</v>
      </c>
      <c r="Y58" s="57" t="n">
        <f aca="false">M58*$Q3</f>
        <v>120.4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9</v>
      </c>
      <c r="H62" s="26" t="n">
        <v>19</v>
      </c>
      <c r="I62" s="26" t="n">
        <v>3</v>
      </c>
      <c r="J62" s="26" t="n">
        <v>3</v>
      </c>
      <c r="K62" s="26" t="n">
        <v>7</v>
      </c>
      <c r="L62" s="26"/>
      <c r="M62" s="26"/>
      <c r="P62" s="9" t="s">
        <v>66</v>
      </c>
      <c r="Q62" s="9"/>
      <c r="R62" s="9"/>
      <c r="S62" s="57" t="n">
        <f aca="false">G62*$Q3</f>
        <v>3.6</v>
      </c>
      <c r="T62" s="57" t="n">
        <f aca="false">H62*$Q3</f>
        <v>7.6</v>
      </c>
      <c r="U62" s="57" t="n">
        <f aca="false">I62*$Q3</f>
        <v>1.2</v>
      </c>
      <c r="V62" s="57" t="n">
        <f aca="false">J62*$Q3</f>
        <v>1.2</v>
      </c>
      <c r="W62" s="57" t="n">
        <f aca="false">K62*$Q3</f>
        <v>2.8</v>
      </c>
      <c r="X62" s="57"/>
      <c r="Y62" s="57"/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18</v>
      </c>
      <c r="H63" s="26" t="n">
        <v>7</v>
      </c>
      <c r="I63" s="26" t="n">
        <v>7</v>
      </c>
      <c r="J63" s="26" t="n">
        <v>2</v>
      </c>
      <c r="K63" s="26" t="n">
        <v>3</v>
      </c>
      <c r="L63" s="26"/>
      <c r="M63" s="26"/>
      <c r="P63" s="9" t="s">
        <v>67</v>
      </c>
      <c r="Q63" s="9"/>
      <c r="R63" s="9"/>
      <c r="S63" s="57" t="n">
        <f aca="false">G63*$Q3</f>
        <v>7.2</v>
      </c>
      <c r="T63" s="57" t="n">
        <f aca="false">H63*$Q3</f>
        <v>2.8</v>
      </c>
      <c r="U63" s="57" t="n">
        <f aca="false">I63*$Q3</f>
        <v>2.8</v>
      </c>
      <c r="V63" s="57" t="n">
        <f aca="false">J63*$Q3</f>
        <v>0.8</v>
      </c>
      <c r="W63" s="57" t="n">
        <f aca="false">K63*$Q3</f>
        <v>1.2</v>
      </c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11</v>
      </c>
      <c r="H64" s="26" t="n">
        <v>5</v>
      </c>
      <c r="I64" s="26" t="n">
        <v>1</v>
      </c>
      <c r="J64" s="26" t="n">
        <v>1</v>
      </c>
      <c r="K64" s="26"/>
      <c r="L64" s="26"/>
      <c r="M64" s="26"/>
      <c r="P64" s="9" t="s">
        <v>68</v>
      </c>
      <c r="Q64" s="9"/>
      <c r="R64" s="9"/>
      <c r="S64" s="57" t="n">
        <f aca="false">G64*$Q3</f>
        <v>4.4</v>
      </c>
      <c r="T64" s="57" t="n">
        <f aca="false">H64*$Q3</f>
        <v>2</v>
      </c>
      <c r="U64" s="57" t="n">
        <f aca="false">I64*$Q3</f>
        <v>0.4</v>
      </c>
      <c r="V64" s="57" t="n">
        <f aca="false">J64*$Q3</f>
        <v>0.4</v>
      </c>
      <c r="W64" s="57" t="n">
        <f aca="false">K64*$Q3</f>
        <v>0</v>
      </c>
      <c r="X64" s="57"/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 t="n">
        <f aca="false">J65*$Q3</f>
        <v>0</v>
      </c>
      <c r="W65" s="57" t="n">
        <f aca="false">K65*$Q3</f>
        <v>0</v>
      </c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38</v>
      </c>
      <c r="H67" s="26" t="n">
        <v>16</v>
      </c>
      <c r="I67" s="26" t="n">
        <v>18</v>
      </c>
      <c r="J67" s="26" t="n">
        <v>23</v>
      </c>
      <c r="K67" s="26" t="n">
        <v>7</v>
      </c>
      <c r="L67" s="26"/>
      <c r="M67" s="26"/>
      <c r="P67" s="9" t="s">
        <v>71</v>
      </c>
      <c r="Q67" s="9"/>
      <c r="R67" s="9"/>
      <c r="S67" s="57" t="n">
        <f aca="false">G67*$Q3</f>
        <v>15.2</v>
      </c>
      <c r="T67" s="57" t="n">
        <f aca="false">H67*$Q3</f>
        <v>6.4</v>
      </c>
      <c r="U67" s="57" t="n">
        <f aca="false">I67*$Q3</f>
        <v>7.2</v>
      </c>
      <c r="V67" s="57" t="n">
        <f aca="false">J67*$Q3</f>
        <v>9.2</v>
      </c>
      <c r="W67" s="57" t="n">
        <f aca="false">K67*$Q3</f>
        <v>2.8</v>
      </c>
      <c r="X67" s="57"/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10</v>
      </c>
      <c r="H68" s="30" t="n">
        <v>32</v>
      </c>
      <c r="I68" s="30" t="n">
        <v>9</v>
      </c>
      <c r="J68" s="30" t="n">
        <v>3</v>
      </c>
      <c r="K68" s="30"/>
      <c r="L68" s="30"/>
      <c r="M68" s="30"/>
      <c r="P68" s="9" t="s">
        <v>72</v>
      </c>
      <c r="Q68" s="9"/>
      <c r="R68" s="9"/>
      <c r="S68" s="57" t="n">
        <f aca="false">G68*$Q3</f>
        <v>4</v>
      </c>
      <c r="T68" s="57" t="n">
        <f aca="false">H68*$Q3</f>
        <v>12.8</v>
      </c>
      <c r="U68" s="57" t="n">
        <f aca="false">I68*$Q3</f>
        <v>3.6</v>
      </c>
      <c r="V68" s="57" t="n">
        <f aca="false">J68*$Q3</f>
        <v>1.2</v>
      </c>
      <c r="W68" s="57" t="n">
        <f aca="false">K68*$Q3</f>
        <v>0</v>
      </c>
      <c r="X68" s="57"/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10</v>
      </c>
      <c r="H69" s="30" t="n">
        <v>22</v>
      </c>
      <c r="I69" s="30" t="n">
        <v>9</v>
      </c>
      <c r="J69" s="30" t="n">
        <v>9</v>
      </c>
      <c r="K69" s="30" t="n">
        <v>26</v>
      </c>
      <c r="L69" s="30"/>
      <c r="M69" s="30"/>
      <c r="P69" s="9" t="s">
        <v>73</v>
      </c>
      <c r="Q69" s="9"/>
      <c r="R69" s="9"/>
      <c r="S69" s="57" t="n">
        <f aca="false">G69*Q3</f>
        <v>4</v>
      </c>
      <c r="T69" s="57" t="n">
        <f aca="false">H69*$Q3</f>
        <v>8.8</v>
      </c>
      <c r="U69" s="57" t="n">
        <f aca="false">I69*$Q3</f>
        <v>3.6</v>
      </c>
      <c r="V69" s="57" t="n">
        <f aca="false">J69*$Q3</f>
        <v>3.6</v>
      </c>
      <c r="W69" s="57" t="n">
        <f aca="false">K69*$Q3</f>
        <v>10.4</v>
      </c>
      <c r="X69" s="57"/>
      <c r="Y69" s="5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478</v>
      </c>
      <c r="H70" s="60" t="n">
        <f aca="false">SUM(H58:H69)</f>
        <v>371</v>
      </c>
      <c r="I70" s="60" t="n">
        <f aca="false">SUM(I58:I69)</f>
        <v>103</v>
      </c>
      <c r="J70" s="60" t="n">
        <f aca="false">SUM(J58:J69)</f>
        <v>199</v>
      </c>
      <c r="K70" s="60" t="n">
        <f aca="false">SUM(K58:K69)</f>
        <v>108</v>
      </c>
      <c r="L70" s="60" t="n">
        <f aca="false">SUM(L58:L69)</f>
        <v>50</v>
      </c>
      <c r="M70" s="60" t="n">
        <f aca="false">SUM(M58:M69)</f>
        <v>301</v>
      </c>
      <c r="P70" s="9" t="s">
        <v>60</v>
      </c>
      <c r="Q70" s="9"/>
      <c r="R70" s="9"/>
      <c r="S70" s="61" t="n">
        <f aca="false">G70*$Q3</f>
        <v>191.2</v>
      </c>
      <c r="T70" s="61" t="n">
        <f aca="false">H70*$Q3</f>
        <v>148.4</v>
      </c>
      <c r="U70" s="61" t="n">
        <f aca="false">I70*$Q3</f>
        <v>41.2</v>
      </c>
      <c r="V70" s="61" t="n">
        <f aca="false">J70*$Q3</f>
        <v>79.6</v>
      </c>
      <c r="W70" s="61" t="n">
        <f aca="false">K70*$Q3</f>
        <v>43.2</v>
      </c>
      <c r="X70" s="61" t="n">
        <f aca="false">L70*$Q3</f>
        <v>20</v>
      </c>
      <c r="Y70" s="61" t="n">
        <f aca="false">M70*$Q3</f>
        <v>120.4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M34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45131</v>
      </c>
      <c r="K3" s="5" t="n">
        <v>45137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45131</v>
      </c>
      <c r="W3" s="5" t="n">
        <v>45137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1</v>
      </c>
      <c r="H12" s="13" t="n">
        <v>1</v>
      </c>
      <c r="I12" s="13"/>
      <c r="J12" s="13"/>
      <c r="K12" s="13"/>
      <c r="L12" s="13"/>
      <c r="M12" s="13"/>
      <c r="P12" s="12" t="s">
        <v>19</v>
      </c>
      <c r="Q12" s="12"/>
      <c r="R12" s="12"/>
      <c r="S12" s="14" t="n">
        <f aca="false">Tabella52791124791618202224262830323436384042444648505254565860626468707274[[#This Row],[Colonna1]]*$Q3</f>
        <v>0.4</v>
      </c>
      <c r="T12" s="14" t="n">
        <f aca="false">Tabella52791124791618202224262830323436384042444648505254565860626468707274[[#This Row],[Colonna2]]*$Q3</f>
        <v>0.4</v>
      </c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 t="n">
        <v>1</v>
      </c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</v>
      </c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Tabella52791124791618202224262830323436384042444648505254565860626468707274[[#This Row],[Colonna1]]*$Q3</f>
        <v>0.4</v>
      </c>
      <c r="T22" s="14"/>
      <c r="U22" s="14"/>
      <c r="V22" s="14"/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2</v>
      </c>
      <c r="H26" s="13" t="n">
        <v>1</v>
      </c>
      <c r="I26" s="13"/>
      <c r="J26" s="13"/>
      <c r="K26" s="13"/>
      <c r="L26" s="13"/>
      <c r="M26" s="13" t="n">
        <v>4</v>
      </c>
      <c r="P26" s="12" t="s">
        <v>33</v>
      </c>
      <c r="Q26" s="12"/>
      <c r="R26" s="12"/>
      <c r="S26" s="14" t="n">
        <f aca="false">Tabella52791124791618202224262830323436384042444648505254565860626468707274[[#This Row],[Colonna1]]*$Q3</f>
        <v>0.8</v>
      </c>
      <c r="T26" s="14" t="n">
        <f aca="false">Tabella52791124791618202224262830323436384042444648505254565860626468707274[[#This Row],[Colonna2]]*$Q3</f>
        <v>0.4</v>
      </c>
      <c r="U26" s="14"/>
      <c r="V26" s="14"/>
      <c r="W26" s="14"/>
      <c r="X26" s="14"/>
      <c r="Y26" s="14" t="n">
        <f aca="false">Tabella52791124791618202224262830323436384042444648505254565860626468707274[[#This Row],[Colonna7]]*$Q3</f>
        <v>1.6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</v>
      </c>
      <c r="H29" s="13" t="n">
        <v>1</v>
      </c>
      <c r="I29" s="13"/>
      <c r="J29" s="13" t="n">
        <v>1</v>
      </c>
      <c r="K29" s="13"/>
      <c r="L29" s="13"/>
      <c r="M29" s="13" t="n">
        <v>1</v>
      </c>
      <c r="P29" s="12" t="s">
        <v>36</v>
      </c>
      <c r="Q29" s="12"/>
      <c r="R29" s="12"/>
      <c r="S29" s="14" t="n">
        <f aca="false">Tabella52791124791618202224262830323436384042444648505254565860626468707274[[#This Row],[Colonna1]]*$Q3</f>
        <v>0.4</v>
      </c>
      <c r="T29" s="14" t="n">
        <f aca="false">Tabella52791124791618202224262830323436384042444648505254565860626468707274[[#This Row],[Colonna2]]*$Q3</f>
        <v>0.4</v>
      </c>
      <c r="U29" s="14"/>
      <c r="V29" s="14" t="n">
        <f aca="false">Tabella52791124791618202224262830323436384042444648505254565860626468707274[[#This Row],[Colonna4]]*$Q3</f>
        <v>0.4</v>
      </c>
      <c r="W29" s="14"/>
      <c r="X29" s="14"/>
      <c r="Y29" s="14" t="n">
        <f aca="false">Tabella52791124791618202224262830323436384042444648505254565860626468707274[[#This Row],[Colonna7]]*$Q3</f>
        <v>0.4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 t="n">
        <v>2</v>
      </c>
      <c r="I42" s="13"/>
      <c r="J42" s="13"/>
      <c r="K42" s="13"/>
      <c r="L42" s="13"/>
      <c r="M42" s="13" t="n">
        <v>1</v>
      </c>
      <c r="P42" s="9" t="s">
        <v>49</v>
      </c>
      <c r="Q42" s="9"/>
      <c r="R42" s="9"/>
      <c r="S42" s="14"/>
      <c r="T42" s="14" t="n">
        <f aca="false">Tabella52791124791618202224262830323436384042444648505254565860626468707274[[#This Row],[Colonna2]]*$Q3</f>
        <v>0.8</v>
      </c>
      <c r="U42" s="14"/>
      <c r="V42" s="14"/>
      <c r="W42" s="14"/>
      <c r="X42" s="14"/>
      <c r="Y42" s="14" t="n">
        <f aca="false">Tabella52791124791618202224262830323436384042444648505254565860626468707274[[#This Row],[Colonna7]]*$Q3</f>
        <v>0.4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3</v>
      </c>
      <c r="H44" s="13" t="n">
        <v>5</v>
      </c>
      <c r="I44" s="13"/>
      <c r="J44" s="13"/>
      <c r="K44" s="13"/>
      <c r="L44" s="13" t="n">
        <v>4</v>
      </c>
      <c r="M44" s="13" t="n">
        <v>4</v>
      </c>
      <c r="P44" s="12" t="s">
        <v>51</v>
      </c>
      <c r="Q44" s="12"/>
      <c r="R44" s="12"/>
      <c r="S44" s="14" t="n">
        <f aca="false">Tabella52791124791618202224262830323436384042444648505254565860626468707274[[#This Row],[Colonna1]]*$Q3</f>
        <v>1.2</v>
      </c>
      <c r="T44" s="14" t="n">
        <f aca="false">Tabella52791124791618202224262830323436384042444648505254565860626468707274[[#This Row],[Colonna2]]*$Q3</f>
        <v>2</v>
      </c>
      <c r="U44" s="14"/>
      <c r="V44" s="14"/>
      <c r="W44" s="14"/>
      <c r="X44" s="14" t="n">
        <f aca="false">Tabella52791124791618202224262830323436384042444648505254565860626468707274[[#This Row],[Colonna6]]*$Q3</f>
        <v>1.6</v>
      </c>
      <c r="Y44" s="14" t="n">
        <f aca="false">Tabella52791124791618202224262830323436384042444648505254565860626468707274[[#This Row],[Colonna7]]*$Q3</f>
        <v>1.6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</v>
      </c>
      <c r="H52" s="13" t="n">
        <v>3</v>
      </c>
      <c r="I52" s="13"/>
      <c r="J52" s="13"/>
      <c r="K52" s="13"/>
      <c r="L52" s="13" t="n">
        <v>2</v>
      </c>
      <c r="M52" s="13" t="n">
        <v>4</v>
      </c>
      <c r="P52" s="12" t="s">
        <v>59</v>
      </c>
      <c r="Q52" s="12"/>
      <c r="R52" s="12"/>
      <c r="S52" s="14" t="n">
        <f aca="false">Tabella52791124791618202224262830323436384042444648505254565860626468707274[[#This Row],[Colonna1]]*$Q3</f>
        <v>0.8</v>
      </c>
      <c r="T52" s="14" t="n">
        <f aca="false">Tabella52791124791618202224262830323436384042444648505254565860626468707274[[#This Row],[Colonna2]]*$Q3</f>
        <v>1.2</v>
      </c>
      <c r="U52" s="14"/>
      <c r="V52" s="14"/>
      <c r="W52" s="14"/>
      <c r="X52" s="14" t="n">
        <f aca="false">Tabella52791124791618202224262830323436384042444648505254565860626468707274[[#This Row],[Colonna6]]*$Q3</f>
        <v>0.8</v>
      </c>
      <c r="Y52" s="14" t="n">
        <f aca="false">Tabella52791124791618202224262830323436384042444648505254565860626468707274[[#This Row],[Colonna7]]*$Q3</f>
        <v>1.6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10</v>
      </c>
      <c r="H53" s="55" t="n">
        <f aca="false">SUM(H6:H52)</f>
        <v>13</v>
      </c>
      <c r="I53" s="55" t="n">
        <f aca="false">SUM(I6:I52)</f>
        <v>0</v>
      </c>
      <c r="J53" s="55" t="n">
        <f aca="false">SUM(J6:J52)</f>
        <v>1</v>
      </c>
      <c r="K53" s="55" t="n">
        <f aca="false">SUM(K6:K52)</f>
        <v>0</v>
      </c>
      <c r="L53" s="55" t="n">
        <f aca="false">SUM(L6:L52)</f>
        <v>6</v>
      </c>
      <c r="M53" s="55" t="n">
        <f aca="false">SUM(M6:M52)</f>
        <v>15</v>
      </c>
      <c r="P53" s="17" t="s">
        <v>60</v>
      </c>
      <c r="Q53" s="17"/>
      <c r="R53" s="17"/>
      <c r="S53" s="56" t="n">
        <f aca="false">Tabella52791124791618202224262830323436384042444648505254565860626468707274[[#This Row],[Colonna1]]*$Q3</f>
        <v>4</v>
      </c>
      <c r="T53" s="56" t="n">
        <f aca="false">Tabella52791124791618202224262830323436384042444648505254565860626468707274[[#This Row],[Colonna2]]*$Q3</f>
        <v>5.2</v>
      </c>
      <c r="U53" s="56" t="n">
        <v>0</v>
      </c>
      <c r="V53" s="56" t="n">
        <f aca="false">Tabella52791124791618202224262830323436384042444648505254565860626468707274[[#This Row],[Colonna4]]*$Q3</f>
        <v>0.4</v>
      </c>
      <c r="W53" s="56" t="n">
        <v>0</v>
      </c>
      <c r="X53" s="56" t="n">
        <f aca="false">Tabella52791124791618202224262830323436384042444648505254565860626468707274[[#This Row],[Colonna6]]*$Q3</f>
        <v>2.4</v>
      </c>
      <c r="Y53" s="56" t="n">
        <f aca="false">Tabella52791124791618202224262830323436384042444648505254565860626468707274[[#This Row],[Colonna7]]*$Q3</f>
        <v>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73</v>
      </c>
      <c r="H58" s="26" t="n">
        <v>18</v>
      </c>
      <c r="I58" s="26"/>
      <c r="J58" s="26"/>
      <c r="K58" s="26" t="n">
        <v>1</v>
      </c>
      <c r="L58" s="26" t="n">
        <v>10</v>
      </c>
      <c r="M58" s="26" t="n">
        <v>31</v>
      </c>
      <c r="P58" s="23" t="s">
        <v>62</v>
      </c>
      <c r="Q58" s="23"/>
      <c r="R58" s="23"/>
      <c r="S58" s="57" t="n">
        <f aca="false">G58*$Q3</f>
        <v>29.2</v>
      </c>
      <c r="T58" s="57" t="n">
        <f aca="false">H58*$Q3</f>
        <v>7.2</v>
      </c>
      <c r="U58" s="57"/>
      <c r="V58" s="57"/>
      <c r="W58" s="57" t="n">
        <f aca="false">K58*$Q3</f>
        <v>0.4</v>
      </c>
      <c r="X58" s="57" t="n">
        <f aca="false">L58*$Q3</f>
        <v>4</v>
      </c>
      <c r="Y58" s="57" t="n">
        <f aca="false">M58*$Q3</f>
        <v>12.4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4</v>
      </c>
      <c r="H62" s="26" t="n">
        <v>3</v>
      </c>
      <c r="I62" s="26"/>
      <c r="J62" s="26"/>
      <c r="K62" s="26"/>
      <c r="L62" s="26" t="n">
        <v>3</v>
      </c>
      <c r="M62" s="26" t="n">
        <v>8</v>
      </c>
      <c r="P62" s="9" t="s">
        <v>66</v>
      </c>
      <c r="Q62" s="9"/>
      <c r="R62" s="9"/>
      <c r="S62" s="57" t="n">
        <f aca="false">G62*$Q3</f>
        <v>1.6</v>
      </c>
      <c r="T62" s="57" t="n">
        <f aca="false">H62*$Q3</f>
        <v>1.2</v>
      </c>
      <c r="U62" s="57"/>
      <c r="V62" s="57"/>
      <c r="W62" s="57"/>
      <c r="X62" s="57" t="n">
        <f aca="false">L62*$Q3</f>
        <v>1.2</v>
      </c>
      <c r="Y62" s="57" t="n">
        <f aca="false">M62*$Q3</f>
        <v>3.2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5</v>
      </c>
      <c r="H63" s="26"/>
      <c r="I63" s="26"/>
      <c r="J63" s="26"/>
      <c r="K63" s="26"/>
      <c r="L63" s="26"/>
      <c r="M63" s="26" t="n">
        <v>1</v>
      </c>
      <c r="P63" s="9" t="s">
        <v>67</v>
      </c>
      <c r="Q63" s="9"/>
      <c r="R63" s="9"/>
      <c r="S63" s="57" t="n">
        <f aca="false">G63*$Q3</f>
        <v>2</v>
      </c>
      <c r="T63" s="57"/>
      <c r="U63" s="57"/>
      <c r="V63" s="57"/>
      <c r="W63" s="57"/>
      <c r="X63" s="57"/>
      <c r="Y63" s="57" t="n">
        <f aca="false">M63*$Q3</f>
        <v>0.4</v>
      </c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57"/>
      <c r="U64" s="57"/>
      <c r="V64" s="57"/>
      <c r="W64" s="57"/>
      <c r="X64" s="57"/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2</v>
      </c>
      <c r="H67" s="26"/>
      <c r="I67" s="26"/>
      <c r="J67" s="26"/>
      <c r="K67" s="26"/>
      <c r="L67" s="26" t="n">
        <v>2</v>
      </c>
      <c r="M67" s="26" t="n">
        <v>6</v>
      </c>
      <c r="P67" s="9" t="s">
        <v>71</v>
      </c>
      <c r="Q67" s="9"/>
      <c r="R67" s="9"/>
      <c r="S67" s="57" t="n">
        <f aca="false">G67*$Q3</f>
        <v>0.8</v>
      </c>
      <c r="T67" s="57"/>
      <c r="U67" s="57"/>
      <c r="V67" s="57"/>
      <c r="W67" s="57"/>
      <c r="X67" s="57" t="n">
        <f aca="false">L67*$Q3</f>
        <v>0.8</v>
      </c>
      <c r="Y67" s="57" t="n">
        <f aca="false">M67*$Q3</f>
        <v>2.4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9</v>
      </c>
      <c r="H68" s="30" t="n">
        <v>2</v>
      </c>
      <c r="I68" s="30"/>
      <c r="J68" s="30"/>
      <c r="K68" s="30"/>
      <c r="L68" s="30"/>
      <c r="M68" s="30" t="n">
        <v>4</v>
      </c>
      <c r="P68" s="9" t="s">
        <v>72</v>
      </c>
      <c r="Q68" s="9"/>
      <c r="R68" s="9"/>
      <c r="S68" s="57" t="n">
        <f aca="false">G68*$Q3</f>
        <v>3.6</v>
      </c>
      <c r="T68" s="57" t="n">
        <f aca="false">H68*$Q3</f>
        <v>0.8</v>
      </c>
      <c r="U68" s="57"/>
      <c r="V68" s="57"/>
      <c r="W68" s="57"/>
      <c r="X68" s="57"/>
      <c r="Y68" s="57" t="n">
        <f aca="false">M68*$Q3</f>
        <v>1.6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20</v>
      </c>
      <c r="H69" s="30" t="n">
        <v>3</v>
      </c>
      <c r="I69" s="30"/>
      <c r="J69" s="30"/>
      <c r="K69" s="30"/>
      <c r="L69" s="30"/>
      <c r="M69" s="30" t="n">
        <v>1</v>
      </c>
      <c r="P69" s="9" t="s">
        <v>73</v>
      </c>
      <c r="Q69" s="9"/>
      <c r="R69" s="9"/>
      <c r="S69" s="57" t="n">
        <f aca="false">G69*Q3</f>
        <v>8</v>
      </c>
      <c r="T69" s="57" t="n">
        <f aca="false">H69*$Q3</f>
        <v>1.2</v>
      </c>
      <c r="U69" s="57"/>
      <c r="V69" s="57"/>
      <c r="W69" s="57"/>
      <c r="X69" s="57"/>
      <c r="Y69" s="57" t="n">
        <f aca="false">M69*$Q3</f>
        <v>0.4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113</v>
      </c>
      <c r="H70" s="60" t="n">
        <f aca="false">SUM(H58:H69)</f>
        <v>26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1</v>
      </c>
      <c r="L70" s="60" t="n">
        <f aca="false">SUM(L58:L69)</f>
        <v>15</v>
      </c>
      <c r="M70" s="60" t="n">
        <f aca="false">SUM(M58:M69)</f>
        <v>51</v>
      </c>
      <c r="P70" s="9" t="s">
        <v>60</v>
      </c>
      <c r="Q70" s="9"/>
      <c r="R70" s="9"/>
      <c r="S70" s="61" t="n">
        <f aca="false">G70*$Q3</f>
        <v>45.2</v>
      </c>
      <c r="T70" s="61" t="n">
        <f aca="false">H70*$Q3</f>
        <v>10.4</v>
      </c>
      <c r="U70" s="61" t="n">
        <v>0</v>
      </c>
      <c r="V70" s="61" t="n">
        <v>0</v>
      </c>
      <c r="W70" s="61" t="n">
        <f aca="false">K70*$Q3</f>
        <v>0.4</v>
      </c>
      <c r="X70" s="61" t="n">
        <f aca="false">L70*$Q3</f>
        <v>6</v>
      </c>
      <c r="Y70" s="61" t="n">
        <f aca="false">M70*$Q3</f>
        <v>20.4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37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45145</v>
      </c>
      <c r="K3" s="5" t="n">
        <v>45151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45145</v>
      </c>
      <c r="W3" s="5" t="n">
        <v>45151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2</v>
      </c>
      <c r="H7" s="13"/>
      <c r="I7" s="13" t="n">
        <v>2</v>
      </c>
      <c r="J7" s="13" t="n">
        <v>5</v>
      </c>
      <c r="K7" s="13" t="n">
        <v>1</v>
      </c>
      <c r="L7" s="13" t="n">
        <v>2</v>
      </c>
      <c r="M7" s="13" t="n">
        <v>6</v>
      </c>
      <c r="P7" s="12" t="s">
        <v>14</v>
      </c>
      <c r="Q7" s="12"/>
      <c r="R7" s="12"/>
      <c r="S7" s="14" t="n">
        <f aca="false">Tabella527911247916182022242628303234363840424446485052545658606264687072747678[[#This Row],[Colonna1]]*$Q3</f>
        <v>0.8</v>
      </c>
      <c r="T7" s="14"/>
      <c r="U7" s="14" t="n">
        <f aca="false">Tabella527911247916182022242628303234363840424446485052545658606264687072747678[[#This Row],[Colonna3]]*$Q3</f>
        <v>0.8</v>
      </c>
      <c r="V7" s="14" t="n">
        <f aca="false">Tabella527911247916182022242628303234363840424446485052545658606264687072747678[[#This Row],[Colonna4]]*$Q3</f>
        <v>2</v>
      </c>
      <c r="W7" s="14" t="n">
        <f aca="false">Tabella527911247916182022242628303234363840424446485052545658606264687072747678[[#This Row],[Colonna5]]*$Q3</f>
        <v>0.4</v>
      </c>
      <c r="X7" s="14" t="n">
        <f aca="false">Tabella527911247916182022242628303234363840424446485052545658606264687072747678[[#This Row],[Colonna6]]*$Q3</f>
        <v>0.8</v>
      </c>
      <c r="Y7" s="14" t="n">
        <f aca="false">Tabella527911247916182022242628303234363840424446485052545658606264687072747678[[#This Row],[Colonna7]]*$Q3</f>
        <v>2.4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1</v>
      </c>
      <c r="H12" s="13" t="n">
        <v>2</v>
      </c>
      <c r="I12" s="13" t="n">
        <v>8</v>
      </c>
      <c r="J12" s="13" t="n">
        <v>18</v>
      </c>
      <c r="K12" s="13" t="n">
        <v>9</v>
      </c>
      <c r="L12" s="13" t="n">
        <v>8</v>
      </c>
      <c r="M12" s="13" t="n">
        <v>5</v>
      </c>
      <c r="P12" s="12" t="s">
        <v>19</v>
      </c>
      <c r="Q12" s="12"/>
      <c r="R12" s="12"/>
      <c r="S12" s="14" t="n">
        <f aca="false">Tabella527911247916182022242628303234363840424446485052545658606264687072747678[[#This Row],[Colonna1]]*$Q3</f>
        <v>0.4</v>
      </c>
      <c r="T12" s="14" t="n">
        <f aca="false">Tabella527911247916182022242628303234363840424446485052545658606264687072747678[[#This Row],[Colonna2]]*$Q3</f>
        <v>0.8</v>
      </c>
      <c r="U12" s="14" t="n">
        <f aca="false">Tabella527911247916182022242628303234363840424446485052545658606264687072747678[[#This Row],[Colonna3]]*$Q3</f>
        <v>3.2</v>
      </c>
      <c r="V12" s="14" t="n">
        <f aca="false">Tabella527911247916182022242628303234363840424446485052545658606264687072747678[[#This Row],[Colonna4]]*$Q3</f>
        <v>7.2</v>
      </c>
      <c r="W12" s="14" t="n">
        <f aca="false">Tabella527911247916182022242628303234363840424446485052545658606264687072747678[[#This Row],[Colonna5]]*$Q3</f>
        <v>3.6</v>
      </c>
      <c r="X12" s="14"/>
      <c r="Y12" s="14" t="n">
        <f aca="false">Tabella527911247916182022242628303234363840424446485052545658606264687072747678[[#This Row],[Colonna7]]*$Q3</f>
        <v>2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s">
        <v>91</v>
      </c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 t="n">
        <v>2</v>
      </c>
      <c r="H20" s="13"/>
      <c r="I20" s="13"/>
      <c r="J20" s="13" t="n">
        <v>2</v>
      </c>
      <c r="K20" s="13"/>
      <c r="L20" s="13" t="n">
        <v>1</v>
      </c>
      <c r="M20" s="13"/>
      <c r="P20" s="9" t="s">
        <v>27</v>
      </c>
      <c r="Q20" s="9"/>
      <c r="R20" s="9"/>
      <c r="S20" s="14" t="n">
        <f aca="false">Tabella527911247916182022242628303234363840424446485052545658606264687072747678[[#This Row],[Colonna1]]*$Q3</f>
        <v>0.8</v>
      </c>
      <c r="T20" s="14"/>
      <c r="U20" s="14"/>
      <c r="V20" s="14" t="n">
        <f aca="false">Tabella527911247916182022242628303234363840424446485052545658606264687072747678[[#This Row],[Colonna4]]*$Q3</f>
        <v>0.8</v>
      </c>
      <c r="W20" s="14"/>
      <c r="X20" s="14" t="n">
        <f aca="false">Tabella527911247916182022242628303234363840424446485052545658606264687072747678[[#This Row],[Colonna6]]*$Q3</f>
        <v>0.4</v>
      </c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 t="n">
        <v>1</v>
      </c>
      <c r="I22" s="13"/>
      <c r="J22" s="13" t="n">
        <v>2</v>
      </c>
      <c r="K22" s="13"/>
      <c r="L22" s="13"/>
      <c r="M22" s="13"/>
      <c r="P22" s="12" t="s">
        <v>29</v>
      </c>
      <c r="Q22" s="12"/>
      <c r="R22" s="12"/>
      <c r="S22" s="14"/>
      <c r="T22" s="14" t="n">
        <f aca="false">Tabella527911247916182022242628303234363840424446485052545658606264687072747678[[#This Row],[Colonna2]]*$Q3</f>
        <v>0.4</v>
      </c>
      <c r="U22" s="14"/>
      <c r="V22" s="14" t="n">
        <f aca="false">Tabella527911247916182022242628303234363840424446485052545658606264687072747678[[#This Row],[Colonna4]]*$Q3</f>
        <v>0.8</v>
      </c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 t="n">
        <v>1</v>
      </c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 t="n">
        <f aca="false">Tabella527911247916182022242628303234363840424446485052545658606264687072747678[[#This Row],[Colonna3]]*Q3</f>
        <v>0.4</v>
      </c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6</v>
      </c>
      <c r="H26" s="13" t="n">
        <v>7</v>
      </c>
      <c r="I26" s="13" t="n">
        <v>5</v>
      </c>
      <c r="J26" s="13" t="n">
        <v>6</v>
      </c>
      <c r="K26" s="13" t="n">
        <v>2</v>
      </c>
      <c r="L26" s="13" t="n">
        <v>2</v>
      </c>
      <c r="M26" s="13" t="n">
        <v>1</v>
      </c>
      <c r="P26" s="12" t="s">
        <v>33</v>
      </c>
      <c r="Q26" s="12"/>
      <c r="R26" s="12"/>
      <c r="S26" s="14" t="n">
        <f aca="false">Tabella527911247916182022242628303234363840424446485052545658606264687072747678[[#This Row],[Colonna1]]*$Q3</f>
        <v>2.4</v>
      </c>
      <c r="T26" s="14" t="n">
        <f aca="false">Tabella527911247916182022242628303234363840424446485052545658606264687072747678[[#This Row],[Colonna2]]*$Q3</f>
        <v>2.8</v>
      </c>
      <c r="U26" s="14" t="n">
        <f aca="false">Tabella527911247916182022242628303234363840424446485052545658606264687072747678[[#This Row],[Colonna3]]*$Q3</f>
        <v>2</v>
      </c>
      <c r="V26" s="14" t="n">
        <f aca="false">Tabella527911247916182022242628303234363840424446485052545658606264687072747678[[#This Row],[Colonna4]]*$Q3</f>
        <v>2.4</v>
      </c>
      <c r="W26" s="14" t="n">
        <f aca="false">Tabella527911247916182022242628303234363840424446485052545658606264687072747678[[#This Row],[Colonna5]]*$Q3</f>
        <v>0.8</v>
      </c>
      <c r="X26" s="14" t="n">
        <f aca="false">Tabella527911247916182022242628303234363840424446485052545658606264687072747678[[#This Row],[Colonna6]]*$Q3</f>
        <v>0.8</v>
      </c>
      <c r="Y26" s="14" t="n">
        <f aca="false">Tabella527911247916182022242628303234363840424446485052545658606264687072747678[[#This Row],[Colonna7]]*$Q3</f>
        <v>0.4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4</v>
      </c>
      <c r="H28" s="13" t="n">
        <v>2</v>
      </c>
      <c r="I28" s="13"/>
      <c r="J28" s="13" t="n">
        <v>3</v>
      </c>
      <c r="K28" s="13"/>
      <c r="L28" s="13"/>
      <c r="M28" s="13"/>
      <c r="P28" s="12" t="s">
        <v>35</v>
      </c>
      <c r="Q28" s="12"/>
      <c r="R28" s="12"/>
      <c r="S28" s="14" t="n">
        <f aca="false">Tabella527911247916182022242628303234363840424446485052545658606264687072747678[[#This Row],[Colonna1]]*$Q3</f>
        <v>1.6</v>
      </c>
      <c r="T28" s="14" t="n">
        <f aca="false">Tabella527911247916182022242628303234363840424446485052545658606264687072747678[[#This Row],[Colonna2]]*$Q3</f>
        <v>0.8</v>
      </c>
      <c r="U28" s="14"/>
      <c r="V28" s="14" t="n">
        <f aca="false">Tabella527911247916182022242628303234363840424446485052545658606264687072747678[[#This Row],[Colonna4]]*$Q3</f>
        <v>1.2</v>
      </c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4</v>
      </c>
      <c r="H29" s="13" t="n">
        <v>11</v>
      </c>
      <c r="I29" s="13" t="n">
        <v>13</v>
      </c>
      <c r="J29" s="13" t="n">
        <v>7</v>
      </c>
      <c r="K29" s="13" t="n">
        <v>5</v>
      </c>
      <c r="L29" s="13" t="n">
        <v>9</v>
      </c>
      <c r="M29" s="13" t="n">
        <v>11</v>
      </c>
      <c r="P29" s="12" t="s">
        <v>36</v>
      </c>
      <c r="Q29" s="12"/>
      <c r="R29" s="12"/>
      <c r="S29" s="14" t="n">
        <f aca="false">Tabella527911247916182022242628303234363840424446485052545658606264687072747678[[#This Row],[Colonna1]]*$Q3</f>
        <v>1.6</v>
      </c>
      <c r="T29" s="14" t="n">
        <f aca="false">Tabella527911247916182022242628303234363840424446485052545658606264687072747678[[#This Row],[Colonna2]]*$Q3</f>
        <v>4.4</v>
      </c>
      <c r="U29" s="14" t="n">
        <f aca="false">Tabella527911247916182022242628303234363840424446485052545658606264687072747678[[#This Row],[Colonna3]]*$Q3</f>
        <v>5.2</v>
      </c>
      <c r="V29" s="14" t="n">
        <f aca="false">Tabella527911247916182022242628303234363840424446485052545658606264687072747678[[#This Row],[Colonna4]]*$Q3</f>
        <v>2.8</v>
      </c>
      <c r="W29" s="14" t="n">
        <f aca="false">Tabella527911247916182022242628303234363840424446485052545658606264687072747678[[#This Row],[Colonna5]]*$Q3</f>
        <v>2</v>
      </c>
      <c r="X29" s="14" t="n">
        <f aca="false">Tabella527911247916182022242628303234363840424446485052545658606264687072747678[[#This Row],[Colonna6]]*$Q3</f>
        <v>3.6</v>
      </c>
      <c r="Y29" s="14" t="n">
        <f aca="false">Tabella527911247916182022242628303234363840424446485052545658606264687072747678[[#This Row],[Colonna7]]*$Q3</f>
        <v>4.4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 t="n">
        <v>1</v>
      </c>
      <c r="J38" s="13" t="n">
        <v>1</v>
      </c>
      <c r="K38" s="13"/>
      <c r="L38" s="13"/>
      <c r="M38" s="13"/>
      <c r="P38" s="16" t="s">
        <v>45</v>
      </c>
      <c r="Q38" s="16"/>
      <c r="R38" s="16"/>
      <c r="S38" s="14"/>
      <c r="T38" s="14"/>
      <c r="U38" s="14" t="n">
        <f aca="false">Tabella527911247916182022242628303234363840424446485052545658606264687072747678[[#This Row],[Colonna3]]*$Q3</f>
        <v>0.4</v>
      </c>
      <c r="V38" s="14" t="n">
        <f aca="false">Tabella527911247916182022242628303234363840424446485052545658606264687072747678[[#This Row],[Colonna4]]*$Q3</f>
        <v>0.4</v>
      </c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 t="n">
        <v>1</v>
      </c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 t="n">
        <f aca="false">Tabella527911247916182022242628303234363840424446485052545658606264687072747678[[#This Row],[Colonna2]]*$Q3</f>
        <v>0.4</v>
      </c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13</v>
      </c>
      <c r="H42" s="13" t="n">
        <v>2</v>
      </c>
      <c r="I42" s="13" t="n">
        <v>7</v>
      </c>
      <c r="J42" s="13" t="n">
        <v>4</v>
      </c>
      <c r="K42" s="13" t="n">
        <v>1</v>
      </c>
      <c r="L42" s="13" t="n">
        <v>3</v>
      </c>
      <c r="M42" s="13" t="n">
        <v>4</v>
      </c>
      <c r="P42" s="9" t="s">
        <v>49</v>
      </c>
      <c r="Q42" s="9"/>
      <c r="R42" s="9"/>
      <c r="S42" s="14" t="n">
        <f aca="false">Tabella527911247916182022242628303234363840424446485052545658606264687072747678[[#This Row],[Colonna1]]*$Q3</f>
        <v>5.2</v>
      </c>
      <c r="T42" s="14" t="n">
        <f aca="false">Tabella527911247916182022242628303234363840424446485052545658606264687072747678[[#This Row],[Colonna2]]*$Q3</f>
        <v>0.8</v>
      </c>
      <c r="U42" s="14" t="n">
        <f aca="false">Tabella527911247916182022242628303234363840424446485052545658606264687072747678[[#This Row],[Colonna3]]*$Q3</f>
        <v>2.8</v>
      </c>
      <c r="V42" s="14" t="n">
        <f aca="false">Tabella527911247916182022242628303234363840424446485052545658606264687072747678[[#This Row],[Colonna4]]*$Q3</f>
        <v>1.6</v>
      </c>
      <c r="W42" s="14" t="n">
        <f aca="false">Tabella527911247916182022242628303234363840424446485052545658606264687072747678[[#This Row],[Colonna5]]*$Q3</f>
        <v>0.4</v>
      </c>
      <c r="X42" s="14" t="n">
        <f aca="false">Tabella527911247916182022242628303234363840424446485052545658606264687072747678[[#This Row],[Colonna6]]*$Q3</f>
        <v>1.2</v>
      </c>
      <c r="Y42" s="14" t="n">
        <f aca="false">Tabella527911247916182022242628303234363840424446485052545658606264687072747678[[#This Row],[Colonna7]]*$Q3</f>
        <v>1.6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 t="s">
        <v>91</v>
      </c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21</v>
      </c>
      <c r="H44" s="13" t="n">
        <v>14</v>
      </c>
      <c r="I44" s="13" t="n">
        <v>16</v>
      </c>
      <c r="J44" s="13" t="n">
        <v>25</v>
      </c>
      <c r="K44" s="13" t="n">
        <v>19</v>
      </c>
      <c r="L44" s="13" t="n">
        <v>10</v>
      </c>
      <c r="M44" s="13" t="n">
        <v>22</v>
      </c>
      <c r="P44" s="12" t="s">
        <v>51</v>
      </c>
      <c r="Q44" s="12"/>
      <c r="R44" s="12"/>
      <c r="S44" s="14" t="n">
        <f aca="false">Tabella527911247916182022242628303234363840424446485052545658606264687072747678[[#This Row],[Colonna1]]*$Q3</f>
        <v>8.4</v>
      </c>
      <c r="T44" s="14" t="n">
        <f aca="false">Tabella527911247916182022242628303234363840424446485052545658606264687072747678[[#This Row],[Colonna2]]*$Q3</f>
        <v>5.6</v>
      </c>
      <c r="U44" s="14" t="n">
        <f aca="false">Tabella527911247916182022242628303234363840424446485052545658606264687072747678[[#This Row],[Colonna3]]*$Q3</f>
        <v>6.4</v>
      </c>
      <c r="V44" s="14" t="n">
        <f aca="false">Tabella527911247916182022242628303234363840424446485052545658606264687072747678[[#This Row],[Colonna4]]*$Q3</f>
        <v>10</v>
      </c>
      <c r="W44" s="14" t="n">
        <f aca="false">Tabella527911247916182022242628303234363840424446485052545658606264687072747678[[#This Row],[Colonna5]]*$Q3</f>
        <v>7.6</v>
      </c>
      <c r="X44" s="14" t="n">
        <f aca="false">Tabella527911247916182022242628303234363840424446485052545658606264687072747678[[#This Row],[Colonna6]]*$Q3</f>
        <v>4</v>
      </c>
      <c r="Y44" s="14" t="n">
        <f aca="false">Tabella527911247916182022242628303234363840424446485052545658606264687072747678[[#This Row],[Colonna7]]*$Q3</f>
        <v>8.8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 t="n">
        <v>3</v>
      </c>
      <c r="J49" s="13" t="n">
        <v>3</v>
      </c>
      <c r="K49" s="13" t="n">
        <v>2</v>
      </c>
      <c r="L49" s="13" t="n">
        <v>2</v>
      </c>
      <c r="M49" s="13" t="n">
        <v>1</v>
      </c>
      <c r="P49" s="18" t="s">
        <v>56</v>
      </c>
      <c r="Q49" s="18"/>
      <c r="R49" s="18"/>
      <c r="S49" s="14"/>
      <c r="T49" s="14"/>
      <c r="U49" s="14" t="n">
        <f aca="false">Tabella527911247916182022242628303234363840424446485052545658606264687072747678[[#This Row],[Colonna3]]*$Q3</f>
        <v>1.2</v>
      </c>
      <c r="V49" s="14" t="n">
        <f aca="false">Tabella527911247916182022242628303234363840424446485052545658606264687072747678[[#This Row],[Colonna4]]*$Q3</f>
        <v>1.2</v>
      </c>
      <c r="W49" s="14" t="n">
        <f aca="false">Tabella527911247916182022242628303234363840424446485052545658606264687072747678[[#This Row],[Colonna5]]*$Q3</f>
        <v>0.8</v>
      </c>
      <c r="X49" s="14" t="n">
        <f aca="false">Tabella527911247916182022242628303234363840424446485052545658606264687072747678[[#This Row],[Colonna6]]*$Q3</f>
        <v>0.8</v>
      </c>
      <c r="Y49" s="14" t="n">
        <f aca="false">Tabella527911247916182022242628303234363840424446485052545658606264687072747678[[#This Row],[Colonna7]]*$Q3</f>
        <v>0.4</v>
      </c>
    </row>
    <row r="50" customFormat="false" ht="15" hidden="false" customHeight="false" outlineLevel="0" collapsed="false">
      <c r="D50" s="9" t="s">
        <v>57</v>
      </c>
      <c r="E50" s="9"/>
      <c r="F50" s="9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22</v>
      </c>
      <c r="H52" s="13" t="n">
        <v>47</v>
      </c>
      <c r="I52" s="13" t="n">
        <v>22</v>
      </c>
      <c r="J52" s="13" t="n">
        <v>6</v>
      </c>
      <c r="K52" s="13" t="n">
        <v>16</v>
      </c>
      <c r="L52" s="13" t="n">
        <v>77</v>
      </c>
      <c r="M52" s="13" t="n">
        <v>54</v>
      </c>
      <c r="P52" s="12" t="s">
        <v>59</v>
      </c>
      <c r="Q52" s="12"/>
      <c r="R52" s="12"/>
      <c r="S52" s="14" t="n">
        <f aca="false">Tabella527911247916182022242628303234363840424446485052545658606264687072747678[[#This Row],[Colonna1]]*$Q3</f>
        <v>8.8</v>
      </c>
      <c r="T52" s="14" t="n">
        <f aca="false">Tabella527911247916182022242628303234363840424446485052545658606264687072747678[[#This Row],[Colonna2]]*$Q3</f>
        <v>18.8</v>
      </c>
      <c r="U52" s="14" t="n">
        <f aca="false">Tabella527911247916182022242628303234363840424446485052545658606264687072747678[[#This Row],[Colonna3]]*$Q3</f>
        <v>8.8</v>
      </c>
      <c r="V52" s="14" t="n">
        <f aca="false">Tabella527911247916182022242628303234363840424446485052545658606264687072747678[[#This Row],[Colonna4]]*$Q3</f>
        <v>2.4</v>
      </c>
      <c r="W52" s="14" t="n">
        <f aca="false">Tabella527911247916182022242628303234363840424446485052545658606264687072747678[[#This Row],[Colonna5]]*$Q3</f>
        <v>6.4</v>
      </c>
      <c r="X52" s="14" t="n">
        <f aca="false">Tabella527911247916182022242628303234363840424446485052545658606264687072747678[[#This Row],[Colonna6]]*$Q3</f>
        <v>30.8</v>
      </c>
      <c r="Y52" s="14" t="n">
        <f aca="false">Tabella527911247916182022242628303234363840424446485052545658606264687072747678[[#This Row],[Colonna7]]*$Q3</f>
        <v>21.6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75</v>
      </c>
      <c r="H53" s="55" t="n">
        <f aca="false">SUM(H6:H52)</f>
        <v>87</v>
      </c>
      <c r="I53" s="55" t="n">
        <f aca="false">SUM(I6:I52)</f>
        <v>78</v>
      </c>
      <c r="J53" s="55" t="n">
        <f aca="false">SUM(J6:J52)</f>
        <v>82</v>
      </c>
      <c r="K53" s="55" t="n">
        <f aca="false">SUM(K6:K52)</f>
        <v>55</v>
      </c>
      <c r="L53" s="55" t="n">
        <f aca="false">SUM(L6:L52)</f>
        <v>114</v>
      </c>
      <c r="M53" s="55" t="n">
        <f aca="false">SUM(M6:M52)</f>
        <v>104</v>
      </c>
      <c r="P53" s="17" t="s">
        <v>60</v>
      </c>
      <c r="Q53" s="17"/>
      <c r="R53" s="17"/>
      <c r="S53" s="56" t="n">
        <f aca="false">Tabella527911247916182022242628303234363840424446485052545658606264687072747678[[#This Row],[Colonna1]]*$Q3</f>
        <v>30</v>
      </c>
      <c r="T53" s="56" t="n">
        <f aca="false">Tabella527911247916182022242628303234363840424446485052545658606264687072747678[[#This Row],[Colonna2]]*$Q3</f>
        <v>34.8</v>
      </c>
      <c r="U53" s="56" t="n">
        <f aca="false">Tabella527911247916182022242628303234363840424446485052545658606264687072747678[[#This Row],[Colonna3]]*$Q3</f>
        <v>31.2</v>
      </c>
      <c r="V53" s="56" t="n">
        <f aca="false">Tabella527911247916182022242628303234363840424446485052545658606264687072747678[[#This Row],[Colonna4]]*$Q3</f>
        <v>32.8</v>
      </c>
      <c r="W53" s="56" t="n">
        <f aca="false">Tabella527911247916182022242628303234363840424446485052545658606264687072747678[[#This Row],[Colonna5]]*$Q3</f>
        <v>22</v>
      </c>
      <c r="X53" s="56" t="n">
        <f aca="false">Tabella527911247916182022242628303234363840424446485052545658606264687072747678[[#This Row],[Colonna6]]*$Q3</f>
        <v>45.6</v>
      </c>
      <c r="Y53" s="56" t="n">
        <f aca="false">Tabella527911247916182022242628303234363840424446485052545658606264687072747678[[#This Row],[Colonna7]]*$Q3</f>
        <v>41.6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208</v>
      </c>
      <c r="H58" s="26" t="n">
        <v>327</v>
      </c>
      <c r="I58" s="26" t="n">
        <v>498</v>
      </c>
      <c r="J58" s="26" t="n">
        <v>761</v>
      </c>
      <c r="K58" s="26" t="n">
        <v>322</v>
      </c>
      <c r="L58" s="26" t="n">
        <v>246</v>
      </c>
      <c r="M58" s="26" t="n">
        <v>305</v>
      </c>
      <c r="P58" s="23" t="s">
        <v>62</v>
      </c>
      <c r="Q58" s="23"/>
      <c r="R58" s="23"/>
      <c r="S58" s="57" t="n">
        <f aca="false">G58*$Q3</f>
        <v>83.2</v>
      </c>
      <c r="T58" s="57" t="n">
        <f aca="false">H58*$Q3</f>
        <v>130.8</v>
      </c>
      <c r="U58" s="57" t="n">
        <f aca="false">I58*$Q3</f>
        <v>199.2</v>
      </c>
      <c r="V58" s="57" t="n">
        <f aca="false">J58*$Q3</f>
        <v>304.4</v>
      </c>
      <c r="W58" s="57" t="n">
        <f aca="false">K58*$Q3</f>
        <v>128.8</v>
      </c>
      <c r="X58" s="57" t="n">
        <f aca="false">L58*$Q3</f>
        <v>98.4</v>
      </c>
      <c r="Y58" s="57" t="n">
        <f aca="false">M58*$Q3</f>
        <v>122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26"/>
      <c r="H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26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47</v>
      </c>
      <c r="H62" s="26" t="n">
        <v>49</v>
      </c>
      <c r="I62" s="26" t="n">
        <v>56</v>
      </c>
      <c r="J62" s="26" t="n">
        <v>84</v>
      </c>
      <c r="K62" s="26" t="n">
        <v>27</v>
      </c>
      <c r="L62" s="26" t="n">
        <v>17</v>
      </c>
      <c r="M62" s="26" t="n">
        <v>24</v>
      </c>
      <c r="P62" s="9" t="s">
        <v>66</v>
      </c>
      <c r="Q62" s="9"/>
      <c r="R62" s="9"/>
      <c r="S62" s="57" t="n">
        <f aca="false">G62*$Q3</f>
        <v>18.8</v>
      </c>
      <c r="T62" s="57" t="n">
        <f aca="false">H62*$Q3</f>
        <v>19.6</v>
      </c>
      <c r="U62" s="57" t="n">
        <f aca="false">I62*$Q3</f>
        <v>22.4</v>
      </c>
      <c r="V62" s="57" t="n">
        <f aca="false">J62*$Q3</f>
        <v>33.6</v>
      </c>
      <c r="W62" s="57" t="n">
        <f aca="false">K62*$Q3</f>
        <v>10.8</v>
      </c>
      <c r="X62" s="57" t="n">
        <f aca="false">L62*$Q3</f>
        <v>6.8</v>
      </c>
      <c r="Y62" s="57" t="n">
        <f aca="false">M62*$Q3</f>
        <v>9.6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8</v>
      </c>
      <c r="H63" s="26" t="n">
        <v>23</v>
      </c>
      <c r="I63" s="26" t="n">
        <v>11</v>
      </c>
      <c r="J63" s="26" t="n">
        <v>16</v>
      </c>
      <c r="K63" s="26" t="n">
        <v>7</v>
      </c>
      <c r="L63" s="26" t="n">
        <v>9</v>
      </c>
      <c r="M63" s="26" t="n">
        <v>4</v>
      </c>
      <c r="P63" s="9" t="s">
        <v>67</v>
      </c>
      <c r="Q63" s="9"/>
      <c r="R63" s="9"/>
      <c r="S63" s="57" t="n">
        <f aca="false">G63*$Q3</f>
        <v>3.2</v>
      </c>
      <c r="T63" s="57" t="n">
        <f aca="false">H63*$Q3</f>
        <v>9.2</v>
      </c>
      <c r="U63" s="57" t="n">
        <f aca="false">I63*$Q3</f>
        <v>4.4</v>
      </c>
      <c r="V63" s="57" t="n">
        <f aca="false">J63*$Q3</f>
        <v>6.4</v>
      </c>
      <c r="W63" s="57" t="n">
        <f aca="false">K63*$Q3</f>
        <v>2.8</v>
      </c>
      <c r="X63" s="57" t="n">
        <f aca="false">L63*$Q3</f>
        <v>3.6</v>
      </c>
      <c r="Y63" s="57" t="n">
        <f aca="false">M63*$Q3</f>
        <v>1.6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2</v>
      </c>
      <c r="H64" s="26" t="n">
        <v>9</v>
      </c>
      <c r="I64" s="26" t="n">
        <v>16</v>
      </c>
      <c r="J64" s="26" t="n">
        <v>8</v>
      </c>
      <c r="K64" s="26" t="n">
        <v>8</v>
      </c>
      <c r="L64" s="26" t="n">
        <v>9</v>
      </c>
      <c r="M64" s="26" t="n">
        <v>7</v>
      </c>
      <c r="P64" s="9" t="s">
        <v>68</v>
      </c>
      <c r="Q64" s="9"/>
      <c r="R64" s="9"/>
      <c r="S64" s="57" t="n">
        <f aca="false">G64*$Q3</f>
        <v>0.8</v>
      </c>
      <c r="T64" s="57" t="n">
        <f aca="false">H64*$Q3</f>
        <v>3.6</v>
      </c>
      <c r="U64" s="57" t="n">
        <f aca="false">I64*$Q3</f>
        <v>6.4</v>
      </c>
      <c r="V64" s="57" t="n">
        <f aca="false">J64*$Q3</f>
        <v>3.2</v>
      </c>
      <c r="W64" s="57" t="n">
        <f aca="false">K64*$Q3</f>
        <v>3.2</v>
      </c>
      <c r="X64" s="57" t="n">
        <f aca="false">L64*$Q3</f>
        <v>3.6</v>
      </c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4</v>
      </c>
      <c r="H65" s="26" t="n">
        <v>1</v>
      </c>
      <c r="I65" s="26" t="n">
        <v>4</v>
      </c>
      <c r="J65" s="26" t="n">
        <v>3</v>
      </c>
      <c r="K65" s="26" t="n">
        <v>5</v>
      </c>
      <c r="L65" s="26" t="n">
        <v>1</v>
      </c>
      <c r="M65" s="26" t="n">
        <v>2</v>
      </c>
      <c r="P65" s="9" t="s">
        <v>69</v>
      </c>
      <c r="Q65" s="9"/>
      <c r="R65" s="9"/>
      <c r="S65" s="57" t="n">
        <f aca="false">G65*$Q3</f>
        <v>1.6</v>
      </c>
      <c r="T65" s="57" t="n">
        <f aca="false">H65*$Q3</f>
        <v>0.4</v>
      </c>
      <c r="U65" s="57" t="n">
        <f aca="false">I65*$Q3</f>
        <v>1.6</v>
      </c>
      <c r="V65" s="57" t="n">
        <f aca="false">J65*$Q3</f>
        <v>1.2</v>
      </c>
      <c r="W65" s="57" t="n">
        <f aca="false">K65*$Q3</f>
        <v>2</v>
      </c>
      <c r="X65" s="57" t="n">
        <f aca="false">L65*$Q3</f>
        <v>0.4</v>
      </c>
      <c r="Y65" s="57" t="n">
        <f aca="false">M65*$Q3</f>
        <v>0.8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 t="s">
        <v>91</v>
      </c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33</v>
      </c>
      <c r="H67" s="26" t="n">
        <v>37</v>
      </c>
      <c r="I67" s="26" t="n">
        <v>64</v>
      </c>
      <c r="J67" s="26" t="n">
        <v>57</v>
      </c>
      <c r="K67" s="26" t="n">
        <v>9</v>
      </c>
      <c r="L67" s="26" t="n">
        <v>18</v>
      </c>
      <c r="M67" s="26" t="n">
        <v>12</v>
      </c>
      <c r="P67" s="9" t="s">
        <v>71</v>
      </c>
      <c r="Q67" s="9"/>
      <c r="R67" s="9"/>
      <c r="S67" s="57" t="n">
        <f aca="false">G67*$Q3</f>
        <v>13.2</v>
      </c>
      <c r="T67" s="57" t="n">
        <f aca="false">H67*$Q3</f>
        <v>14.8</v>
      </c>
      <c r="U67" s="57" t="n">
        <f aca="false">I67*$Q3</f>
        <v>25.6</v>
      </c>
      <c r="V67" s="57" t="n">
        <f aca="false">J67*$Q3</f>
        <v>22.8</v>
      </c>
      <c r="W67" s="57" t="n">
        <f aca="false">K67*$Q3</f>
        <v>3.6</v>
      </c>
      <c r="X67" s="57" t="n">
        <f aca="false">L67*$Q3</f>
        <v>7.2</v>
      </c>
      <c r="Y67" s="57" t="n">
        <f aca="false">M67*$Q3</f>
        <v>4.8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23</v>
      </c>
      <c r="H68" s="30" t="n">
        <v>2</v>
      </c>
      <c r="I68" s="30" t="n">
        <v>1</v>
      </c>
      <c r="J68" s="30" t="n">
        <v>3</v>
      </c>
      <c r="K68" s="30"/>
      <c r="L68" s="30" t="n">
        <v>3</v>
      </c>
      <c r="M68" s="30" t="n">
        <v>2</v>
      </c>
      <c r="P68" s="9" t="s">
        <v>72</v>
      </c>
      <c r="Q68" s="9"/>
      <c r="R68" s="9"/>
      <c r="S68" s="57" t="n">
        <f aca="false">G68*$Q3</f>
        <v>9.2</v>
      </c>
      <c r="T68" s="57" t="n">
        <f aca="false">H68*$Q3</f>
        <v>0.8</v>
      </c>
      <c r="U68" s="57" t="n">
        <f aca="false">I68*$Q3</f>
        <v>0.4</v>
      </c>
      <c r="V68" s="57" t="n">
        <f aca="false">J68*$Q3</f>
        <v>1.2</v>
      </c>
      <c r="W68" s="57"/>
      <c r="X68" s="57" t="n">
        <f aca="false">L68*$Q3</f>
        <v>1.2</v>
      </c>
      <c r="Y68" s="57" t="n">
        <f aca="false">M68*$Q3</f>
        <v>0.8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14</v>
      </c>
      <c r="H69" s="30" t="n">
        <v>56</v>
      </c>
      <c r="I69" s="30" t="n">
        <v>97</v>
      </c>
      <c r="J69" s="30" t="n">
        <v>111</v>
      </c>
      <c r="K69" s="30" t="n">
        <v>83</v>
      </c>
      <c r="L69" s="30" t="n">
        <v>80</v>
      </c>
      <c r="M69" s="30" t="n">
        <v>38</v>
      </c>
      <c r="P69" s="9" t="s">
        <v>73</v>
      </c>
      <c r="Q69" s="9"/>
      <c r="R69" s="9"/>
      <c r="S69" s="57" t="n">
        <f aca="false">G69*Q3</f>
        <v>5.6</v>
      </c>
      <c r="T69" s="57" t="n">
        <f aca="false">H69*$Q3</f>
        <v>22.4</v>
      </c>
      <c r="U69" s="57" t="n">
        <f aca="false">I69*$Q3</f>
        <v>38.8</v>
      </c>
      <c r="V69" s="57" t="n">
        <f aca="false">J69*$Q3</f>
        <v>44.4</v>
      </c>
      <c r="W69" s="57" t="n">
        <f aca="false">K69*$Q3</f>
        <v>33.2</v>
      </c>
      <c r="X69" s="57" t="n">
        <f aca="false">L69*$Q3</f>
        <v>32</v>
      </c>
      <c r="Y69" s="57" t="n">
        <f aca="false">M69*$Q3</f>
        <v>15.2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339</v>
      </c>
      <c r="H70" s="60" t="n">
        <f aca="false">SUM(H58:H69)</f>
        <v>504</v>
      </c>
      <c r="I70" s="60" t="n">
        <f aca="false">SUM(I58:I69)</f>
        <v>747</v>
      </c>
      <c r="J70" s="60" t="n">
        <f aca="false">SUM(J58:J69)</f>
        <v>1043</v>
      </c>
      <c r="K70" s="60" t="n">
        <f aca="false">SUM(K58:K69)</f>
        <v>461</v>
      </c>
      <c r="L70" s="60" t="n">
        <f aca="false">SUM(L58:L69)</f>
        <v>383</v>
      </c>
      <c r="M70" s="60" t="n">
        <f aca="false">SUM(M58:M69)</f>
        <v>394</v>
      </c>
      <c r="P70" s="9" t="s">
        <v>60</v>
      </c>
      <c r="Q70" s="9"/>
      <c r="R70" s="9"/>
      <c r="S70" s="61" t="n">
        <f aca="false">G70*$Q3</f>
        <v>135.6</v>
      </c>
      <c r="T70" s="61" t="n">
        <f aca="false">H70*$Q3</f>
        <v>201.6</v>
      </c>
      <c r="U70" s="61" t="n">
        <f aca="false">I70*$Q3</f>
        <v>298.8</v>
      </c>
      <c r="V70" s="61" t="n">
        <f aca="false">J70*$Q3</f>
        <v>417.2</v>
      </c>
      <c r="W70" s="61" t="n">
        <f aca="false">K70*$Q3</f>
        <v>184.4</v>
      </c>
      <c r="X70" s="61" t="n">
        <f aca="false">L70*$Q3</f>
        <v>153.2</v>
      </c>
      <c r="Y70" s="61" t="n">
        <f aca="false">M70*$Q3</f>
        <v>157.6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M37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45152</v>
      </c>
      <c r="K3" s="5" t="n">
        <v>45158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45152</v>
      </c>
      <c r="W3" s="5" t="n">
        <v>45158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10</v>
      </c>
      <c r="H7" s="13" t="n">
        <v>2</v>
      </c>
      <c r="I7" s="13" t="n">
        <v>3</v>
      </c>
      <c r="J7" s="13" t="n">
        <v>6</v>
      </c>
      <c r="K7" s="13" t="n">
        <v>2</v>
      </c>
      <c r="L7" s="13" t="n">
        <v>9</v>
      </c>
      <c r="M7" s="13"/>
      <c r="P7" s="12" t="s">
        <v>14</v>
      </c>
      <c r="Q7" s="12"/>
      <c r="R7" s="12"/>
      <c r="S7" s="14" t="n">
        <f aca="false">Tabella52791124791618202224262830323436384042444648505254565860626468707274767880[[#This Row],[Colonna1]]*$Q3</f>
        <v>4</v>
      </c>
      <c r="T7" s="14" t="n">
        <f aca="false">Tabella52791124791618202224262830323436384042444648505254565860626468707274767880[[#This Row],[Colonna2]]*$Q3</f>
        <v>0.8</v>
      </c>
      <c r="U7" s="14" t="n">
        <f aca="false">Tabella52791124791618202224262830323436384042444648505254565860626468707274767880[[#This Row],[Colonna3]]*$Q3</f>
        <v>1.2</v>
      </c>
      <c r="V7" s="14" t="n">
        <f aca="false">Tabella52791124791618202224262830323436384042444648505254565860626468707274767880[[#This Row],[Colonna4]]*$Q3</f>
        <v>2.4</v>
      </c>
      <c r="W7" s="14" t="n">
        <f aca="false">Tabella52791124791618202224262830323436384042444648505254565860626468707274767880[[#This Row],[Colonna5]]*$Q3</f>
        <v>0.8</v>
      </c>
      <c r="X7" s="14" t="n">
        <f aca="false">Tabella52791124791618202224262830323436384042444648505254565860626468707274767880[[#This Row],[Colonna6]]*$Q3</f>
        <v>3.6</v>
      </c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9</v>
      </c>
      <c r="H12" s="13" t="n">
        <v>12</v>
      </c>
      <c r="I12" s="13" t="n">
        <v>7</v>
      </c>
      <c r="J12" s="13" t="n">
        <v>13</v>
      </c>
      <c r="K12" s="13" t="n">
        <v>48</v>
      </c>
      <c r="L12" s="13" t="n">
        <v>23</v>
      </c>
      <c r="M12" s="13" t="n">
        <v>21</v>
      </c>
      <c r="P12" s="12" t="s">
        <v>19</v>
      </c>
      <c r="Q12" s="12"/>
      <c r="R12" s="12"/>
      <c r="S12" s="14" t="n">
        <f aca="false">Tabella52791124791618202224262830323436384042444648505254565860626468707274767880[[#This Row],[Colonna1]]*$Q3</f>
        <v>3.6</v>
      </c>
      <c r="T12" s="14" t="n">
        <f aca="false">Tabella52791124791618202224262830323436384042444648505254565860626468707274767880[[#This Row],[Colonna2]]*$Q3</f>
        <v>4.8</v>
      </c>
      <c r="U12" s="14" t="n">
        <f aca="false">Tabella52791124791618202224262830323436384042444648505254565860626468707274767880[[#This Row],[Colonna3]]*$Q3</f>
        <v>2.8</v>
      </c>
      <c r="V12" s="14" t="n">
        <f aca="false">Tabella52791124791618202224262830323436384042444648505254565860626468707274767880[[#This Row],[Colonna4]]*$Q3</f>
        <v>5.2</v>
      </c>
      <c r="W12" s="14" t="n">
        <f aca="false">Tabella52791124791618202224262830323436384042444648505254565860626468707274767880[[#This Row],[Colonna5]]*$Q3</f>
        <v>19.2</v>
      </c>
      <c r="X12" s="14" t="n">
        <f aca="false">Tabella52791124791618202224262830323436384042444648505254565860626468707274767880[[#This Row],[Colonna6]]*$Q3</f>
        <v>9.2</v>
      </c>
      <c r="Y12" s="14" t="n">
        <f aca="false">Tabella52791124791618202224262830323436384042444648505254565860626468707274767880[[#This Row],[Colonna7]]*$Q3</f>
        <v>8.4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1</v>
      </c>
      <c r="H15" s="13" t="n">
        <v>1</v>
      </c>
      <c r="I15" s="13" t="n">
        <v>8</v>
      </c>
      <c r="J15" s="13" t="n">
        <v>5</v>
      </c>
      <c r="K15" s="13" t="n">
        <v>9</v>
      </c>
      <c r="L15" s="13" t="n">
        <v>9</v>
      </c>
      <c r="M15" s="13" t="n">
        <v>6</v>
      </c>
      <c r="P15" s="12" t="s">
        <v>22</v>
      </c>
      <c r="Q15" s="12"/>
      <c r="R15" s="12"/>
      <c r="S15" s="14" t="n">
        <f aca="false">Tabella52791124791618202224262830323436384042444648505254565860626468707274767880[[#This Row],[Colonna1]]*$Q3</f>
        <v>0.4</v>
      </c>
      <c r="T15" s="14" t="n">
        <f aca="false">Tabella52791124791618202224262830323436384042444648505254565860626468707274767880[[#This Row],[Colonna2]]*$Q3</f>
        <v>0.4</v>
      </c>
      <c r="U15" s="14" t="n">
        <f aca="false">Tabella52791124791618202224262830323436384042444648505254565860626468707274767880[[#This Row],[Colonna3]]*$Q3</f>
        <v>3.2</v>
      </c>
      <c r="V15" s="14" t="n">
        <f aca="false">Tabella52791124791618202224262830323436384042444648505254565860626468707274767880[[#This Row],[Colonna4]]*$Q3</f>
        <v>2</v>
      </c>
      <c r="W15" s="14" t="n">
        <f aca="false">Tabella52791124791618202224262830323436384042444648505254565860626468707274767880[[#This Row],[Colonna5]]*$Q3</f>
        <v>3.6</v>
      </c>
      <c r="X15" s="14" t="n">
        <f aca="false">Tabella52791124791618202224262830323436384042444648505254565860626468707274767880[[#This Row],[Colonna6]]*$Q3</f>
        <v>3.6</v>
      </c>
      <c r="Y15" s="14" t="n">
        <f aca="false">Tabella52791124791618202224262830323436384042444648505254565860626468707274767880[[#This Row],[Colonna7]]*$Q3</f>
        <v>2.4</v>
      </c>
    </row>
    <row r="16" customFormat="false" ht="15" hidden="false" customHeight="false" outlineLevel="0" collapsed="false">
      <c r="D16" s="12" t="s">
        <v>23</v>
      </c>
      <c r="E16" s="12"/>
      <c r="F16" s="12"/>
      <c r="G16" s="13" t="n">
        <v>3</v>
      </c>
      <c r="H16" s="13" t="n">
        <v>1</v>
      </c>
      <c r="I16" s="13" t="n">
        <v>5</v>
      </c>
      <c r="J16" s="13" t="n">
        <v>5</v>
      </c>
      <c r="K16" s="13" t="n">
        <v>12</v>
      </c>
      <c r="L16" s="13" t="n">
        <v>4</v>
      </c>
      <c r="M16" s="13" t="n">
        <v>1</v>
      </c>
      <c r="P16" s="12" t="s">
        <v>23</v>
      </c>
      <c r="Q16" s="12"/>
      <c r="R16" s="12"/>
      <c r="S16" s="14" t="n">
        <f aca="false">Tabella52791124791618202224262830323436384042444648505254565860626468707274767880[[#This Row],[Colonna1]]*$Q3</f>
        <v>1.2</v>
      </c>
      <c r="T16" s="14" t="n">
        <f aca="false">Tabella52791124791618202224262830323436384042444648505254565860626468707274767880[[#This Row],[Colonna2]]*$Q3</f>
        <v>0.4</v>
      </c>
      <c r="U16" s="14" t="n">
        <f aca="false">Tabella52791124791618202224262830323436384042444648505254565860626468707274767880[[#This Row],[Colonna3]]*$Q3</f>
        <v>2</v>
      </c>
      <c r="V16" s="14" t="n">
        <f aca="false">Tabella52791124791618202224262830323436384042444648505254565860626468707274767880[[#This Row],[Colonna4]]*$Q3</f>
        <v>2</v>
      </c>
      <c r="W16" s="14" t="n">
        <f aca="false">Tabella52791124791618202224262830323436384042444648505254565860626468707274767880[[#This Row],[Colonna5]]*$Q3</f>
        <v>4.8</v>
      </c>
      <c r="X16" s="14" t="n">
        <f aca="false">Tabella52791124791618202224262830323436384042444648505254565860626468707274767880[[#This Row],[Colonna6]]*$Q3</f>
        <v>1.6</v>
      </c>
      <c r="Y16" s="14" t="n">
        <f aca="false">Tabella52791124791618202224262830323436384042444648505254565860626468707274767880[[#This Row],[Colonna7]]*$Q3</f>
        <v>0.4</v>
      </c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 t="n">
        <v>10</v>
      </c>
      <c r="H20" s="13" t="n">
        <v>4</v>
      </c>
      <c r="I20" s="13" t="n">
        <v>10</v>
      </c>
      <c r="J20" s="13" t="n">
        <v>22</v>
      </c>
      <c r="K20" s="13" t="n">
        <v>54</v>
      </c>
      <c r="L20" s="13" t="n">
        <v>23</v>
      </c>
      <c r="M20" s="13" t="n">
        <v>12</v>
      </c>
      <c r="P20" s="9" t="s">
        <v>27</v>
      </c>
      <c r="Q20" s="9"/>
      <c r="R20" s="9"/>
      <c r="S20" s="14" t="n">
        <f aca="false">Tabella52791124791618202224262830323436384042444648505254565860626468707274767880[[#This Row],[Colonna1]]*$Q3</f>
        <v>4</v>
      </c>
      <c r="T20" s="14" t="n">
        <f aca="false">Tabella52791124791618202224262830323436384042444648505254565860626468707274767880[[#This Row],[Colonna2]]*$Q3</f>
        <v>1.6</v>
      </c>
      <c r="U20" s="14" t="n">
        <f aca="false">Tabella52791124791618202224262830323436384042444648505254565860626468707274767880[[#This Row],[Colonna3]]*$Q3</f>
        <v>4</v>
      </c>
      <c r="V20" s="14" t="n">
        <f aca="false">Tabella52791124791618202224262830323436384042444648505254565860626468707274767880[[#This Row],[Colonna4]]*$Q3</f>
        <v>8.8</v>
      </c>
      <c r="W20" s="14" t="n">
        <f aca="false">Tabella52791124791618202224262830323436384042444648505254565860626468707274767880[[#This Row],[Colonna5]]*$Q3</f>
        <v>21.6</v>
      </c>
      <c r="X20" s="14" t="n">
        <f aca="false">Tabella52791124791618202224262830323436384042444648505254565860626468707274767880[[#This Row],[Colonna6]]*$Q3</f>
        <v>9.2</v>
      </c>
      <c r="Y20" s="14" t="n">
        <f aca="false">Tabella52791124791618202224262830323436384042444648505254565860626468707274767880[[#This Row],[Colonna7]]*$Q3</f>
        <v>4.8</v>
      </c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</v>
      </c>
      <c r="H22" s="13" t="n">
        <v>1</v>
      </c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Tabella52791124791618202224262830323436384042444648505254565860626468707274767880[[#This Row],[Colonna1]]*$Q3</f>
        <v>0.8</v>
      </c>
      <c r="T22" s="14" t="n">
        <f aca="false">Tabella52791124791618202224262830323436384042444648505254565860626468707274767880[[#This Row],[Colonna2]]*$Q3</f>
        <v>0.4</v>
      </c>
      <c r="U22" s="14"/>
      <c r="V22" s="14"/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 t="n">
        <v>1</v>
      </c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 t="n">
        <f aca="false">Tabella52791124791618202224262830323436384042444648505254565860626468707274767880[[#This Row],[Colonna7]]*$Q3</f>
        <v>0.4</v>
      </c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 t="n">
        <v>1</v>
      </c>
      <c r="I26" s="13"/>
      <c r="J26" s="13"/>
      <c r="K26" s="13"/>
      <c r="L26" s="13" t="n">
        <v>2</v>
      </c>
      <c r="M26" s="13"/>
      <c r="P26" s="12" t="s">
        <v>33</v>
      </c>
      <c r="Q26" s="12"/>
      <c r="R26" s="12"/>
      <c r="S26" s="14"/>
      <c r="T26" s="14" t="n">
        <f aca="false">Tabella52791124791618202224262830323436384042444648505254565860626468707274767880[[#This Row],[Colonna2]]*$Q3</f>
        <v>0.4</v>
      </c>
      <c r="U26" s="14"/>
      <c r="V26" s="14"/>
      <c r="W26" s="14"/>
      <c r="X26" s="14" t="n">
        <f aca="false">Tabella52791124791618202224262830323436384042444648505254565860626468707274767880[[#This Row],[Colonna6]]*$Q3</f>
        <v>0.8</v>
      </c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1</v>
      </c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 t="n">
        <f aca="false">Tabella52791124791618202224262830323436384042444648505254565860626468707274767880[[#This Row],[Colonna1]]*$Q3</f>
        <v>0.4</v>
      </c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8</v>
      </c>
      <c r="H29" s="13" t="n">
        <v>9</v>
      </c>
      <c r="I29" s="13" t="n">
        <v>6</v>
      </c>
      <c r="J29" s="13" t="n">
        <v>13</v>
      </c>
      <c r="K29" s="13" t="n">
        <v>13</v>
      </c>
      <c r="L29" s="13" t="n">
        <v>10</v>
      </c>
      <c r="M29" s="13" t="n">
        <v>11</v>
      </c>
      <c r="P29" s="12" t="s">
        <v>36</v>
      </c>
      <c r="Q29" s="12"/>
      <c r="R29" s="12"/>
      <c r="S29" s="14" t="n">
        <f aca="false">Tabella52791124791618202224262830323436384042444648505254565860626468707274767880[[#This Row],[Colonna1]]*$Q3</f>
        <v>3.2</v>
      </c>
      <c r="T29" s="14" t="n">
        <f aca="false">Tabella52791124791618202224262830323436384042444648505254565860626468707274767880[[#This Row],[Colonna2]]*$Q3</f>
        <v>3.6</v>
      </c>
      <c r="U29" s="14" t="n">
        <f aca="false">Tabella52791124791618202224262830323436384042444648505254565860626468707274767880[[#This Row],[Colonna3]]*$Q3</f>
        <v>2.4</v>
      </c>
      <c r="V29" s="14" t="n">
        <f aca="false">Tabella52791124791618202224262830323436384042444648505254565860626468707274767880[[#This Row],[Colonna4]]*$Q3</f>
        <v>5.2</v>
      </c>
      <c r="W29" s="14" t="n">
        <f aca="false">Tabella52791124791618202224262830323436384042444648505254565860626468707274767880[[#This Row],[Colonna5]]*$Q3</f>
        <v>5.2</v>
      </c>
      <c r="X29" s="14" t="n">
        <f aca="false">Tabella52791124791618202224262830323436384042444648505254565860626468707274767880[[#This Row],[Colonna6]]*$Q3</f>
        <v>4</v>
      </c>
      <c r="Y29" s="14" t="n">
        <f aca="false">Tabella52791124791618202224262830323436384042444648505254565860626468707274767880[[#This Row],[Colonna7]]*$Q3</f>
        <v>4.4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13"/>
      <c r="I41" s="13"/>
      <c r="J41" s="13" t="n">
        <v>1</v>
      </c>
      <c r="K41" s="13" t="n">
        <v>1</v>
      </c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Tabella52791124791618202224262830323436384042444648505254565860626468707274767880[[#This Row],[Colonna1]]*$Q3</f>
        <v>0.4</v>
      </c>
      <c r="T41" s="14"/>
      <c r="U41" s="14"/>
      <c r="V41" s="14" t="n">
        <f aca="false">Tabella52791124791618202224262830323436384042444648505254565860626468707274767880[[#This Row],[Colonna4]]*$Q3</f>
        <v>0.4</v>
      </c>
      <c r="W41" s="14" t="n">
        <f aca="false">Tabella52791124791618202224262830323436384042444648505254565860626468707274767880[[#This Row],[Colonna5]]*$Q3</f>
        <v>0.4</v>
      </c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 t="n">
        <v>7</v>
      </c>
      <c r="I42" s="13" t="n">
        <v>5</v>
      </c>
      <c r="J42" s="13" t="n">
        <v>8</v>
      </c>
      <c r="K42" s="13" t="n">
        <v>3</v>
      </c>
      <c r="L42" s="13" t="n">
        <v>2</v>
      </c>
      <c r="M42" s="13" t="n">
        <v>4</v>
      </c>
      <c r="P42" s="9" t="s">
        <v>49</v>
      </c>
      <c r="Q42" s="9"/>
      <c r="R42" s="9"/>
      <c r="S42" s="14"/>
      <c r="T42" s="14" t="n">
        <f aca="false">Tabella52791124791618202224262830323436384042444648505254565860626468707274767880[[#This Row],[Colonna2]]*$Q3</f>
        <v>2.8</v>
      </c>
      <c r="U42" s="14" t="n">
        <f aca="false">Tabella52791124791618202224262830323436384042444648505254565860626468707274767880[[#This Row],[Colonna3]]*$Q3</f>
        <v>2</v>
      </c>
      <c r="V42" s="14" t="n">
        <f aca="false">Tabella52791124791618202224262830323436384042444648505254565860626468707274767880[[#This Row],[Colonna4]]*$Q3</f>
        <v>3.2</v>
      </c>
      <c r="W42" s="14" t="n">
        <f aca="false">Tabella52791124791618202224262830323436384042444648505254565860626468707274767880[[#This Row],[Colonna5]]*$Q3</f>
        <v>1.2</v>
      </c>
      <c r="X42" s="14" t="n">
        <f aca="false">Tabella52791124791618202224262830323436384042444648505254565860626468707274767880[[#This Row],[Colonna6]]*$Q3</f>
        <v>0.8</v>
      </c>
      <c r="Y42" s="14" t="n">
        <f aca="false">Tabella52791124791618202224262830323436384042444648505254565860626468707274767880[[#This Row],[Colonna7]]*$Q3</f>
        <v>1.6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6</v>
      </c>
      <c r="H44" s="13" t="n">
        <v>5</v>
      </c>
      <c r="I44" s="13" t="n">
        <v>6</v>
      </c>
      <c r="J44" s="13" t="n">
        <v>10</v>
      </c>
      <c r="K44" s="13" t="n">
        <v>7</v>
      </c>
      <c r="L44" s="13" t="n">
        <v>6</v>
      </c>
      <c r="M44" s="13" t="n">
        <v>11</v>
      </c>
      <c r="P44" s="12" t="s">
        <v>51</v>
      </c>
      <c r="Q44" s="12"/>
      <c r="R44" s="12"/>
      <c r="S44" s="14" t="n">
        <f aca="false">Tabella52791124791618202224262830323436384042444648505254565860626468707274767880[[#This Row],[Colonna1]]*$Q3</f>
        <v>2.4</v>
      </c>
      <c r="T44" s="14" t="n">
        <f aca="false">Tabella52791124791618202224262830323436384042444648505254565860626468707274767880[[#This Row],[Colonna2]]*$Q3</f>
        <v>2</v>
      </c>
      <c r="U44" s="14" t="n">
        <f aca="false">Tabella52791124791618202224262830323436384042444648505254565860626468707274767880[[#This Row],[Colonna3]]*$Q3</f>
        <v>2.4</v>
      </c>
      <c r="V44" s="14" t="n">
        <f aca="false">Tabella52791124791618202224262830323436384042444648505254565860626468707274767880[[#This Row],[Colonna4]]*$Q3</f>
        <v>4</v>
      </c>
      <c r="W44" s="14" t="n">
        <f aca="false">Tabella52791124791618202224262830323436384042444648505254565860626468707274767880[[#This Row],[Colonna5]]*$Q3</f>
        <v>2.8</v>
      </c>
      <c r="X44" s="14" t="n">
        <f aca="false">Tabella52791124791618202224262830323436384042444648505254565860626468707274767880[[#This Row],[Colonna6]]*$Q3</f>
        <v>2.4</v>
      </c>
      <c r="Y44" s="14" t="n">
        <f aca="false">Tabella52791124791618202224262830323436384042444648505254565860626468707274767880[[#This Row],[Colonna7]]*$Q3</f>
        <v>4.4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1</v>
      </c>
      <c r="H49" s="13" t="n">
        <v>1</v>
      </c>
      <c r="I49" s="13"/>
      <c r="J49" s="13"/>
      <c r="K49" s="13" t="n">
        <v>1</v>
      </c>
      <c r="L49" s="13"/>
      <c r="M49" s="13" t="n">
        <v>2</v>
      </c>
      <c r="P49" s="18" t="s">
        <v>56</v>
      </c>
      <c r="Q49" s="18"/>
      <c r="R49" s="18"/>
      <c r="S49" s="14" t="n">
        <f aca="false">Tabella52791124791618202224262830323436384042444648505254565860626468707274767880[[#This Row],[Colonna1]]*$Q3</f>
        <v>0.4</v>
      </c>
      <c r="T49" s="14" t="n">
        <f aca="false">Tabella52791124791618202224262830323436384042444648505254565860626468707274767880[[#This Row],[Colonna2]]*$Q3</f>
        <v>0.4</v>
      </c>
      <c r="U49" s="14"/>
      <c r="V49" s="14"/>
      <c r="W49" s="14" t="n">
        <f aca="false">Tabella52791124791618202224262830323436384042444648505254565860626468707274767880[[#This Row],[Colonna5]]*$Q3</f>
        <v>0.4</v>
      </c>
      <c r="X49" s="14"/>
      <c r="Y49" s="14" t="n">
        <f aca="false">Tabella52791124791618202224262830323436384042444648505254565860626468707274767880[[#This Row],[Colonna7]]*$Q3</f>
        <v>0.8</v>
      </c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88</v>
      </c>
      <c r="H52" s="13" t="n">
        <v>51</v>
      </c>
      <c r="I52" s="13" t="n">
        <v>110</v>
      </c>
      <c r="J52" s="13" t="n">
        <v>101</v>
      </c>
      <c r="K52" s="13" t="n">
        <v>169</v>
      </c>
      <c r="L52" s="13" t="n">
        <v>156</v>
      </c>
      <c r="M52" s="13" t="n">
        <v>122</v>
      </c>
      <c r="P52" s="12" t="s">
        <v>59</v>
      </c>
      <c r="Q52" s="12"/>
      <c r="R52" s="12"/>
      <c r="S52" s="14" t="n">
        <f aca="false">Tabella52791124791618202224262830323436384042444648505254565860626468707274767880[[#This Row],[Colonna1]]*$Q3</f>
        <v>35.2</v>
      </c>
      <c r="T52" s="14" t="n">
        <f aca="false">Tabella52791124791618202224262830323436384042444648505254565860626468707274767880[[#This Row],[Colonna2]]*$Q3</f>
        <v>20.4</v>
      </c>
      <c r="U52" s="14" t="n">
        <f aca="false">Tabella52791124791618202224262830323436384042444648505254565860626468707274767880[[#This Row],[Colonna3]]*$Q3</f>
        <v>44</v>
      </c>
      <c r="V52" s="14" t="n">
        <f aca="false">Tabella52791124791618202224262830323436384042444648505254565860626468707274767880[[#This Row],[Colonna4]]*$Q3</f>
        <v>40.4</v>
      </c>
      <c r="W52" s="14" t="n">
        <f aca="false">Tabella52791124791618202224262830323436384042444648505254565860626468707274767880[[#This Row],[Colonna5]]*$Q3</f>
        <v>67.6</v>
      </c>
      <c r="X52" s="14" t="n">
        <f aca="false">Tabella52791124791618202224262830323436384042444648505254565860626468707274767880[[#This Row],[Colonna6]]*$Q3</f>
        <v>62.4</v>
      </c>
      <c r="Y52" s="14" t="n">
        <f aca="false">Tabella52791124791618202224262830323436384042444648505254565860626468707274767880[[#This Row],[Colonna7]]*$Q3</f>
        <v>48.8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140</v>
      </c>
      <c r="H53" s="55" t="n">
        <f aca="false">SUM(H6:H52)</f>
        <v>95</v>
      </c>
      <c r="I53" s="55" t="n">
        <f aca="false">SUM(I6:I52)</f>
        <v>160</v>
      </c>
      <c r="J53" s="55" t="n">
        <f aca="false">SUM(J6:J52)</f>
        <v>184</v>
      </c>
      <c r="K53" s="55" t="n">
        <f aca="false">SUM(K6:K52)</f>
        <v>319</v>
      </c>
      <c r="L53" s="55" t="n">
        <f aca="false">SUM(L6:L52)</f>
        <v>244</v>
      </c>
      <c r="M53" s="55" t="n">
        <f aca="false">SUM(M6:M52)</f>
        <v>191</v>
      </c>
      <c r="P53" s="17" t="s">
        <v>60</v>
      </c>
      <c r="Q53" s="17"/>
      <c r="R53" s="17"/>
      <c r="S53" s="56" t="n">
        <f aca="false">Tabella52791124791618202224262830323436384042444648505254565860626468707274767880[[#This Row],[Colonna1]]*$Q3</f>
        <v>56</v>
      </c>
      <c r="T53" s="56" t="n">
        <f aca="false">Tabella52791124791618202224262830323436384042444648505254565860626468707274767880[[#This Row],[Colonna2]]*$Q3</f>
        <v>38</v>
      </c>
      <c r="U53" s="56" t="n">
        <f aca="false">Tabella52791124791618202224262830323436384042444648505254565860626468707274767880[[#This Row],[Colonna3]]*$Q3</f>
        <v>64</v>
      </c>
      <c r="V53" s="56" t="n">
        <f aca="false">Tabella52791124791618202224262830323436384042444648505254565860626468707274767880[[#This Row],[Colonna4]]*$Q3</f>
        <v>73.6</v>
      </c>
      <c r="W53" s="56" t="n">
        <f aca="false">Tabella52791124791618202224262830323436384042444648505254565860626468707274767880[[#This Row],[Colonna5]]*$Q3</f>
        <v>127.6</v>
      </c>
      <c r="X53" s="56" t="n">
        <f aca="false">Tabella52791124791618202224262830323436384042444648505254565860626468707274767880[[#This Row],[Colonna6]]*$Q3</f>
        <v>97.6</v>
      </c>
      <c r="Y53" s="56" t="n">
        <f aca="false">Tabella52791124791618202224262830323436384042444648505254565860626468707274767880[[#This Row],[Colonna7]]*$Q3</f>
        <v>76.4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172</v>
      </c>
      <c r="H58" s="26" t="n">
        <v>91</v>
      </c>
      <c r="I58" s="26" t="n">
        <v>155</v>
      </c>
      <c r="J58" s="26" t="n">
        <v>190</v>
      </c>
      <c r="K58" s="26" t="n">
        <v>224</v>
      </c>
      <c r="L58" s="26" t="n">
        <v>240</v>
      </c>
      <c r="M58" s="26" t="n">
        <v>191</v>
      </c>
      <c r="P58" s="23" t="s">
        <v>62</v>
      </c>
      <c r="Q58" s="23"/>
      <c r="R58" s="23"/>
      <c r="S58" s="57" t="n">
        <f aca="false">G58*$Q3</f>
        <v>68.8</v>
      </c>
      <c r="T58" s="57" t="n">
        <f aca="false">H58*$Q3</f>
        <v>36.4</v>
      </c>
      <c r="U58" s="57" t="n">
        <f aca="false">I58*$Q3</f>
        <v>62</v>
      </c>
      <c r="V58" s="57" t="n">
        <f aca="false">J58*$Q3</f>
        <v>76</v>
      </c>
      <c r="W58" s="57" t="n">
        <f aca="false">K58*$Q3</f>
        <v>89.6</v>
      </c>
      <c r="X58" s="57" t="n">
        <f aca="false">L58*$Q3</f>
        <v>96</v>
      </c>
      <c r="Y58" s="57" t="n">
        <f aca="false">M58*$Q3</f>
        <v>76.4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81</v>
      </c>
      <c r="H62" s="26" t="n">
        <v>50</v>
      </c>
      <c r="I62" s="26" t="n">
        <v>53</v>
      </c>
      <c r="J62" s="26" t="n">
        <v>45</v>
      </c>
      <c r="K62" s="26" t="n">
        <v>56</v>
      </c>
      <c r="L62" s="26" t="n">
        <v>42</v>
      </c>
      <c r="M62" s="26" t="n">
        <v>40</v>
      </c>
      <c r="P62" s="9" t="s">
        <v>66</v>
      </c>
      <c r="Q62" s="9"/>
      <c r="R62" s="9"/>
      <c r="S62" s="57" t="n">
        <f aca="false">G62*$Q3</f>
        <v>32.4</v>
      </c>
      <c r="T62" s="57" t="n">
        <f aca="false">H62*$Q3</f>
        <v>20</v>
      </c>
      <c r="U62" s="57" t="n">
        <f aca="false">I62*$Q3</f>
        <v>21.2</v>
      </c>
      <c r="V62" s="57" t="n">
        <f aca="false">J62*$Q3</f>
        <v>18</v>
      </c>
      <c r="W62" s="57" t="n">
        <f aca="false">K62*$Q3</f>
        <v>22.4</v>
      </c>
      <c r="X62" s="57" t="n">
        <f aca="false">L62*$Q3</f>
        <v>16.8</v>
      </c>
      <c r="Y62" s="57" t="n">
        <f aca="false">M62*$Q3</f>
        <v>16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9</v>
      </c>
      <c r="H63" s="26" t="n">
        <v>4</v>
      </c>
      <c r="I63" s="26" t="n">
        <v>9</v>
      </c>
      <c r="J63" s="26" t="n">
        <v>2</v>
      </c>
      <c r="K63" s="26" t="n">
        <v>1</v>
      </c>
      <c r="L63" s="26" t="n">
        <v>9</v>
      </c>
      <c r="M63" s="26" t="n">
        <v>7</v>
      </c>
      <c r="P63" s="9" t="s">
        <v>67</v>
      </c>
      <c r="Q63" s="9"/>
      <c r="R63" s="9"/>
      <c r="S63" s="57" t="n">
        <f aca="false">G63*$Q3</f>
        <v>3.6</v>
      </c>
      <c r="T63" s="57" t="n">
        <f aca="false">H63*$Q3</f>
        <v>1.6</v>
      </c>
      <c r="U63" s="57" t="n">
        <f aca="false">I63*$Q3</f>
        <v>3.6</v>
      </c>
      <c r="V63" s="57" t="n">
        <f aca="false">J63*$Q3</f>
        <v>0.8</v>
      </c>
      <c r="W63" s="57" t="n">
        <f aca="false">K63*$Q3</f>
        <v>0.4</v>
      </c>
      <c r="X63" s="57" t="n">
        <f aca="false">L63*$Q3</f>
        <v>3.6</v>
      </c>
      <c r="Y63" s="57" t="n">
        <f aca="false">M63*$Q3</f>
        <v>2.8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19</v>
      </c>
      <c r="H64" s="26" t="n">
        <v>10</v>
      </c>
      <c r="I64" s="26" t="n">
        <v>14</v>
      </c>
      <c r="J64" s="26" t="n">
        <v>22</v>
      </c>
      <c r="K64" s="26" t="n">
        <v>24</v>
      </c>
      <c r="L64" s="26" t="n">
        <v>20</v>
      </c>
      <c r="M64" s="26" t="n">
        <v>13</v>
      </c>
      <c r="P64" s="9" t="s">
        <v>68</v>
      </c>
      <c r="Q64" s="9"/>
      <c r="R64" s="9"/>
      <c r="S64" s="57" t="n">
        <f aca="false">G64*$Q3</f>
        <v>7.6</v>
      </c>
      <c r="T64" s="57" t="n">
        <f aca="false">H64*$Q3</f>
        <v>4</v>
      </c>
      <c r="U64" s="57" t="n">
        <f aca="false">I64*$Q3</f>
        <v>5.6</v>
      </c>
      <c r="V64" s="57" t="n">
        <f aca="false">J64*$Q3</f>
        <v>8.8</v>
      </c>
      <c r="W64" s="57" t="n">
        <f aca="false">K64*$Q3</f>
        <v>9.6</v>
      </c>
      <c r="X64" s="57" t="n">
        <f aca="false">L64*$Q3</f>
        <v>8</v>
      </c>
      <c r="Y64" s="57" t="n">
        <f aca="false">M64*$Q3</f>
        <v>5.2</v>
      </c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/>
      <c r="J65" s="26"/>
      <c r="K65" s="26" t="n">
        <v>1</v>
      </c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 t="n">
        <f aca="false">K65*$Q3</f>
        <v>0.4</v>
      </c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43</v>
      </c>
      <c r="H67" s="26" t="n">
        <v>26</v>
      </c>
      <c r="I67" s="26" t="n">
        <v>15</v>
      </c>
      <c r="J67" s="26" t="n">
        <v>44</v>
      </c>
      <c r="K67" s="26" t="n">
        <v>30</v>
      </c>
      <c r="L67" s="26" t="n">
        <v>48</v>
      </c>
      <c r="M67" s="26" t="n">
        <v>20</v>
      </c>
      <c r="P67" s="9" t="s">
        <v>71</v>
      </c>
      <c r="Q67" s="9"/>
      <c r="R67" s="9"/>
      <c r="S67" s="57" t="n">
        <f aca="false">G67*$Q3</f>
        <v>17.2</v>
      </c>
      <c r="T67" s="57" t="n">
        <f aca="false">H67*$Q3</f>
        <v>10.4</v>
      </c>
      <c r="U67" s="57" t="n">
        <f aca="false">I67*$Q3</f>
        <v>6</v>
      </c>
      <c r="V67" s="57" t="n">
        <f aca="false">J67*$Q3</f>
        <v>17.6</v>
      </c>
      <c r="W67" s="57" t="n">
        <f aca="false">K67*$Q3</f>
        <v>12</v>
      </c>
      <c r="X67" s="57" t="n">
        <f aca="false">L67*$Q3</f>
        <v>19.2</v>
      </c>
      <c r="Y67" s="57" t="n">
        <f aca="false">M67*$Q3</f>
        <v>8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4</v>
      </c>
      <c r="H68" s="30" t="n">
        <v>2</v>
      </c>
      <c r="I68" s="30" t="n">
        <v>2</v>
      </c>
      <c r="J68" s="30" t="n">
        <v>2</v>
      </c>
      <c r="K68" s="30" t="n">
        <v>5</v>
      </c>
      <c r="L68" s="30" t="n">
        <v>2</v>
      </c>
      <c r="M68" s="30" t="n">
        <v>2</v>
      </c>
      <c r="P68" s="9" t="s">
        <v>72</v>
      </c>
      <c r="Q68" s="9"/>
      <c r="R68" s="9"/>
      <c r="S68" s="57" t="n">
        <f aca="false">G68*$Q3</f>
        <v>1.6</v>
      </c>
      <c r="T68" s="57" t="n">
        <f aca="false">H68*$Q3</f>
        <v>0.8</v>
      </c>
      <c r="U68" s="57" t="n">
        <f aca="false">I68*$Q3</f>
        <v>0.8</v>
      </c>
      <c r="V68" s="57" t="n">
        <f aca="false">J68*$Q3</f>
        <v>0.8</v>
      </c>
      <c r="W68" s="57" t="n">
        <f aca="false">K68*$Q3</f>
        <v>2</v>
      </c>
      <c r="X68" s="57" t="n">
        <f aca="false">L68*$Q3</f>
        <v>0.8</v>
      </c>
      <c r="Y68" s="57" t="n">
        <f aca="false">M68*$Q3</f>
        <v>0.8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28</v>
      </c>
      <c r="H69" s="30" t="n">
        <v>14</v>
      </c>
      <c r="I69" s="30" t="n">
        <v>25</v>
      </c>
      <c r="J69" s="30" t="n">
        <v>21</v>
      </c>
      <c r="K69" s="30" t="n">
        <v>14</v>
      </c>
      <c r="L69" s="30" t="n">
        <v>48</v>
      </c>
      <c r="M69" s="30" t="n">
        <v>25</v>
      </c>
      <c r="P69" s="9" t="s">
        <v>73</v>
      </c>
      <c r="Q69" s="9"/>
      <c r="R69" s="9"/>
      <c r="S69" s="57" t="n">
        <f aca="false">G69*Q3</f>
        <v>11.2</v>
      </c>
      <c r="T69" s="57" t="n">
        <f aca="false">H69*$Q3</f>
        <v>5.6</v>
      </c>
      <c r="U69" s="57" t="n">
        <f aca="false">I69*$Q3</f>
        <v>10</v>
      </c>
      <c r="V69" s="57" t="n">
        <f aca="false">J69*$Q3</f>
        <v>8.4</v>
      </c>
      <c r="W69" s="57" t="n">
        <f aca="false">K69*$Q3</f>
        <v>5.6</v>
      </c>
      <c r="X69" s="57" t="n">
        <f aca="false">L69*$Q3</f>
        <v>19.2</v>
      </c>
      <c r="Y69" s="57" t="n">
        <f aca="false">M69*$Q3</f>
        <v>10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356</v>
      </c>
      <c r="H70" s="60" t="n">
        <f aca="false">SUM(H58:H69)</f>
        <v>197</v>
      </c>
      <c r="I70" s="60" t="n">
        <f aca="false">SUM(I58:I69)</f>
        <v>273</v>
      </c>
      <c r="J70" s="60" t="n">
        <f aca="false">SUM(J58:J69)</f>
        <v>326</v>
      </c>
      <c r="K70" s="12" t="n">
        <f aca="false">SUM(K58:K69)</f>
        <v>355</v>
      </c>
      <c r="L70" s="12" t="n">
        <f aca="false">SUM(L58:L69)</f>
        <v>409</v>
      </c>
      <c r="M70" s="12" t="n">
        <f aca="false">SUM(M58:M69)</f>
        <v>298</v>
      </c>
      <c r="P70" s="9" t="s">
        <v>60</v>
      </c>
      <c r="Q70" s="9"/>
      <c r="R70" s="9"/>
      <c r="S70" s="61" t="n">
        <f aca="false">G70*$Q3</f>
        <v>142.4</v>
      </c>
      <c r="T70" s="61" t="n">
        <f aca="false">H70*$Q3</f>
        <v>78.8</v>
      </c>
      <c r="U70" s="61" t="n">
        <f aca="false">I70*$Q3</f>
        <v>109.2</v>
      </c>
      <c r="V70" s="61" t="n">
        <f aca="false">J70*$Q3</f>
        <v>130.4</v>
      </c>
      <c r="W70" s="61" t="n">
        <f aca="false">K70*$Q3</f>
        <v>142</v>
      </c>
      <c r="X70" s="61" t="n">
        <f aca="false">L70*$Q3</f>
        <v>163.6</v>
      </c>
      <c r="Y70" s="61" t="n">
        <f aca="false">M70*$Q3</f>
        <v>119.2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M31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45159</v>
      </c>
      <c r="K3" s="5" t="n">
        <v>45165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45159</v>
      </c>
      <c r="W3" s="5" t="n">
        <v>45165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</v>
      </c>
      <c r="H7" s="13" t="n">
        <v>3</v>
      </c>
      <c r="I7" s="13"/>
      <c r="J7" s="13" t="n">
        <v>1</v>
      </c>
      <c r="K7" s="13" t="n">
        <v>3</v>
      </c>
      <c r="L7" s="13" t="n">
        <v>2</v>
      </c>
      <c r="M7" s="13" t="n">
        <v>2</v>
      </c>
      <c r="P7" s="12" t="s">
        <v>14</v>
      </c>
      <c r="Q7" s="12"/>
      <c r="R7" s="12"/>
      <c r="S7" s="14" t="n">
        <f aca="false">Tabella5279112479161820222426283032343638404244464850525456586062646870727476788082[[#This Row],[Colonna1]]*$Q3</f>
        <v>0.4</v>
      </c>
      <c r="T7" s="14" t="n">
        <f aca="false">Tabella5279112479161820222426283032343638404244464850525456586062646870727476788082[[#This Row],[Colonna2]]*$Q3</f>
        <v>1.2</v>
      </c>
      <c r="U7" s="14"/>
      <c r="V7" s="14" t="n">
        <f aca="false">Tabella5279112479161820222426283032343638404244464850525456586062646870727476788082[[#This Row],[Colonna4]]*$Q3</f>
        <v>0.4</v>
      </c>
      <c r="W7" s="14" t="n">
        <f aca="false">Tabella5279112479161820222426283032343638404244464850525456586062646870727476788082[[#This Row],[Colonna5]]*$Q3</f>
        <v>1.2</v>
      </c>
      <c r="X7" s="14" t="n">
        <f aca="false">Tabella5279112479161820222426283032343638404244464850525456586062646870727476788082[[#This Row],[Colonna6]]*$Q3</f>
        <v>0.8</v>
      </c>
      <c r="Y7" s="14" t="n">
        <f aca="false">Tabella5279112479161820222426283032343638404244464850525456586062646870727476788082[[#This Row],[Colonna7]]*$Q3</f>
        <v>0.8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 t="n">
        <v>11</v>
      </c>
      <c r="H11" s="13" t="n">
        <v>24</v>
      </c>
      <c r="I11" s="13" t="n">
        <v>10</v>
      </c>
      <c r="J11" s="13" t="n">
        <v>3</v>
      </c>
      <c r="K11" s="13" t="n">
        <v>5</v>
      </c>
      <c r="L11" s="13" t="n">
        <v>32</v>
      </c>
      <c r="M11" s="13" t="n">
        <v>3</v>
      </c>
      <c r="P11" s="9" t="s">
        <v>18</v>
      </c>
      <c r="Q11" s="9"/>
      <c r="R11" s="9"/>
      <c r="S11" s="14" t="n">
        <f aca="false">Tabella5279112479161820222426283032343638404244464850525456586062646870727476788082[[#This Row],[Colonna1]]*$Q3</f>
        <v>4.4</v>
      </c>
      <c r="T11" s="14" t="n">
        <f aca="false">Tabella5279112479161820222426283032343638404244464850525456586062646870727476788082[[#This Row],[Colonna2]]*$Q3</f>
        <v>9.6</v>
      </c>
      <c r="U11" s="14" t="n">
        <f aca="false">Tabella5279112479161820222426283032343638404244464850525456586062646870727476788082[[#This Row],[Colonna3]]*$Q3</f>
        <v>4</v>
      </c>
      <c r="V11" s="14" t="n">
        <f aca="false">Tabella5279112479161820222426283032343638404244464850525456586062646870727476788082[[#This Row],[Colonna4]]*$Q3</f>
        <v>1.2</v>
      </c>
      <c r="W11" s="14" t="n">
        <f aca="false">Tabella5279112479161820222426283032343638404244464850525456586062646870727476788082[[#This Row],[Colonna5]]*$Q3</f>
        <v>2</v>
      </c>
      <c r="X11" s="14" t="n">
        <f aca="false">Tabella5279112479161820222426283032343638404244464850525456586062646870727476788082[[#This Row],[Colonna6]]*$Q3</f>
        <v>12.8</v>
      </c>
      <c r="Y11" s="14" t="n">
        <f aca="false">Tabella5279112479161820222426283032343638404244464850525456586062646870727476788082[[#This Row],[Colonna7]]*$Q3</f>
        <v>1.2</v>
      </c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10</v>
      </c>
      <c r="H12" s="13" t="n">
        <v>47</v>
      </c>
      <c r="I12" s="13" t="n">
        <v>18</v>
      </c>
      <c r="J12" s="13" t="n">
        <v>14</v>
      </c>
      <c r="K12" s="13" t="n">
        <v>16</v>
      </c>
      <c r="L12" s="13" t="n">
        <v>27</v>
      </c>
      <c r="M12" s="13" t="n">
        <v>14</v>
      </c>
      <c r="P12" s="12" t="s">
        <v>19</v>
      </c>
      <c r="Q12" s="12"/>
      <c r="R12" s="12"/>
      <c r="S12" s="14" t="n">
        <f aca="false">Tabella5279112479161820222426283032343638404244464850525456586062646870727476788082[[#This Row],[Colonna1]]*$Q3</f>
        <v>4</v>
      </c>
      <c r="T12" s="14" t="n">
        <f aca="false">Tabella5279112479161820222426283032343638404244464850525456586062646870727476788082[[#This Row],[Colonna2]]*$Q3</f>
        <v>18.8</v>
      </c>
      <c r="U12" s="14" t="n">
        <f aca="false">Tabella5279112479161820222426283032343638404244464850525456586062646870727476788082[[#This Row],[Colonna3]]*$Q3</f>
        <v>7.2</v>
      </c>
      <c r="V12" s="14" t="n">
        <f aca="false">Tabella5279112479161820222426283032343638404244464850525456586062646870727476788082[[#This Row],[Colonna4]]*$Q3</f>
        <v>5.6</v>
      </c>
      <c r="W12" s="14" t="n">
        <f aca="false">Tabella5279112479161820222426283032343638404244464850525456586062646870727476788082[[#This Row],[Colonna5]]*$Q3</f>
        <v>6.4</v>
      </c>
      <c r="X12" s="14" t="n">
        <f aca="false">Tabella5279112479161820222426283032343638404244464850525456586062646870727476788082[[#This Row],[Colonna6]]*$Q3</f>
        <v>10.8</v>
      </c>
      <c r="Y12" s="14" t="n">
        <f aca="false">Tabella5279112479161820222426283032343638404244464850525456586062646870727476788082[[#This Row],[Colonna7]]*$Q3</f>
        <v>5.6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6</v>
      </c>
      <c r="H15" s="13" t="n">
        <v>5</v>
      </c>
      <c r="I15" s="13" t="n">
        <v>1</v>
      </c>
      <c r="J15" s="13" t="n">
        <v>5</v>
      </c>
      <c r="K15" s="13" t="n">
        <v>2</v>
      </c>
      <c r="L15" s="13" t="n">
        <v>4</v>
      </c>
      <c r="M15" s="13" t="n">
        <v>2</v>
      </c>
      <c r="P15" s="12" t="s">
        <v>22</v>
      </c>
      <c r="Q15" s="12"/>
      <c r="R15" s="12"/>
      <c r="S15" s="14" t="n">
        <f aca="false">Tabella5279112479161820222426283032343638404244464850525456586062646870727476788082[[#This Row],[Colonna1]]*$Q3</f>
        <v>2.4</v>
      </c>
      <c r="T15" s="14" t="n">
        <f aca="false">Tabella5279112479161820222426283032343638404244464850525456586062646870727476788082[[#This Row],[Colonna2]]*$Q3</f>
        <v>2</v>
      </c>
      <c r="U15" s="14" t="n">
        <f aca="false">Tabella5279112479161820222426283032343638404244464850525456586062646870727476788082[[#This Row],[Colonna3]]*$Q3</f>
        <v>0.4</v>
      </c>
      <c r="V15" s="14" t="n">
        <f aca="false">Tabella5279112479161820222426283032343638404244464850525456586062646870727476788082[[#This Row],[Colonna4]]*$Q3</f>
        <v>2</v>
      </c>
      <c r="W15" s="14" t="n">
        <f aca="false">Tabella5279112479161820222426283032343638404244464850525456586062646870727476788082[[#This Row],[Colonna5]]*$Q3</f>
        <v>0.8</v>
      </c>
      <c r="X15" s="14" t="n">
        <f aca="false">Tabella5279112479161820222426283032343638404244464850525456586062646870727476788082[[#This Row],[Colonna6]]*$Q3</f>
        <v>1.6</v>
      </c>
      <c r="Y15" s="14" t="n">
        <f aca="false">Tabella5279112479161820222426283032343638404244464850525456586062646870727476788082[[#This Row],[Colonna7]]*$Q3</f>
        <v>0.8</v>
      </c>
    </row>
    <row r="16" customFormat="false" ht="15" hidden="false" customHeight="false" outlineLevel="0" collapsed="false">
      <c r="D16" s="12" t="s">
        <v>23</v>
      </c>
      <c r="E16" s="12"/>
      <c r="F16" s="12"/>
      <c r="G16" s="13" t="n">
        <v>2</v>
      </c>
      <c r="H16" s="13" t="n">
        <v>2</v>
      </c>
      <c r="I16" s="13" t="n">
        <v>2</v>
      </c>
      <c r="J16" s="13" t="n">
        <v>1</v>
      </c>
      <c r="K16" s="13" t="n">
        <v>4</v>
      </c>
      <c r="L16" s="13" t="n">
        <v>2</v>
      </c>
      <c r="M16" s="13" t="n">
        <v>2</v>
      </c>
      <c r="P16" s="12" t="s">
        <v>23</v>
      </c>
      <c r="Q16" s="12"/>
      <c r="R16" s="12"/>
      <c r="S16" s="14" t="n">
        <f aca="false">Tabella5279112479161820222426283032343638404244464850525456586062646870727476788082[[#This Row],[Colonna1]]*$Q3</f>
        <v>0.8</v>
      </c>
      <c r="T16" s="14" t="n">
        <f aca="false">Tabella5279112479161820222426283032343638404244464850525456586062646870727476788082[[#This Row],[Colonna2]]*$Q3</f>
        <v>0.8</v>
      </c>
      <c r="U16" s="14" t="n">
        <f aca="false">Tabella5279112479161820222426283032343638404244464850525456586062646870727476788082[[#This Row],[Colonna3]]*$Q3</f>
        <v>0.8</v>
      </c>
      <c r="V16" s="14" t="n">
        <f aca="false">Tabella5279112479161820222426283032343638404244464850525456586062646870727476788082[[#This Row],[Colonna4]]*$Q3</f>
        <v>0.4</v>
      </c>
      <c r="W16" s="14" t="n">
        <f aca="false">Tabella5279112479161820222426283032343638404244464850525456586062646870727476788082[[#This Row],[Colonna5]]*$Q3</f>
        <v>1.6</v>
      </c>
      <c r="X16" s="14" t="n">
        <f aca="false">Tabella5279112479161820222426283032343638404244464850525456586062646870727476788082[[#This Row],[Colonna6]]*$Q3</f>
        <v>0.8</v>
      </c>
      <c r="Y16" s="14" t="n">
        <f aca="false">Tabella5279112479161820222426283032343638404244464850525456586062646870727476788082[[#This Row],[Colonna7]]*$Q3</f>
        <v>0.8</v>
      </c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</v>
      </c>
      <c r="H22" s="13"/>
      <c r="I22" s="13" t="n">
        <v>1</v>
      </c>
      <c r="J22" s="13" t="n">
        <v>1</v>
      </c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Tabella5279112479161820222426283032343638404244464850525456586062646870727476788082[[#This Row],[Colonna1]]*$Q3</f>
        <v>0.8</v>
      </c>
      <c r="T22" s="14"/>
      <c r="U22" s="14" t="n">
        <f aca="false">Tabella5279112479161820222426283032343638404244464850525456586062646870727476788082[[#This Row],[Colonna3]]*$Q3</f>
        <v>0.4</v>
      </c>
      <c r="V22" s="14" t="n">
        <f aca="false">Tabella5279112479161820222426283032343638404244464850525456586062646870727476788082[[#This Row],[Colonna4]]*$Q3</f>
        <v>0.4</v>
      </c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 t="n">
        <v>1</v>
      </c>
      <c r="L26" s="13" t="n">
        <v>1</v>
      </c>
      <c r="M26" s="13"/>
      <c r="P26" s="12" t="s">
        <v>33</v>
      </c>
      <c r="Q26" s="12"/>
      <c r="R26" s="12"/>
      <c r="S26" s="14"/>
      <c r="T26" s="14"/>
      <c r="U26" s="14"/>
      <c r="V26" s="14"/>
      <c r="W26" s="14" t="n">
        <f aca="false">Tabella5279112479161820222426283032343638404244464850525456586062646870727476788082[[#This Row],[Colonna5]]*$Q3</f>
        <v>0.4</v>
      </c>
      <c r="X26" s="14" t="n">
        <f aca="false">Tabella5279112479161820222426283032343638404244464850525456586062646870727476788082[[#This Row],[Colonna6]]*$Q3</f>
        <v>0.4</v>
      </c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4</v>
      </c>
      <c r="H29" s="13" t="n">
        <v>13</v>
      </c>
      <c r="I29" s="13" t="n">
        <v>10</v>
      </c>
      <c r="J29" s="13" t="n">
        <v>16</v>
      </c>
      <c r="K29" s="13" t="n">
        <v>10</v>
      </c>
      <c r="L29" s="13" t="n">
        <v>18</v>
      </c>
      <c r="M29" s="13" t="n">
        <v>11</v>
      </c>
      <c r="P29" s="12" t="s">
        <v>36</v>
      </c>
      <c r="Q29" s="12"/>
      <c r="R29" s="12"/>
      <c r="S29" s="14" t="n">
        <f aca="false">Tabella5279112479161820222426283032343638404244464850525456586062646870727476788082[[#This Row],[Colonna1]]*$Q3</f>
        <v>1.6</v>
      </c>
      <c r="T29" s="14" t="n">
        <f aca="false">Tabella5279112479161820222426283032343638404244464850525456586062646870727476788082[[#This Row],[Colonna2]]*$Q3</f>
        <v>5.2</v>
      </c>
      <c r="U29" s="14" t="n">
        <f aca="false">Tabella5279112479161820222426283032343638404244464850525456586062646870727476788082[[#This Row],[Colonna3]]*$Q3</f>
        <v>4</v>
      </c>
      <c r="V29" s="14" t="n">
        <f aca="false">Tabella5279112479161820222426283032343638404244464850525456586062646870727476788082[[#This Row],[Colonna4]]*$Q3</f>
        <v>6.4</v>
      </c>
      <c r="W29" s="14" t="n">
        <f aca="false">Tabella5279112479161820222426283032343638404244464850525456586062646870727476788082[[#This Row],[Colonna5]]*$Q3</f>
        <v>4</v>
      </c>
      <c r="X29" s="14" t="n">
        <f aca="false">Tabella5279112479161820222426283032343638404244464850525456586062646870727476788082[[#This Row],[Colonna6]]*$Q3</f>
        <v>7.2</v>
      </c>
      <c r="Y29" s="14" t="n">
        <f aca="false">Tabella5279112479161820222426283032343638404244464850525456586062646870727476788082[[#This Row],[Colonna7]]*$Q3</f>
        <v>4.4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 t="n">
        <v>1</v>
      </c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 t="n">
        <f aca="false">Tabella5279112479161820222426283032343638404244464850525456586062646870727476788082[[#This Row],[Colonna2]]*$Q3</f>
        <v>0.4</v>
      </c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1</v>
      </c>
      <c r="H42" s="13" t="n">
        <v>4</v>
      </c>
      <c r="I42" s="13" t="n">
        <v>7</v>
      </c>
      <c r="J42" s="13" t="n">
        <v>4</v>
      </c>
      <c r="K42" s="13" t="n">
        <v>2</v>
      </c>
      <c r="L42" s="13" t="n">
        <v>6</v>
      </c>
      <c r="M42" s="13" t="n">
        <v>3</v>
      </c>
      <c r="P42" s="9" t="s">
        <v>49</v>
      </c>
      <c r="Q42" s="9"/>
      <c r="R42" s="9"/>
      <c r="S42" s="14" t="n">
        <f aca="false">Tabella5279112479161820222426283032343638404244464850525456586062646870727476788082[[#This Row],[Colonna1]]*$Q3</f>
        <v>0.4</v>
      </c>
      <c r="T42" s="14" t="n">
        <f aca="false">Tabella5279112479161820222426283032343638404244464850525456586062646870727476788082[[#This Row],[Colonna2]]*$Q3</f>
        <v>1.6</v>
      </c>
      <c r="U42" s="14" t="n">
        <f aca="false">Tabella5279112479161820222426283032343638404244464850525456586062646870727476788082[[#This Row],[Colonna3]]*$Q3</f>
        <v>2.8</v>
      </c>
      <c r="V42" s="14" t="n">
        <f aca="false">Tabella5279112479161820222426283032343638404244464850525456586062646870727476788082[[#This Row],[Colonna4]]*$Q3</f>
        <v>1.6</v>
      </c>
      <c r="W42" s="14" t="n">
        <f aca="false">Tabella5279112479161820222426283032343638404244464850525456586062646870727476788082[[#This Row],[Colonna5]]*$Q3</f>
        <v>0.8</v>
      </c>
      <c r="X42" s="14" t="n">
        <f aca="false">Tabella5279112479161820222426283032343638404244464850525456586062646870727476788082[[#This Row],[Colonna6]]*$Q3</f>
        <v>2.4</v>
      </c>
      <c r="Y42" s="14" t="n">
        <f aca="false">Tabella5279112479161820222426283032343638404244464850525456586062646870727476788082[[#This Row],[Colonna7]]*$Q3</f>
        <v>1.2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</v>
      </c>
      <c r="H44" s="13" t="n">
        <v>7</v>
      </c>
      <c r="I44" s="13" t="n">
        <v>2</v>
      </c>
      <c r="J44" s="13" t="n">
        <v>1</v>
      </c>
      <c r="K44" s="13" t="n">
        <v>10</v>
      </c>
      <c r="L44" s="13" t="n">
        <v>10</v>
      </c>
      <c r="M44" s="13" t="n">
        <v>2</v>
      </c>
      <c r="P44" s="12" t="s">
        <v>51</v>
      </c>
      <c r="Q44" s="12"/>
      <c r="R44" s="12"/>
      <c r="S44" s="14" t="n">
        <f aca="false">Tabella5279112479161820222426283032343638404244464850525456586062646870727476788082[[#This Row],[Colonna1]]*$Q3</f>
        <v>0.4</v>
      </c>
      <c r="T44" s="14" t="n">
        <f aca="false">Tabella5279112479161820222426283032343638404244464850525456586062646870727476788082[[#This Row],[Colonna2]]*$Q3</f>
        <v>2.8</v>
      </c>
      <c r="U44" s="14" t="n">
        <f aca="false">Tabella5279112479161820222426283032343638404244464850525456586062646870727476788082[[#This Row],[Colonna3]]*$Q3</f>
        <v>0.8</v>
      </c>
      <c r="V44" s="14" t="n">
        <f aca="false">Tabella5279112479161820222426283032343638404244464850525456586062646870727476788082[[#This Row],[Colonna4]]*$Q3</f>
        <v>0.4</v>
      </c>
      <c r="W44" s="14" t="n">
        <f aca="false">Tabella5279112479161820222426283032343638404244464850525456586062646870727476788082[[#This Row],[Colonna5]]*$Q3</f>
        <v>4</v>
      </c>
      <c r="X44" s="14" t="n">
        <f aca="false">Tabella5279112479161820222426283032343638404244464850525456586062646870727476788082[[#This Row],[Colonna6]]*$Q3</f>
        <v>4</v>
      </c>
      <c r="Y44" s="14" t="n">
        <f aca="false">Tabella5279112479161820222426283032343638404244464850525456586062646870727476788082[[#This Row],[Colonna7]]*$Q3</f>
        <v>0.8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 t="n">
        <v>2</v>
      </c>
      <c r="J49" s="13" t="n">
        <v>2</v>
      </c>
      <c r="K49" s="13" t="n">
        <v>2</v>
      </c>
      <c r="L49" s="13"/>
      <c r="M49" s="13"/>
      <c r="P49" s="18" t="s">
        <v>56</v>
      </c>
      <c r="Q49" s="18"/>
      <c r="R49" s="18"/>
      <c r="S49" s="14"/>
      <c r="T49" s="14"/>
      <c r="U49" s="14" t="n">
        <f aca="false">Tabella5279112479161820222426283032343638404244464850525456586062646870727476788082[[#This Row],[Colonna3]]*$Q3</f>
        <v>0.8</v>
      </c>
      <c r="V49" s="14"/>
      <c r="W49" s="14" t="n">
        <f aca="false">Tabella5279112479161820222426283032343638404244464850525456586062646870727476788082[[#This Row],[Colonna5]]*$Q3</f>
        <v>0.8</v>
      </c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41</v>
      </c>
      <c r="H52" s="13" t="n">
        <v>143</v>
      </c>
      <c r="I52" s="13" t="n">
        <v>94</v>
      </c>
      <c r="J52" s="13" t="n">
        <v>72</v>
      </c>
      <c r="K52" s="13" t="n">
        <v>35</v>
      </c>
      <c r="L52" s="13" t="n">
        <v>40</v>
      </c>
      <c r="M52" s="13" t="n">
        <v>16</v>
      </c>
      <c r="P52" s="12" t="s">
        <v>59</v>
      </c>
      <c r="Q52" s="12"/>
      <c r="R52" s="12"/>
      <c r="S52" s="14" t="n">
        <f aca="false">Tabella5279112479161820222426283032343638404244464850525456586062646870727476788082[[#This Row],[Colonna1]]*$Q3</f>
        <v>16.4</v>
      </c>
      <c r="T52" s="14" t="n">
        <f aca="false">Tabella5279112479161820222426283032343638404244464850525456586062646870727476788082[[#This Row],[Colonna2]]*$Q3</f>
        <v>57.2</v>
      </c>
      <c r="U52" s="14" t="n">
        <f aca="false">Tabella5279112479161820222426283032343638404244464850525456586062646870727476788082[[#This Row],[Colonna3]]*$Q3</f>
        <v>37.6</v>
      </c>
      <c r="V52" s="14" t="n">
        <f aca="false">Tabella5279112479161820222426283032343638404244464850525456586062646870727476788082[[#This Row],[Colonna4]]*$Q3</f>
        <v>28.8</v>
      </c>
      <c r="W52" s="14" t="n">
        <f aca="false">Tabella5279112479161820222426283032343638404244464850525456586062646870727476788082[[#This Row],[Colonna5]]*$Q3</f>
        <v>14</v>
      </c>
      <c r="X52" s="14" t="n">
        <f aca="false">Tabella5279112479161820222426283032343638404244464850525456586062646870727476788082[[#This Row],[Colonna6]]*$Q3</f>
        <v>16</v>
      </c>
      <c r="Y52" s="14" t="n">
        <f aca="false">Tabella5279112479161820222426283032343638404244464850525456586062646870727476788082[[#This Row],[Colonna7]]*$Q3</f>
        <v>6.4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79</v>
      </c>
      <c r="H53" s="55" t="n">
        <f aca="false">SUM(H6:H52)</f>
        <v>249</v>
      </c>
      <c r="I53" s="55" t="n">
        <f aca="false">SUM(I6:I52)</f>
        <v>147</v>
      </c>
      <c r="J53" s="55" t="n">
        <f aca="false">SUM(J6:J52)</f>
        <v>120</v>
      </c>
      <c r="K53" s="55" t="n">
        <f aca="false">SUM(K6:K52)</f>
        <v>90</v>
      </c>
      <c r="L53" s="55" t="n">
        <f aca="false">SUM(L6:L52)</f>
        <v>142</v>
      </c>
      <c r="M53" s="55" t="n">
        <f aca="false">SUM(M6:M52)</f>
        <v>55</v>
      </c>
      <c r="P53" s="17" t="s">
        <v>60</v>
      </c>
      <c r="Q53" s="17"/>
      <c r="R53" s="17"/>
      <c r="S53" s="56" t="n">
        <f aca="false">Tabella5279112479161820222426283032343638404244464850525456586062646870727476788082[[#This Row],[Colonna1]]*$Q3</f>
        <v>31.6</v>
      </c>
      <c r="T53" s="56" t="n">
        <f aca="false">Tabella5279112479161820222426283032343638404244464850525456586062646870727476788082[[#This Row],[Colonna2]]*$Q3</f>
        <v>99.6</v>
      </c>
      <c r="U53" s="56" t="n">
        <f aca="false">Tabella5279112479161820222426283032343638404244464850525456586062646870727476788082[[#This Row],[Colonna3]]*$Q3</f>
        <v>58.8</v>
      </c>
      <c r="V53" s="56" t="n">
        <f aca="false">Tabella5279112479161820222426283032343638404244464850525456586062646870727476788082[[#This Row],[Colonna4]]*$Q3</f>
        <v>48</v>
      </c>
      <c r="W53" s="56" t="n">
        <f aca="false">Tabella5279112479161820222426283032343638404244464850525456586062646870727476788082[[#This Row],[Colonna5]]*$Q3</f>
        <v>36</v>
      </c>
      <c r="X53" s="56" t="n">
        <f aca="false">Tabella5279112479161820222426283032343638404244464850525456586062646870727476788082[[#This Row],[Colonna6]]*$Q3</f>
        <v>56.8</v>
      </c>
      <c r="Y53" s="56" t="n">
        <f aca="false">Tabella5279112479161820222426283032343638404244464850525456586062646870727476788082[[#This Row],[Colonna7]]*$Q3</f>
        <v>22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117</v>
      </c>
      <c r="H58" s="26" t="n">
        <v>261</v>
      </c>
      <c r="I58" s="26" t="n">
        <v>203</v>
      </c>
      <c r="J58" s="26" t="n">
        <v>228</v>
      </c>
      <c r="K58" s="26" t="n">
        <v>153</v>
      </c>
      <c r="L58" s="26" t="n">
        <v>401</v>
      </c>
      <c r="M58" s="26" t="n">
        <v>122</v>
      </c>
      <c r="P58" s="23" t="s">
        <v>62</v>
      </c>
      <c r="Q58" s="23"/>
      <c r="R58" s="23"/>
      <c r="S58" s="57" t="n">
        <f aca="false">G58*$Q3</f>
        <v>46.8</v>
      </c>
      <c r="T58" s="57" t="n">
        <f aca="false">H58*$Q3</f>
        <v>104.4</v>
      </c>
      <c r="U58" s="57" t="n">
        <f aca="false">I58*$Q3</f>
        <v>81.2</v>
      </c>
      <c r="V58" s="57" t="n">
        <f aca="false">J58*$Q3</f>
        <v>91.2</v>
      </c>
      <c r="W58" s="57" t="n">
        <f aca="false">K58*$Q3</f>
        <v>61.2</v>
      </c>
      <c r="X58" s="57" t="n">
        <f aca="false">L58*$Q3</f>
        <v>160.4</v>
      </c>
      <c r="Y58" s="57" t="n">
        <f aca="false">M58*$Q3</f>
        <v>48.8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27</v>
      </c>
      <c r="H62" s="26" t="n">
        <v>54</v>
      </c>
      <c r="I62" s="26" t="n">
        <v>27</v>
      </c>
      <c r="J62" s="26" t="n">
        <v>28</v>
      </c>
      <c r="K62" s="26" t="n">
        <v>38</v>
      </c>
      <c r="L62" s="26" t="n">
        <v>80</v>
      </c>
      <c r="M62" s="26" t="n">
        <v>19</v>
      </c>
      <c r="P62" s="9" t="s">
        <v>66</v>
      </c>
      <c r="Q62" s="9"/>
      <c r="R62" s="9"/>
      <c r="S62" s="57" t="n">
        <f aca="false">G62*$Q3</f>
        <v>10.8</v>
      </c>
      <c r="T62" s="57" t="n">
        <f aca="false">H62*$Q3</f>
        <v>21.6</v>
      </c>
      <c r="U62" s="57" t="n">
        <f aca="false">I62*$Q3</f>
        <v>10.8</v>
      </c>
      <c r="V62" s="57" t="n">
        <f aca="false">J62*$Q3</f>
        <v>11.2</v>
      </c>
      <c r="W62" s="57" t="n">
        <f aca="false">K62*$Q3</f>
        <v>15.2</v>
      </c>
      <c r="X62" s="57" t="n">
        <f aca="false">L62*$Q3</f>
        <v>32</v>
      </c>
      <c r="Y62" s="57" t="n">
        <f aca="false">M62*$Q3</f>
        <v>7.6</v>
      </c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 t="n">
        <v>4</v>
      </c>
      <c r="I63" s="26" t="n">
        <v>4</v>
      </c>
      <c r="J63" s="26" t="n">
        <v>3</v>
      </c>
      <c r="K63" s="26"/>
      <c r="L63" s="26" t="n">
        <v>7</v>
      </c>
      <c r="M63" s="26" t="n">
        <v>2</v>
      </c>
      <c r="P63" s="9" t="s">
        <v>67</v>
      </c>
      <c r="Q63" s="9"/>
      <c r="R63" s="9"/>
      <c r="S63" s="57"/>
      <c r="T63" s="57" t="n">
        <f aca="false">H63*$Q3</f>
        <v>1.6</v>
      </c>
      <c r="U63" s="57" t="n">
        <f aca="false">I63*$Q3</f>
        <v>1.6</v>
      </c>
      <c r="V63" s="57" t="n">
        <f aca="false">J63*$Q3</f>
        <v>1.2</v>
      </c>
      <c r="W63" s="57"/>
      <c r="X63" s="57" t="n">
        <f aca="false">L63*$Q3</f>
        <v>2.8</v>
      </c>
      <c r="Y63" s="57" t="n">
        <f aca="false">M63*$Q3</f>
        <v>0.8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3</v>
      </c>
      <c r="H64" s="26" t="n">
        <v>28</v>
      </c>
      <c r="I64" s="26" t="n">
        <v>27</v>
      </c>
      <c r="J64" s="26" t="n">
        <v>17</v>
      </c>
      <c r="K64" s="26" t="n">
        <v>12</v>
      </c>
      <c r="L64" s="26" t="n">
        <v>44</v>
      </c>
      <c r="M64" s="26" t="n">
        <v>12</v>
      </c>
      <c r="P64" s="9" t="s">
        <v>68</v>
      </c>
      <c r="Q64" s="9"/>
      <c r="R64" s="9"/>
      <c r="S64" s="57" t="n">
        <f aca="false">G64*$Q3</f>
        <v>1.2</v>
      </c>
      <c r="T64" s="57" t="n">
        <f aca="false">H64*$Q3</f>
        <v>11.2</v>
      </c>
      <c r="U64" s="57" t="n">
        <f aca="false">I64*$Q3</f>
        <v>10.8</v>
      </c>
      <c r="V64" s="57" t="n">
        <f aca="false">J64*$Q3</f>
        <v>6.8</v>
      </c>
      <c r="W64" s="57" t="n">
        <f aca="false">K64*$Q3</f>
        <v>4.8</v>
      </c>
      <c r="X64" s="57" t="n">
        <f aca="false">L64*$Q3</f>
        <v>17.6</v>
      </c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 t="n">
        <f aca="false">J65*$Q3</f>
        <v>0</v>
      </c>
      <c r="W65" s="57" t="n">
        <f aca="false">K65*$Q3</f>
        <v>0</v>
      </c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5</v>
      </c>
      <c r="H67" s="26" t="n">
        <v>34</v>
      </c>
      <c r="I67" s="26" t="n">
        <v>34</v>
      </c>
      <c r="J67" s="26" t="n">
        <v>33</v>
      </c>
      <c r="K67" s="26" t="n">
        <v>23</v>
      </c>
      <c r="L67" s="26" t="n">
        <v>12</v>
      </c>
      <c r="M67" s="26" t="n">
        <v>5</v>
      </c>
      <c r="P67" s="9" t="s">
        <v>71</v>
      </c>
      <c r="Q67" s="9"/>
      <c r="R67" s="9"/>
      <c r="S67" s="57" t="n">
        <f aca="false">G67*$Q3</f>
        <v>2</v>
      </c>
      <c r="T67" s="57" t="n">
        <f aca="false">H67*$Q3</f>
        <v>13.6</v>
      </c>
      <c r="U67" s="57" t="n">
        <f aca="false">I67*$Q3</f>
        <v>13.6</v>
      </c>
      <c r="V67" s="57" t="n">
        <f aca="false">J67*$Q3</f>
        <v>13.2</v>
      </c>
      <c r="W67" s="57" t="n">
        <f aca="false">K67*$Q3</f>
        <v>9.2</v>
      </c>
      <c r="X67" s="57" t="n">
        <f aca="false">L67*$Q3</f>
        <v>4.8</v>
      </c>
      <c r="Y67" s="57" t="n">
        <f aca="false">M67*$Q3</f>
        <v>2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</v>
      </c>
      <c r="H68" s="30" t="n">
        <v>7</v>
      </c>
      <c r="I68" s="30" t="n">
        <v>5</v>
      </c>
      <c r="J68" s="30" t="n">
        <v>3</v>
      </c>
      <c r="K68" s="30" t="n">
        <v>11</v>
      </c>
      <c r="L68" s="30" t="n">
        <v>9</v>
      </c>
      <c r="M68" s="30"/>
      <c r="P68" s="9" t="s">
        <v>72</v>
      </c>
      <c r="Q68" s="9"/>
      <c r="R68" s="9"/>
      <c r="S68" s="57" t="n">
        <f aca="false">G68*$Q3</f>
        <v>0.4</v>
      </c>
      <c r="T68" s="57" t="n">
        <f aca="false">H68*$Q3</f>
        <v>2.8</v>
      </c>
      <c r="U68" s="57" t="n">
        <f aca="false">I68*$Q3</f>
        <v>2</v>
      </c>
      <c r="V68" s="57" t="n">
        <f aca="false">J68*$Q3</f>
        <v>1.2</v>
      </c>
      <c r="W68" s="57" t="n">
        <f aca="false">K68*$Q3</f>
        <v>4.4</v>
      </c>
      <c r="X68" s="57" t="n">
        <f aca="false">L68*$Q3</f>
        <v>3.6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19</v>
      </c>
      <c r="H69" s="30" t="n">
        <v>42</v>
      </c>
      <c r="I69" s="30" t="n">
        <v>28</v>
      </c>
      <c r="J69" s="30" t="n">
        <v>9</v>
      </c>
      <c r="K69" s="30" t="n">
        <v>15</v>
      </c>
      <c r="L69" s="30" t="n">
        <v>33</v>
      </c>
      <c r="M69" s="30" t="n">
        <v>2</v>
      </c>
      <c r="P69" s="9" t="s">
        <v>73</v>
      </c>
      <c r="Q69" s="9"/>
      <c r="R69" s="9"/>
      <c r="S69" s="57" t="n">
        <f aca="false">G69*Q3</f>
        <v>7.6</v>
      </c>
      <c r="T69" s="57" t="n">
        <f aca="false">H69*$Q3</f>
        <v>16.8</v>
      </c>
      <c r="U69" s="57" t="n">
        <f aca="false">I69*$Q3</f>
        <v>11.2</v>
      </c>
      <c r="V69" s="57" t="n">
        <f aca="false">J69*$Q3</f>
        <v>3.6</v>
      </c>
      <c r="W69" s="57" t="n">
        <f aca="false">K69*$Q3</f>
        <v>6</v>
      </c>
      <c r="X69" s="57" t="n">
        <f aca="false">L69*$Q3</f>
        <v>13.2</v>
      </c>
      <c r="Y69" s="57" t="n">
        <f aca="false">M69*$Q3</f>
        <v>0.8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172</v>
      </c>
      <c r="H70" s="60" t="n">
        <f aca="false">SUM(H58:H69)</f>
        <v>430</v>
      </c>
      <c r="I70" s="60" t="n">
        <f aca="false">SUM(I58:I69)</f>
        <v>328</v>
      </c>
      <c r="J70" s="60" t="n">
        <f aca="false">SUM(J58:J69)</f>
        <v>321</v>
      </c>
      <c r="K70" s="12" t="n">
        <f aca="false">SUM(K58:K69)</f>
        <v>252</v>
      </c>
      <c r="L70" s="12" t="n">
        <f aca="false">SUM(L58:L69)</f>
        <v>586</v>
      </c>
      <c r="M70" s="12" t="n">
        <f aca="false">SUM(M58:M69)</f>
        <v>162</v>
      </c>
      <c r="P70" s="9" t="s">
        <v>60</v>
      </c>
      <c r="Q70" s="9"/>
      <c r="R70" s="9"/>
      <c r="S70" s="61" t="n">
        <f aca="false">G70*$Q3</f>
        <v>68.8</v>
      </c>
      <c r="T70" s="61" t="n">
        <f aca="false">H70*$Q3</f>
        <v>172</v>
      </c>
      <c r="U70" s="61" t="n">
        <f aca="false">I70*$Q3</f>
        <v>131.2</v>
      </c>
      <c r="V70" s="61" t="n">
        <f aca="false">J70*$Q3</f>
        <v>128.4</v>
      </c>
      <c r="W70" s="61" t="n">
        <f aca="false">K70*$Q3</f>
        <v>100.8</v>
      </c>
      <c r="X70" s="61" t="n">
        <f aca="false">L70*$Q3</f>
        <v>234.4</v>
      </c>
      <c r="Y70" s="61" t="n">
        <f aca="false">M70*$Q3</f>
        <v>64.8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28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45166</v>
      </c>
      <c r="K3" s="5" t="n">
        <v>45172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45166</v>
      </c>
      <c r="W3" s="5" t="n">
        <v>45172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5</v>
      </c>
      <c r="H7" s="13"/>
      <c r="I7" s="13"/>
      <c r="J7" s="13" t="n">
        <v>3</v>
      </c>
      <c r="K7" s="13" t="n">
        <v>1</v>
      </c>
      <c r="L7" s="13" t="n">
        <v>2</v>
      </c>
      <c r="M7" s="13" t="n">
        <v>2</v>
      </c>
      <c r="P7" s="12" t="s">
        <v>14</v>
      </c>
      <c r="Q7" s="12"/>
      <c r="R7" s="12"/>
      <c r="S7" s="14" t="n">
        <f aca="false">Tabella527911247916182022242628303234363840424446485052545658606264687072747678808284[[#This Row],[Colonna1]]*$Q3</f>
        <v>2</v>
      </c>
      <c r="T7" s="14"/>
      <c r="U7" s="14"/>
      <c r="V7" s="14" t="n">
        <f aca="false">Tabella527911247916182022242628303234363840424446485052545658606264687072747678808284[[#This Row],[Colonna4]]*$Q3</f>
        <v>1.2</v>
      </c>
      <c r="W7" s="14" t="n">
        <f aca="false">Tabella527911247916182022242628303234363840424446485052545658606264687072747678808284[[#This Row],[Colonna5]]*$Q3</f>
        <v>0.4</v>
      </c>
      <c r="X7" s="14" t="n">
        <f aca="false">Tabella527911247916182022242628303234363840424446485052545658606264687072747678808284[[#This Row],[Colonna6]]*$Q3</f>
        <v>0.8</v>
      </c>
      <c r="Y7" s="14" t="n">
        <f aca="false">Tabella527911247916182022242628303234363840424446485052545658606264687072747678808284[[#This Row],[Colonna7]]*$Q3</f>
        <v>0.8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 t="n">
        <v>2</v>
      </c>
      <c r="H11" s="13"/>
      <c r="I11" s="13"/>
      <c r="J11" s="13" t="n">
        <v>1</v>
      </c>
      <c r="K11" s="13"/>
      <c r="L11" s="13" t="n">
        <v>2</v>
      </c>
      <c r="M11" s="13"/>
      <c r="P11" s="9" t="s">
        <v>18</v>
      </c>
      <c r="Q11" s="9"/>
      <c r="R11" s="9"/>
      <c r="S11" s="14" t="n">
        <f aca="false">Tabella527911247916182022242628303234363840424446485052545658606264687072747678808284[[#This Row],[Colonna1]]*$Q3</f>
        <v>0.8</v>
      </c>
      <c r="T11" s="14"/>
      <c r="U11" s="14"/>
      <c r="V11" s="14" t="n">
        <f aca="false">Tabella527911247916182022242628303234363840424446485052545658606264687072747678808284[[#This Row],[Colonna4]]*$Q3</f>
        <v>0.4</v>
      </c>
      <c r="W11" s="14"/>
      <c r="X11" s="14" t="n">
        <f aca="false">Tabella527911247916182022242628303234363840424446485052545658606264687072747678808284[[#This Row],[Colonna6]]*$Q3</f>
        <v>0.8</v>
      </c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7</v>
      </c>
      <c r="H12" s="13"/>
      <c r="I12" s="13"/>
      <c r="J12" s="13" t="n">
        <v>8</v>
      </c>
      <c r="K12" s="13" t="n">
        <v>7</v>
      </c>
      <c r="L12" s="13" t="n">
        <v>13</v>
      </c>
      <c r="M12" s="13" t="n">
        <v>11</v>
      </c>
      <c r="P12" s="12" t="s">
        <v>19</v>
      </c>
      <c r="Q12" s="12"/>
      <c r="R12" s="12"/>
      <c r="S12" s="14" t="n">
        <f aca="false">Tabella527911247916182022242628303234363840424446485052545658606264687072747678808284[[#This Row],[Colonna1]]*$Q3</f>
        <v>2.8</v>
      </c>
      <c r="T12" s="14"/>
      <c r="U12" s="14"/>
      <c r="V12" s="14" t="n">
        <f aca="false">Tabella527911247916182022242628303234363840424446485052545658606264687072747678808284[[#This Row],[Colonna4]]*$Q3</f>
        <v>3.2</v>
      </c>
      <c r="W12" s="14" t="n">
        <f aca="false">Tabella527911247916182022242628303234363840424446485052545658606264687072747678808284[[#This Row],[Colonna5]]*$Q3</f>
        <v>2.8</v>
      </c>
      <c r="X12" s="14" t="n">
        <f aca="false">Tabella527911247916182022242628303234363840424446485052545658606264687072747678808284[[#This Row],[Colonna6]]*$Q3</f>
        <v>5.2</v>
      </c>
      <c r="Y12" s="14" t="n">
        <f aca="false">Tabella527911247916182022242628303234363840424446485052545658606264687072747678808284[[#This Row],[Colonna7]]*$Q3</f>
        <v>4.4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1</v>
      </c>
      <c r="H15" s="13" t="n">
        <v>2</v>
      </c>
      <c r="I15" s="13" t="n">
        <v>1</v>
      </c>
      <c r="J15" s="13" t="n">
        <v>2</v>
      </c>
      <c r="K15" s="13" t="n">
        <v>3</v>
      </c>
      <c r="L15" s="13" t="n">
        <v>4</v>
      </c>
      <c r="M15" s="13" t="n">
        <v>1</v>
      </c>
      <c r="P15" s="12" t="s">
        <v>22</v>
      </c>
      <c r="Q15" s="12"/>
      <c r="R15" s="12"/>
      <c r="S15" s="14" t="n">
        <f aca="false">Tabella527911247916182022242628303234363840424446485052545658606264687072747678808284[[#This Row],[Colonna1]]*$Q3</f>
        <v>0.4</v>
      </c>
      <c r="T15" s="14" t="n">
        <f aca="false">Tabella527911247916182022242628303234363840424446485052545658606264687072747678808284[[#This Row],[Colonna2]]*$Q3</f>
        <v>0.8</v>
      </c>
      <c r="U15" s="14" t="n">
        <f aca="false">Tabella527911247916182022242628303234363840424446485052545658606264687072747678808284[[#This Row],[Colonna3]]*$Q3</f>
        <v>0.4</v>
      </c>
      <c r="V15" s="14" t="n">
        <f aca="false">Tabella527911247916182022242628303234363840424446485052545658606264687072747678808284[[#This Row],[Colonna4]]*$Q3</f>
        <v>0.8</v>
      </c>
      <c r="W15" s="14" t="n">
        <f aca="false">Tabella527911247916182022242628303234363840424446485052545658606264687072747678808284[[#This Row],[Colonna5]]*$Q3</f>
        <v>1.2</v>
      </c>
      <c r="X15" s="14" t="n">
        <f aca="false">Tabella527911247916182022242628303234363840424446485052545658606264687072747678808284[[#This Row],[Colonna6]]*$Q3</f>
        <v>1.6</v>
      </c>
      <c r="Y15" s="14" t="n">
        <f aca="false">Tabella527911247916182022242628303234363840424446485052545658606264687072747678808284[[#This Row],[Colonna7]]*$Q3</f>
        <v>0.4</v>
      </c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 t="n">
        <v>1</v>
      </c>
      <c r="I20" s="13"/>
      <c r="J20" s="13"/>
      <c r="K20" s="13"/>
      <c r="L20" s="13"/>
      <c r="M20" s="13" t="n">
        <v>9</v>
      </c>
      <c r="P20" s="9" t="s">
        <v>27</v>
      </c>
      <c r="Q20" s="9"/>
      <c r="R20" s="9"/>
      <c r="S20" s="14"/>
      <c r="T20" s="14" t="n">
        <f aca="false">Tabella527911247916182022242628303234363840424446485052545658606264687072747678808284[[#This Row],[Colonna2]]*$Q3</f>
        <v>0.4</v>
      </c>
      <c r="U20" s="14"/>
      <c r="V20" s="14"/>
      <c r="W20" s="14"/>
      <c r="X20" s="14"/>
      <c r="Y20" s="14" t="n">
        <f aca="false">Tabella527911247916182022242628303234363840424446485052545658606264687072747678808284[[#This Row],[Colonna7]]*$Q3</f>
        <v>3.6</v>
      </c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</v>
      </c>
      <c r="H22" s="13"/>
      <c r="I22" s="13"/>
      <c r="J22" s="13"/>
      <c r="K22" s="13"/>
      <c r="L22" s="13" t="n">
        <v>1</v>
      </c>
      <c r="M22" s="13"/>
      <c r="P22" s="12" t="s">
        <v>29</v>
      </c>
      <c r="Q22" s="12"/>
      <c r="R22" s="12"/>
      <c r="S22" s="14" t="n">
        <f aca="false">Tabella527911247916182022242628303234363840424446485052545658606264687072747678808284[[#This Row],[Colonna1]]*$Q3</f>
        <v>0.4</v>
      </c>
      <c r="T22" s="14"/>
      <c r="U22" s="14"/>
      <c r="V22" s="14"/>
      <c r="W22" s="14"/>
      <c r="X22" s="14" t="n">
        <f aca="false">Tabella527911247916182022242628303234363840424446485052545658606264687072747678808284[[#This Row],[Colonna6]]*$Q3</f>
        <v>0.4</v>
      </c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1</v>
      </c>
      <c r="H26" s="13" t="n">
        <v>3</v>
      </c>
      <c r="I26" s="13"/>
      <c r="J26" s="13" t="n">
        <v>2</v>
      </c>
      <c r="K26" s="13"/>
      <c r="L26" s="13" t="n">
        <v>1</v>
      </c>
      <c r="M26" s="13"/>
      <c r="P26" s="12" t="s">
        <v>33</v>
      </c>
      <c r="Q26" s="12"/>
      <c r="R26" s="12"/>
      <c r="S26" s="14" t="n">
        <f aca="false">Tabella527911247916182022242628303234363840424446485052545658606264687072747678808284[[#This Row],[Colonna1]]*$Q3</f>
        <v>0.4</v>
      </c>
      <c r="T26" s="14" t="n">
        <f aca="false">Tabella527911247916182022242628303234363840424446485052545658606264687072747678808284[[#This Row],[Colonna2]]*$Q3</f>
        <v>1.2</v>
      </c>
      <c r="U26" s="14"/>
      <c r="V26" s="14" t="n">
        <f aca="false">Tabella527911247916182022242628303234363840424446485052545658606264687072747678808284[[#This Row],[Colonna4]]*$Q3</f>
        <v>0.8</v>
      </c>
      <c r="W26" s="14"/>
      <c r="X26" s="14" t="n">
        <f aca="false">Tabella527911247916182022242628303234363840424446485052545658606264687072747678808284[[#This Row],[Colonna6]]*$Q3</f>
        <v>0.4</v>
      </c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6</v>
      </c>
      <c r="H29" s="13"/>
      <c r="I29" s="13" t="n">
        <v>6</v>
      </c>
      <c r="J29" s="13" t="n">
        <v>3</v>
      </c>
      <c r="K29" s="13" t="n">
        <v>5</v>
      </c>
      <c r="L29" s="13" t="n">
        <v>8</v>
      </c>
      <c r="M29" s="13" t="n">
        <v>6</v>
      </c>
      <c r="P29" s="12" t="s">
        <v>36</v>
      </c>
      <c r="Q29" s="12"/>
      <c r="R29" s="12"/>
      <c r="S29" s="14" t="n">
        <f aca="false">Tabella527911247916182022242628303234363840424446485052545658606264687072747678808284[[#This Row],[Colonna1]]*$Q3</f>
        <v>2.4</v>
      </c>
      <c r="T29" s="14"/>
      <c r="U29" s="14" t="n">
        <f aca="false">Tabella527911247916182022242628303234363840424446485052545658606264687072747678808284[[#This Row],[Colonna3]]*$Q3</f>
        <v>2.4</v>
      </c>
      <c r="V29" s="14" t="n">
        <f aca="false">Tabella527911247916182022242628303234363840424446485052545658606264687072747678808284[[#This Row],[Colonna4]]*$Q3</f>
        <v>1.2</v>
      </c>
      <c r="W29" s="14" t="n">
        <f aca="false">Tabella527911247916182022242628303234363840424446485052545658606264687072747678808284[[#This Row],[Colonna5]]*$Q3</f>
        <v>2</v>
      </c>
      <c r="X29" s="14" t="n">
        <f aca="false">Tabella527911247916182022242628303234363840424446485052545658606264687072747678808284[[#This Row],[Colonna6]]*$Q3</f>
        <v>3.2</v>
      </c>
      <c r="Y29" s="14" t="n">
        <f aca="false">Tabella527911247916182022242628303234363840424446485052545658606264687072747678808284[[#This Row],[Colonna7]]*$Q3</f>
        <v>2.4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2</v>
      </c>
      <c r="H42" s="13" t="n">
        <v>1</v>
      </c>
      <c r="I42" s="13" t="n">
        <v>2</v>
      </c>
      <c r="J42" s="13" t="n">
        <v>1</v>
      </c>
      <c r="K42" s="13"/>
      <c r="L42" s="13"/>
      <c r="M42" s="13"/>
      <c r="P42" s="9" t="s">
        <v>49</v>
      </c>
      <c r="Q42" s="9"/>
      <c r="R42" s="9"/>
      <c r="S42" s="14" t="n">
        <f aca="false">Tabella527911247916182022242628303234363840424446485052545658606264687072747678808284[[#This Row],[Colonna1]]*$Q3</f>
        <v>0.8</v>
      </c>
      <c r="T42" s="14" t="n">
        <f aca="false">Tabella527911247916182022242628303234363840424446485052545658606264687072747678808284[[#This Row],[Colonna2]]*$Q3</f>
        <v>0.4</v>
      </c>
      <c r="U42" s="14" t="n">
        <f aca="false">Tabella527911247916182022242628303234363840424446485052545658606264687072747678808284[[#This Row],[Colonna3]]*$Q3</f>
        <v>0.8</v>
      </c>
      <c r="V42" s="14" t="n">
        <f aca="false">Tabella527911247916182022242628303234363840424446485052545658606264687072747678808284[[#This Row],[Colonna4]]*$Q3</f>
        <v>0.4</v>
      </c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6</v>
      </c>
      <c r="H44" s="13" t="n">
        <v>1</v>
      </c>
      <c r="I44" s="13" t="n">
        <v>3</v>
      </c>
      <c r="J44" s="13" t="n">
        <v>1</v>
      </c>
      <c r="K44" s="13" t="n">
        <v>1</v>
      </c>
      <c r="L44" s="13" t="n">
        <v>2</v>
      </c>
      <c r="M44" s="13" t="n">
        <v>4</v>
      </c>
      <c r="P44" s="12" t="s">
        <v>51</v>
      </c>
      <c r="Q44" s="12"/>
      <c r="R44" s="12"/>
      <c r="S44" s="14" t="n">
        <f aca="false">Tabella527911247916182022242628303234363840424446485052545658606264687072747678808284[[#This Row],[Colonna1]]*$Q3</f>
        <v>2.4</v>
      </c>
      <c r="T44" s="14" t="n">
        <f aca="false">Tabella527911247916182022242628303234363840424446485052545658606264687072747678808284[[#This Row],[Colonna2]]*$Q3</f>
        <v>0.4</v>
      </c>
      <c r="U44" s="14" t="n">
        <f aca="false">Tabella527911247916182022242628303234363840424446485052545658606264687072747678808284[[#This Row],[Colonna3]]*$Q3</f>
        <v>1.2</v>
      </c>
      <c r="V44" s="14" t="n">
        <f aca="false">Tabella527911247916182022242628303234363840424446485052545658606264687072747678808284[[#This Row],[Colonna4]]*$Q3</f>
        <v>0.4</v>
      </c>
      <c r="W44" s="14" t="n">
        <f aca="false">Tabella527911247916182022242628303234363840424446485052545658606264687072747678808284[[#This Row],[Colonna5]]*$Q3</f>
        <v>0.4</v>
      </c>
      <c r="X44" s="14" t="n">
        <f aca="false">Tabella527911247916182022242628303234363840424446485052545658606264687072747678808284[[#This Row],[Colonna6]]*$Q3</f>
        <v>0.8</v>
      </c>
      <c r="Y44" s="14" t="n">
        <f aca="false">Tabella527911247916182022242628303234363840424446485052545658606264687072747678808284[[#This Row],[Colonna7]]*$Q3</f>
        <v>1.6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 t="n">
        <v>1</v>
      </c>
      <c r="I49" s="13"/>
      <c r="J49" s="13"/>
      <c r="K49" s="13"/>
      <c r="L49" s="13" t="n">
        <v>2</v>
      </c>
      <c r="M49" s="13"/>
      <c r="P49" s="18" t="s">
        <v>56</v>
      </c>
      <c r="Q49" s="18"/>
      <c r="R49" s="18"/>
      <c r="S49" s="14"/>
      <c r="T49" s="14" t="n">
        <f aca="false">Tabella527911247916182022242628303234363840424446485052545658606264687072747678808284[[#This Row],[Colonna2]]*$Q3</f>
        <v>0.4</v>
      </c>
      <c r="U49" s="14"/>
      <c r="V49" s="14"/>
      <c r="W49" s="14"/>
      <c r="X49" s="14" t="n">
        <f aca="false">Tabella527911247916182022242628303234363840424446485052545658606264687072747678808284[[#This Row],[Colonna6]]*$Q3</f>
        <v>0.8</v>
      </c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15</v>
      </c>
      <c r="H52" s="13" t="n">
        <v>7</v>
      </c>
      <c r="I52" s="13" t="n">
        <v>5</v>
      </c>
      <c r="J52" s="13" t="n">
        <v>8</v>
      </c>
      <c r="K52" s="13" t="n">
        <v>4</v>
      </c>
      <c r="L52" s="13" t="n">
        <v>24</v>
      </c>
      <c r="M52" s="13" t="n">
        <v>34</v>
      </c>
      <c r="P52" s="12" t="s">
        <v>59</v>
      </c>
      <c r="Q52" s="12"/>
      <c r="R52" s="12"/>
      <c r="S52" s="14" t="n">
        <f aca="false">Tabella527911247916182022242628303234363840424446485052545658606264687072747678808284[[#This Row],[Colonna1]]*$Q3</f>
        <v>6</v>
      </c>
      <c r="T52" s="14" t="n">
        <f aca="false">Tabella527911247916182022242628303234363840424446485052545658606264687072747678808284[[#This Row],[Colonna2]]*$Q3</f>
        <v>2.8</v>
      </c>
      <c r="U52" s="14" t="n">
        <f aca="false">Tabella527911247916182022242628303234363840424446485052545658606264687072747678808284[[#This Row],[Colonna3]]*$Q3</f>
        <v>2</v>
      </c>
      <c r="V52" s="14" t="n">
        <f aca="false">Tabella527911247916182022242628303234363840424446485052545658606264687072747678808284[[#This Row],[Colonna4]]*$Q3</f>
        <v>3.2</v>
      </c>
      <c r="W52" s="14" t="n">
        <f aca="false">Tabella527911247916182022242628303234363840424446485052545658606264687072747678808284[[#This Row],[Colonna5]]*$Q3</f>
        <v>1.6</v>
      </c>
      <c r="X52" s="14" t="n">
        <f aca="false">Tabella527911247916182022242628303234363840424446485052545658606264687072747678808284[[#This Row],[Colonna6]]*$Q3</f>
        <v>9.6</v>
      </c>
      <c r="Y52" s="14" t="n">
        <f aca="false">Tabella527911247916182022242628303234363840424446485052545658606264687072747678808284[[#This Row],[Colonna7]]*$Q3</f>
        <v>13.6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46</v>
      </c>
      <c r="H53" s="55" t="n">
        <f aca="false">SUM(H6:H52)</f>
        <v>16</v>
      </c>
      <c r="I53" s="55" t="n">
        <f aca="false">SUM(I6:I52)</f>
        <v>17</v>
      </c>
      <c r="J53" s="55" t="n">
        <f aca="false">SUM(J6:J52)</f>
        <v>29</v>
      </c>
      <c r="K53" s="55" t="n">
        <f aca="false">SUM(K6:K52)</f>
        <v>21</v>
      </c>
      <c r="L53" s="55" t="n">
        <f aca="false">SUM(L6:L52)</f>
        <v>59</v>
      </c>
      <c r="M53" s="55" t="n">
        <f aca="false">SUM(M6:M52)</f>
        <v>67</v>
      </c>
      <c r="P53" s="17" t="s">
        <v>60</v>
      </c>
      <c r="Q53" s="17"/>
      <c r="R53" s="17"/>
      <c r="S53" s="56" t="n">
        <f aca="false">Tabella527911247916182022242628303234363840424446485052545658606264687072747678808284[[#This Row],[Colonna1]]*$Q3</f>
        <v>18.4</v>
      </c>
      <c r="T53" s="56" t="n">
        <f aca="false">Tabella527911247916182022242628303234363840424446485052545658606264687072747678808284[[#This Row],[Colonna2]]*$Q3</f>
        <v>6.4</v>
      </c>
      <c r="U53" s="56" t="n">
        <f aca="false">Tabella527911247916182022242628303234363840424446485052545658606264687072747678808284[[#This Row],[Colonna3]]*$Q3</f>
        <v>6.8</v>
      </c>
      <c r="V53" s="56" t="n">
        <f aca="false">Tabella527911247916182022242628303234363840424446485052545658606264687072747678808284[[#This Row],[Colonna4]]*$Q3</f>
        <v>11.6</v>
      </c>
      <c r="W53" s="56" t="n">
        <f aca="false">Tabella527911247916182022242628303234363840424446485052545658606264687072747678808284[[#This Row],[Colonna5]]*$Q3</f>
        <v>8.4</v>
      </c>
      <c r="X53" s="56" t="n">
        <f aca="false">Tabella527911247916182022242628303234363840424446485052545658606264687072747678808284[[#This Row],[Colonna6]]*$Q3</f>
        <v>23.6</v>
      </c>
      <c r="Y53" s="56" t="n">
        <f aca="false">Tabella527911247916182022242628303234363840424446485052545658606264687072747678808284[[#This Row],[Colonna7]]*$Q3</f>
        <v>26.8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76</v>
      </c>
      <c r="H58" s="26" t="n">
        <v>44</v>
      </c>
      <c r="I58" s="26" t="n">
        <v>284</v>
      </c>
      <c r="J58" s="26" t="n">
        <v>195</v>
      </c>
      <c r="K58" s="26" t="n">
        <v>170</v>
      </c>
      <c r="L58" s="26" t="n">
        <v>517</v>
      </c>
      <c r="M58" s="26" t="n">
        <v>570</v>
      </c>
      <c r="P58" s="23" t="s">
        <v>62</v>
      </c>
      <c r="Q58" s="23"/>
      <c r="R58" s="23"/>
      <c r="S58" s="57" t="n">
        <f aca="false">G58*$Q3</f>
        <v>30.4</v>
      </c>
      <c r="T58" s="57" t="n">
        <f aca="false">H58*$Q3</f>
        <v>17.6</v>
      </c>
      <c r="U58" s="57" t="n">
        <f aca="false">I58*$Q3</f>
        <v>113.6</v>
      </c>
      <c r="V58" s="57" t="n">
        <f aca="false">J58*$Q3</f>
        <v>78</v>
      </c>
      <c r="W58" s="57" t="n">
        <f aca="false">K58*$Q3</f>
        <v>68</v>
      </c>
      <c r="X58" s="57" t="n">
        <f aca="false">L58*$Q3</f>
        <v>206.8</v>
      </c>
      <c r="Y58" s="57" t="n">
        <f aca="false">M58*$Q3</f>
        <v>228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28</v>
      </c>
      <c r="H62" s="26" t="n">
        <v>6</v>
      </c>
      <c r="I62" s="26" t="n">
        <v>27</v>
      </c>
      <c r="J62" s="26" t="n">
        <v>26</v>
      </c>
      <c r="K62" s="26" t="n">
        <v>23</v>
      </c>
      <c r="L62" s="26" t="n">
        <v>90</v>
      </c>
      <c r="M62" s="26" t="n">
        <v>147</v>
      </c>
      <c r="P62" s="9" t="s">
        <v>66</v>
      </c>
      <c r="Q62" s="9"/>
      <c r="R62" s="9"/>
      <c r="S62" s="57" t="n">
        <f aca="false">G62*$Q3</f>
        <v>11.2</v>
      </c>
      <c r="T62" s="57" t="n">
        <f aca="false">H62*$Q3</f>
        <v>2.4</v>
      </c>
      <c r="U62" s="57" t="n">
        <f aca="false">I62*$Q3</f>
        <v>10.8</v>
      </c>
      <c r="V62" s="57" t="n">
        <f aca="false">J62*$Q3</f>
        <v>10.4</v>
      </c>
      <c r="W62" s="57" t="n">
        <f aca="false">K62*$Q3</f>
        <v>9.2</v>
      </c>
      <c r="X62" s="57" t="n">
        <f aca="false">L62*$Q3</f>
        <v>36</v>
      </c>
      <c r="Y62" s="57" t="n">
        <f aca="false">M62*$Q3</f>
        <v>58.8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1</v>
      </c>
      <c r="H63" s="26"/>
      <c r="I63" s="26" t="n">
        <v>12</v>
      </c>
      <c r="J63" s="26" t="n">
        <v>11</v>
      </c>
      <c r="K63" s="26" t="n">
        <v>3</v>
      </c>
      <c r="L63" s="26" t="n">
        <v>6</v>
      </c>
      <c r="M63" s="26" t="n">
        <v>14</v>
      </c>
      <c r="P63" s="9" t="s">
        <v>67</v>
      </c>
      <c r="Q63" s="9"/>
      <c r="R63" s="9"/>
      <c r="S63" s="57" t="n">
        <f aca="false">G63*$Q3</f>
        <v>0.4</v>
      </c>
      <c r="T63" s="57"/>
      <c r="U63" s="57" t="n">
        <f aca="false">I63*$Q3</f>
        <v>4.8</v>
      </c>
      <c r="V63" s="57" t="n">
        <f aca="false">J63*$Q3</f>
        <v>4.4</v>
      </c>
      <c r="W63" s="57" t="n">
        <f aca="false">K63*$Q3</f>
        <v>1.2</v>
      </c>
      <c r="X63" s="57" t="n">
        <f aca="false">L63*$Q3</f>
        <v>2.4</v>
      </c>
      <c r="Y63" s="57" t="n">
        <f aca="false">M63*$Q3</f>
        <v>5.6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5</v>
      </c>
      <c r="H64" s="26"/>
      <c r="I64" s="26" t="n">
        <v>1</v>
      </c>
      <c r="J64" s="26" t="n">
        <v>10</v>
      </c>
      <c r="K64" s="26" t="n">
        <v>11</v>
      </c>
      <c r="L64" s="26" t="n">
        <v>15</v>
      </c>
      <c r="M64" s="26" t="n">
        <v>21</v>
      </c>
      <c r="P64" s="9" t="s">
        <v>68</v>
      </c>
      <c r="Q64" s="9"/>
      <c r="R64" s="9"/>
      <c r="S64" s="57" t="n">
        <f aca="false">G64*$Q3</f>
        <v>2</v>
      </c>
      <c r="T64" s="57"/>
      <c r="U64" s="57" t="n">
        <f aca="false">I64*$Q3</f>
        <v>0.4</v>
      </c>
      <c r="V64" s="57" t="n">
        <f aca="false">J64*$Q3</f>
        <v>4</v>
      </c>
      <c r="W64" s="57" t="n">
        <f aca="false">K64*$Q3</f>
        <v>4.4</v>
      </c>
      <c r="X64" s="57" t="n">
        <f aca="false">L64*$Q3</f>
        <v>6</v>
      </c>
      <c r="Y64" s="57" t="n">
        <f aca="false">M64*$Q3</f>
        <v>8.4</v>
      </c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 t="n">
        <v>1</v>
      </c>
      <c r="I65" s="26"/>
      <c r="J65" s="26"/>
      <c r="K65" s="26"/>
      <c r="L65" s="26"/>
      <c r="M65" s="26"/>
      <c r="P65" s="9" t="s">
        <v>69</v>
      </c>
      <c r="Q65" s="9"/>
      <c r="R65" s="9"/>
      <c r="S65" s="57"/>
      <c r="T65" s="57" t="n">
        <f aca="false">H65*$Q3</f>
        <v>0.4</v>
      </c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17</v>
      </c>
      <c r="H67" s="26" t="n">
        <v>4</v>
      </c>
      <c r="I67" s="26" t="n">
        <v>68</v>
      </c>
      <c r="J67" s="26" t="n">
        <v>37</v>
      </c>
      <c r="K67" s="26" t="n">
        <v>15</v>
      </c>
      <c r="L67" s="26" t="n">
        <v>20</v>
      </c>
      <c r="M67" s="26" t="n">
        <v>50</v>
      </c>
      <c r="P67" s="9" t="s">
        <v>71</v>
      </c>
      <c r="Q67" s="9"/>
      <c r="R67" s="9"/>
      <c r="S67" s="57" t="n">
        <f aca="false">G67*$Q3</f>
        <v>6.8</v>
      </c>
      <c r="T67" s="57" t="n">
        <f aca="false">H67*$Q3</f>
        <v>1.6</v>
      </c>
      <c r="U67" s="57" t="n">
        <f aca="false">I67*$Q3</f>
        <v>27.2</v>
      </c>
      <c r="V67" s="57" t="n">
        <f aca="false">J67*$Q3</f>
        <v>14.8</v>
      </c>
      <c r="W67" s="57" t="n">
        <f aca="false">K67*$Q3</f>
        <v>6</v>
      </c>
      <c r="X67" s="57" t="n">
        <f aca="false">L67*$Q3</f>
        <v>8</v>
      </c>
      <c r="Y67" s="57" t="n">
        <f aca="false">M67*$Q3</f>
        <v>20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11</v>
      </c>
      <c r="H68" s="30" t="n">
        <v>1</v>
      </c>
      <c r="I68" s="30" t="n">
        <v>4</v>
      </c>
      <c r="J68" s="30" t="n">
        <v>2</v>
      </c>
      <c r="K68" s="30" t="n">
        <v>1</v>
      </c>
      <c r="L68" s="30" t="n">
        <v>2</v>
      </c>
      <c r="M68" s="30" t="n">
        <v>1</v>
      </c>
      <c r="P68" s="9" t="s">
        <v>72</v>
      </c>
      <c r="Q68" s="9"/>
      <c r="R68" s="9"/>
      <c r="S68" s="57" t="n">
        <f aca="false">G68*$Q3</f>
        <v>4.4</v>
      </c>
      <c r="T68" s="57" t="n">
        <f aca="false">H68*$Q3</f>
        <v>0.4</v>
      </c>
      <c r="U68" s="57" t="n">
        <f aca="false">I68*$Q3</f>
        <v>1.6</v>
      </c>
      <c r="V68" s="57" t="n">
        <f aca="false">J68*$Q3</f>
        <v>0.8</v>
      </c>
      <c r="W68" s="57" t="n">
        <f aca="false">K68*$Q3</f>
        <v>0.4</v>
      </c>
      <c r="X68" s="57" t="n">
        <f aca="false">L68*$Q3</f>
        <v>0.8</v>
      </c>
      <c r="Y68" s="57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14</v>
      </c>
      <c r="H69" s="30"/>
      <c r="I69" s="30"/>
      <c r="J69" s="30" t="n">
        <v>1</v>
      </c>
      <c r="K69" s="30" t="n">
        <v>2</v>
      </c>
      <c r="L69" s="30" t="n">
        <v>13</v>
      </c>
      <c r="M69" s="30" t="n">
        <v>55</v>
      </c>
      <c r="P69" s="9" t="s">
        <v>73</v>
      </c>
      <c r="Q69" s="9"/>
      <c r="R69" s="9"/>
      <c r="S69" s="57" t="n">
        <f aca="false">G69*$Q3</f>
        <v>5.6</v>
      </c>
      <c r="T69" s="57"/>
      <c r="U69" s="57"/>
      <c r="V69" s="57" t="n">
        <f aca="false">J69*$Q3</f>
        <v>0.4</v>
      </c>
      <c r="W69" s="57" t="n">
        <f aca="false">K69*$Q3</f>
        <v>0.8</v>
      </c>
      <c r="X69" s="57" t="n">
        <f aca="false">L69*$Q3</f>
        <v>5.2</v>
      </c>
      <c r="Y69" s="57" t="n">
        <f aca="false">M69*$Q3</f>
        <v>22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152</v>
      </c>
      <c r="H70" s="60" t="n">
        <f aca="false">SUM(H58:H69)</f>
        <v>56</v>
      </c>
      <c r="I70" s="60" t="n">
        <f aca="false">SUM(I58:I69)</f>
        <v>396</v>
      </c>
      <c r="J70" s="60" t="n">
        <f aca="false">SUM(J58:J69)</f>
        <v>282</v>
      </c>
      <c r="K70" s="12" t="n">
        <f aca="false">SUM(K58:K69)</f>
        <v>225</v>
      </c>
      <c r="L70" s="12" t="n">
        <f aca="false">SUM(L58:L69)</f>
        <v>663</v>
      </c>
      <c r="M70" s="12" t="n">
        <f aca="false">SUM(M58:M69)</f>
        <v>858</v>
      </c>
      <c r="P70" s="9" t="s">
        <v>60</v>
      </c>
      <c r="Q70" s="9"/>
      <c r="R70" s="9"/>
      <c r="S70" s="61" t="n">
        <f aca="false">G70*$Q3</f>
        <v>60.8</v>
      </c>
      <c r="T70" s="61" t="n">
        <f aca="false">H70*$Q3</f>
        <v>22.4</v>
      </c>
      <c r="U70" s="61" t="n">
        <f aca="false">I70*$Q3</f>
        <v>158.4</v>
      </c>
      <c r="V70" s="61" t="n">
        <f aca="false">J70*$Q3</f>
        <v>112.8</v>
      </c>
      <c r="W70" s="61" t="n">
        <f aca="false">K70*$Q3</f>
        <v>90</v>
      </c>
      <c r="X70" s="61" t="n">
        <f aca="false">L70*$Q3</f>
        <v>265.2</v>
      </c>
      <c r="Y70" s="61" t="n">
        <f aca="false">M70*$Q3</f>
        <v>343.2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40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45173</v>
      </c>
      <c r="K3" s="5" t="n">
        <v>45179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45173</v>
      </c>
      <c r="W3" s="5" t="n">
        <v>45179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2</v>
      </c>
      <c r="H7" s="13" t="n">
        <v>5</v>
      </c>
      <c r="I7" s="13" t="n">
        <v>8</v>
      </c>
      <c r="J7" s="13"/>
      <c r="K7" s="13"/>
      <c r="L7" s="13"/>
      <c r="M7" s="13"/>
      <c r="P7" s="12" t="s">
        <v>14</v>
      </c>
      <c r="Q7" s="12"/>
      <c r="R7" s="12"/>
      <c r="S7" s="14" t="n">
        <f aca="false">Tabella52791124791618202224262830323436384042444648505254565860626468707274767880828486[[#This Row],[Colonna1]]*$Q3</f>
        <v>0.8</v>
      </c>
      <c r="T7" s="14" t="n">
        <f aca="false">Tabella52791124791618202224262830323436384042444648505254565860626468707274767880828486[[#This Row],[Colonna2]]*$Q3</f>
        <v>2</v>
      </c>
      <c r="U7" s="14" t="n">
        <f aca="false">Tabella52791124791618202224262830323436384042444648505254565860626468707274767880828486[[#This Row],[Colonna3]]*$Q3</f>
        <v>3.2</v>
      </c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 t="n">
        <v>1</v>
      </c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 t="n">
        <f aca="false">Tabella52791124791618202224262830323436384042444648505254565860626468707274767880828486[[#This Row],[Colonna1]]*$Q3</f>
        <v>0.4</v>
      </c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23</v>
      </c>
      <c r="H12" s="13" t="n">
        <v>56</v>
      </c>
      <c r="I12" s="13" t="n">
        <v>15</v>
      </c>
      <c r="J12" s="13" t="n">
        <v>24</v>
      </c>
      <c r="K12" s="13" t="n">
        <v>16</v>
      </c>
      <c r="L12" s="13" t="n">
        <v>11</v>
      </c>
      <c r="M12" s="13" t="n">
        <v>6</v>
      </c>
      <c r="P12" s="12" t="s">
        <v>19</v>
      </c>
      <c r="Q12" s="12"/>
      <c r="R12" s="12"/>
      <c r="S12" s="14" t="n">
        <f aca="false">Tabella52791124791618202224262830323436384042444648505254565860626468707274767880828486[[#This Row],[Colonna1]]*$Q3</f>
        <v>9.2</v>
      </c>
      <c r="T12" s="14" t="n">
        <f aca="false">Tabella52791124791618202224262830323436384042444648505254565860626468707274767880828486[[#This Row],[Colonna2]]*$Q3</f>
        <v>22.4</v>
      </c>
      <c r="U12" s="14" t="n">
        <f aca="false">Tabella52791124791618202224262830323436384042444648505254565860626468707274767880828486[[#This Row],[Colonna3]]*$Q3</f>
        <v>6</v>
      </c>
      <c r="V12" s="14" t="n">
        <f aca="false">Tabella52791124791618202224262830323436384042444648505254565860626468707274767880828486[[#This Row],[Colonna4]]*$Q3</f>
        <v>9.6</v>
      </c>
      <c r="W12" s="14" t="n">
        <f aca="false">Tabella52791124791618202224262830323436384042444648505254565860626468707274767880828486[[#This Row],[Colonna5]]*$Q3</f>
        <v>6.4</v>
      </c>
      <c r="X12" s="14" t="n">
        <f aca="false">Tabella52791124791618202224262830323436384042444648505254565860626468707274767880828486[[#This Row],[Colonna6]]*$Q3</f>
        <v>4.4</v>
      </c>
      <c r="Y12" s="14" t="n">
        <f aca="false">Tabella52791124791618202224262830323436384042444648505254565860626468707274767880828486[[#This Row],[Colonna7]]*$Q3</f>
        <v>2.4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1</v>
      </c>
      <c r="H15" s="13" t="n">
        <v>22</v>
      </c>
      <c r="I15" s="13" t="n">
        <v>25</v>
      </c>
      <c r="J15" s="13" t="n">
        <v>43</v>
      </c>
      <c r="K15" s="13" t="n">
        <v>15</v>
      </c>
      <c r="L15" s="13" t="n">
        <v>8</v>
      </c>
      <c r="M15" s="13" t="n">
        <v>1</v>
      </c>
      <c r="P15" s="12" t="s">
        <v>22</v>
      </c>
      <c r="Q15" s="12"/>
      <c r="R15" s="12"/>
      <c r="S15" s="14" t="n">
        <f aca="false">Tabella52791124791618202224262830323436384042444648505254565860626468707274767880828486[[#This Row],[Colonna1]]*$Q3</f>
        <v>0.4</v>
      </c>
      <c r="T15" s="14" t="n">
        <f aca="false">Tabella52791124791618202224262830323436384042444648505254565860626468707274767880828486[[#This Row],[Colonna2]]*$Q3</f>
        <v>8.8</v>
      </c>
      <c r="U15" s="14" t="n">
        <f aca="false">Tabella52791124791618202224262830323436384042444648505254565860626468707274767880828486[[#This Row],[Colonna3]]*$Q3</f>
        <v>10</v>
      </c>
      <c r="V15" s="14" t="n">
        <f aca="false">Tabella52791124791618202224262830323436384042444648505254565860626468707274767880828486[[#This Row],[Colonna4]]*$Q3</f>
        <v>17.2</v>
      </c>
      <c r="W15" s="14" t="n">
        <f aca="false">Tabella52791124791618202224262830323436384042444648505254565860626468707274767880828486[[#This Row],[Colonna5]]*$Q3</f>
        <v>6</v>
      </c>
      <c r="X15" s="14" t="n">
        <f aca="false">Tabella52791124791618202224262830323436384042444648505254565860626468707274767880828486[[#This Row],[Colonna6]]*$Q3</f>
        <v>3.2</v>
      </c>
      <c r="Y15" s="14" t="n">
        <f aca="false">Tabella52791124791618202224262830323436384042444648505254565860626468707274767880828486[[#This Row],[Colonna7]]*$Q3</f>
        <v>0.4</v>
      </c>
    </row>
    <row r="16" customFormat="false" ht="15" hidden="false" customHeight="false" outlineLevel="0" collapsed="false">
      <c r="D16" s="12" t="s">
        <v>23</v>
      </c>
      <c r="E16" s="12"/>
      <c r="F16" s="12"/>
      <c r="G16" s="13" t="n">
        <v>1</v>
      </c>
      <c r="H16" s="13"/>
      <c r="I16" s="13"/>
      <c r="J16" s="13" t="n">
        <v>1</v>
      </c>
      <c r="K16" s="13"/>
      <c r="L16" s="13"/>
      <c r="M16" s="13"/>
      <c r="P16" s="12" t="s">
        <v>23</v>
      </c>
      <c r="Q16" s="12"/>
      <c r="R16" s="12"/>
      <c r="S16" s="14" t="n">
        <f aca="false">Tabella52791124791618202224262830323436384042444648505254565860626468707274767880828486[[#This Row],[Colonna1]]*$Q3</f>
        <v>0.4</v>
      </c>
      <c r="T16" s="14"/>
      <c r="U16" s="14"/>
      <c r="V16" s="14" t="n">
        <f aca="false">Tabella52791124791618202224262830323436384042444648505254565860626468707274767880828486[[#This Row],[Colonna4]]*$Q3</f>
        <v>0.4</v>
      </c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 t="n">
        <v>9</v>
      </c>
      <c r="H18" s="13"/>
      <c r="I18" s="13" t="n">
        <v>2</v>
      </c>
      <c r="J18" s="13" t="n">
        <v>1</v>
      </c>
      <c r="K18" s="13" t="n">
        <v>1</v>
      </c>
      <c r="L18" s="13"/>
      <c r="M18" s="13"/>
      <c r="P18" s="12" t="s">
        <v>25</v>
      </c>
      <c r="Q18" s="12"/>
      <c r="R18" s="12"/>
      <c r="S18" s="14" t="n">
        <f aca="false">Tabella52791124791618202224262830323436384042444648505254565860626468707274767880828486[[#This Row],[Colonna1]]*$Q3</f>
        <v>3.6</v>
      </c>
      <c r="T18" s="14"/>
      <c r="U18" s="14" t="n">
        <f aca="false">Tabella52791124791618202224262830323436384042444648505254565860626468707274767880828486[[#This Row],[Colonna3]]*$Q3</f>
        <v>0.8</v>
      </c>
      <c r="V18" s="14" t="n">
        <f aca="false">Tabella52791124791618202224262830323436384042444648505254565860626468707274767880828486[[#This Row],[Colonna4]]*$Q3</f>
        <v>0.4</v>
      </c>
      <c r="W18" s="14" t="n">
        <f aca="false">Tabella52791124791618202224262830323436384042444648505254565860626468707274767880828486[[#This Row],[Colonna5]]*$Q3</f>
        <v>0.4</v>
      </c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4</v>
      </c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Tabella52791124791618202224262830323436384042444648505254565860626468707274767880828486[[#This Row],[Colonna1]]*$Q3</f>
        <v>1.6</v>
      </c>
      <c r="T22" s="14"/>
      <c r="U22" s="14"/>
      <c r="V22" s="14"/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11</v>
      </c>
      <c r="H29" s="13" t="n">
        <v>15</v>
      </c>
      <c r="I29" s="13" t="n">
        <v>4</v>
      </c>
      <c r="J29" s="13" t="n">
        <v>2</v>
      </c>
      <c r="K29" s="13" t="n">
        <v>3</v>
      </c>
      <c r="L29" s="13" t="n">
        <v>2</v>
      </c>
      <c r="M29" s="13" t="n">
        <v>1</v>
      </c>
      <c r="P29" s="12" t="s">
        <v>36</v>
      </c>
      <c r="Q29" s="12"/>
      <c r="R29" s="12"/>
      <c r="S29" s="14" t="n">
        <f aca="false">Tabella52791124791618202224262830323436384042444648505254565860626468707274767880828486[[#This Row],[Colonna1]]*$Q3</f>
        <v>4.4</v>
      </c>
      <c r="T29" s="14" t="n">
        <f aca="false">Tabella52791124791618202224262830323436384042444648505254565860626468707274767880828486[[#This Row],[Colonna2]]*$Q3</f>
        <v>6</v>
      </c>
      <c r="U29" s="14" t="n">
        <f aca="false">Tabella52791124791618202224262830323436384042444648505254565860626468707274767880828486[[#This Row],[Colonna3]]*$Q3</f>
        <v>1.6</v>
      </c>
      <c r="V29" s="14" t="n">
        <f aca="false">Tabella52791124791618202224262830323436384042444648505254565860626468707274767880828486[[#This Row],[Colonna4]]*$Q3</f>
        <v>0.8</v>
      </c>
      <c r="W29" s="14" t="n">
        <f aca="false">Tabella52791124791618202224262830323436384042444648505254565860626468707274767880828486[[#This Row],[Colonna5]]*$Q3</f>
        <v>1.2</v>
      </c>
      <c r="X29" s="14" t="n">
        <f aca="false">Tabella52791124791618202224262830323436384042444648505254565860626468707274767880828486[[#This Row],[Colonna6]]*$Q3</f>
        <v>0.8</v>
      </c>
      <c r="Y29" s="14" t="n">
        <f aca="false">Tabella52791124791618202224262830323436384042444648505254565860626468707274767880828486[[#This Row],[Colonna7]]*$Q3</f>
        <v>0.4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13" t="n">
        <v>1</v>
      </c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Tabella52791124791618202224262830323436384042444648505254565860626468707274767880828486[[#This Row],[Colonna1]]*$Q3</f>
        <v>0.4</v>
      </c>
      <c r="T41" s="14" t="n">
        <f aca="false">Tabella52791124791618202224262830323436384042444648505254565860626468707274767880828486[[#This Row],[Colonna2]]*$Q3</f>
        <v>0.4</v>
      </c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2</v>
      </c>
      <c r="H42" s="13"/>
      <c r="I42" s="13" t="n">
        <v>1</v>
      </c>
      <c r="J42" s="13" t="n">
        <v>1</v>
      </c>
      <c r="K42" s="13"/>
      <c r="L42" s="13"/>
      <c r="M42" s="13"/>
      <c r="P42" s="9" t="s">
        <v>49</v>
      </c>
      <c r="Q42" s="9"/>
      <c r="R42" s="9"/>
      <c r="S42" s="14" t="n">
        <f aca="false">Tabella52791124791618202224262830323436384042444648505254565860626468707274767880828486[[#This Row],[Colonna1]]*$Q3</f>
        <v>0.8</v>
      </c>
      <c r="T42" s="14"/>
      <c r="U42" s="14" t="n">
        <f aca="false">Tabella52791124791618202224262830323436384042444648505254565860626468707274767880828486[[#This Row],[Colonna3]]*$Q3</f>
        <v>0.4</v>
      </c>
      <c r="V42" s="14" t="n">
        <f aca="false">Tabella52791124791618202224262830323436384042444648505254565860626468707274767880828486[[#This Row],[Colonna4]]*$Q3</f>
        <v>0.4</v>
      </c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7</v>
      </c>
      <c r="H44" s="13" t="n">
        <v>10</v>
      </c>
      <c r="I44" s="13"/>
      <c r="J44" s="13" t="n">
        <v>4</v>
      </c>
      <c r="K44" s="13" t="n">
        <v>1</v>
      </c>
      <c r="L44" s="13" t="n">
        <v>1</v>
      </c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Tabella52791124791618202224262830323436384042444648505254565860626468707274767880828486[[#This Row],[Colonna1]]*$Q3</f>
        <v>2.8</v>
      </c>
      <c r="T44" s="14" t="n">
        <f aca="false">Tabella52791124791618202224262830323436384042444648505254565860626468707274767880828486[[#This Row],[Colonna2]]*$Q3</f>
        <v>4</v>
      </c>
      <c r="U44" s="14"/>
      <c r="V44" s="14" t="n">
        <f aca="false">Tabella52791124791618202224262830323436384042444648505254565860626468707274767880828486[[#This Row],[Colonna4]]*$Q3</f>
        <v>1.6</v>
      </c>
      <c r="W44" s="14" t="n">
        <f aca="false">Tabella52791124791618202224262830323436384042444648505254565860626468707274767880828486[[#This Row],[Colonna5]]*$Q3</f>
        <v>0.4</v>
      </c>
      <c r="X44" s="14" t="n">
        <f aca="false">Tabella52791124791618202224262830323436384042444648505254565860626468707274767880828486[[#This Row],[Colonna6]]*$Q3</f>
        <v>0.4</v>
      </c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41</v>
      </c>
      <c r="H52" s="13" t="n">
        <v>65</v>
      </c>
      <c r="I52" s="13" t="n">
        <v>61</v>
      </c>
      <c r="J52" s="13" t="n">
        <v>65</v>
      </c>
      <c r="K52" s="13" t="n">
        <v>45</v>
      </c>
      <c r="L52" s="13" t="n">
        <v>26</v>
      </c>
      <c r="M52" s="13" t="n">
        <v>27</v>
      </c>
      <c r="P52" s="12" t="s">
        <v>59</v>
      </c>
      <c r="Q52" s="12"/>
      <c r="R52" s="12"/>
      <c r="S52" s="14" t="n">
        <f aca="false">Tabella52791124791618202224262830323436384042444648505254565860626468707274767880828486[[#This Row],[Colonna1]]*$Q3</f>
        <v>16.4</v>
      </c>
      <c r="T52" s="14" t="n">
        <f aca="false">Tabella52791124791618202224262830323436384042444648505254565860626468707274767880828486[[#This Row],[Colonna2]]*$Q3</f>
        <v>26</v>
      </c>
      <c r="U52" s="14" t="n">
        <f aca="false">Tabella52791124791618202224262830323436384042444648505254565860626468707274767880828486[[#This Row],[Colonna3]]*$Q3</f>
        <v>24.4</v>
      </c>
      <c r="V52" s="14" t="n">
        <f aca="false">Tabella52791124791618202224262830323436384042444648505254565860626468707274767880828486[[#This Row],[Colonna4]]*$Q3</f>
        <v>26</v>
      </c>
      <c r="W52" s="14" t="n">
        <f aca="false">Tabella52791124791618202224262830323436384042444648505254565860626468707274767880828486[[#This Row],[Colonna5]]*$Q3</f>
        <v>18</v>
      </c>
      <c r="X52" s="14" t="n">
        <f aca="false">Tabella52791124791618202224262830323436384042444648505254565860626468707274767880828486[[#This Row],[Colonna6]]*$Q3</f>
        <v>10.4</v>
      </c>
      <c r="Y52" s="14" t="n">
        <f aca="false">Tabella52791124791618202224262830323436384042444648505254565860626468707274767880828486[[#This Row],[Colonna7]]*$Q3</f>
        <v>10.8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103</v>
      </c>
      <c r="H53" s="55" t="n">
        <f aca="false">SUM(H6:H52)</f>
        <v>174</v>
      </c>
      <c r="I53" s="55" t="n">
        <f aca="false">SUM(I6:I52)</f>
        <v>116</v>
      </c>
      <c r="J53" s="55" t="n">
        <f aca="false">SUM(J6:J52)</f>
        <v>141</v>
      </c>
      <c r="K53" s="55" t="n">
        <f aca="false">SUM(K6:K52)</f>
        <v>81</v>
      </c>
      <c r="L53" s="55" t="n">
        <f aca="false">SUM(L6:L52)</f>
        <v>48</v>
      </c>
      <c r="M53" s="55" t="n">
        <f aca="false">SUM(M6:M52)</f>
        <v>35</v>
      </c>
      <c r="P53" s="17" t="s">
        <v>60</v>
      </c>
      <c r="Q53" s="17"/>
      <c r="R53" s="17"/>
      <c r="S53" s="56" t="n">
        <f aca="false">Tabella52791124791618202224262830323436384042444648505254565860626468707274767880828486[[#This Row],[Colonna1]]*$Q3</f>
        <v>41.2</v>
      </c>
      <c r="T53" s="56" t="n">
        <f aca="false">Tabella52791124791618202224262830323436384042444648505254565860626468707274767880828486[[#This Row],[Colonna2]]*$Q3</f>
        <v>69.6</v>
      </c>
      <c r="U53" s="56" t="n">
        <f aca="false">Tabella52791124791618202224262830323436384042444648505254565860626468707274767880828486[[#This Row],[Colonna3]]*$Q3</f>
        <v>46.4</v>
      </c>
      <c r="V53" s="56" t="n">
        <f aca="false">Tabella52791124791618202224262830323436384042444648505254565860626468707274767880828486[[#This Row],[Colonna4]]*$Q3</f>
        <v>56.4</v>
      </c>
      <c r="W53" s="56" t="n">
        <f aca="false">Tabella52791124791618202224262830323436384042444648505254565860626468707274767880828486[[#This Row],[Colonna5]]*$Q3</f>
        <v>32.4</v>
      </c>
      <c r="X53" s="56" t="n">
        <f aca="false">Tabella52791124791618202224262830323436384042444648505254565860626468707274767880828486[[#This Row],[Colonna6]]*$Q3</f>
        <v>19.2</v>
      </c>
      <c r="Y53" s="56" t="n">
        <f aca="false">Tabella52791124791618202224262830323436384042444648505254565860626468707274767880828486[[#This Row],[Colonna7]]*$Q3</f>
        <v>14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1117</v>
      </c>
      <c r="H58" s="26" t="n">
        <v>1270</v>
      </c>
      <c r="I58" s="26" t="n">
        <v>448</v>
      </c>
      <c r="J58" s="26" t="n">
        <v>422</v>
      </c>
      <c r="K58" s="26" t="n">
        <v>320</v>
      </c>
      <c r="L58" s="26" t="n">
        <v>190</v>
      </c>
      <c r="M58" s="26" t="n">
        <v>123</v>
      </c>
      <c r="P58" s="23" t="s">
        <v>62</v>
      </c>
      <c r="Q58" s="23"/>
      <c r="R58" s="23"/>
      <c r="S58" s="57" t="n">
        <f aca="false">G58*$Q3</f>
        <v>446.8</v>
      </c>
      <c r="T58" s="57" t="n">
        <f aca="false">H58*$Q3</f>
        <v>508</v>
      </c>
      <c r="U58" s="57" t="n">
        <f aca="false">I58*$Q3</f>
        <v>179.2</v>
      </c>
      <c r="V58" s="57" t="n">
        <f aca="false">J58*$Q3</f>
        <v>168.8</v>
      </c>
      <c r="W58" s="57" t="n">
        <f aca="false">K58*$Q3</f>
        <v>128</v>
      </c>
      <c r="X58" s="57" t="n">
        <f aca="false">L58*$Q3</f>
        <v>76</v>
      </c>
      <c r="Y58" s="57" t="n">
        <f aca="false">M58*$Q3</f>
        <v>49.2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252</v>
      </c>
      <c r="H62" s="26" t="n">
        <v>280</v>
      </c>
      <c r="I62" s="26" t="n">
        <v>57</v>
      </c>
      <c r="J62" s="26" t="n">
        <v>32</v>
      </c>
      <c r="K62" s="26" t="n">
        <v>16</v>
      </c>
      <c r="L62" s="26" t="n">
        <v>34</v>
      </c>
      <c r="M62" s="26" t="n">
        <v>9</v>
      </c>
      <c r="P62" s="9" t="s">
        <v>66</v>
      </c>
      <c r="Q62" s="9"/>
      <c r="R62" s="9"/>
      <c r="S62" s="57" t="n">
        <f aca="false">G62*$Q3</f>
        <v>100.8</v>
      </c>
      <c r="T62" s="57" t="n">
        <f aca="false">H62*$Q3</f>
        <v>112</v>
      </c>
      <c r="U62" s="57" t="n">
        <f aca="false">I62*$Q3</f>
        <v>22.8</v>
      </c>
      <c r="V62" s="57" t="n">
        <f aca="false">J62*$Q3</f>
        <v>12.8</v>
      </c>
      <c r="W62" s="57" t="n">
        <f aca="false">K62*$Q3</f>
        <v>6.4</v>
      </c>
      <c r="X62" s="57" t="n">
        <f aca="false">L62*$Q3</f>
        <v>13.6</v>
      </c>
      <c r="Y62" s="57" t="n">
        <f aca="false">M62*$Q3</f>
        <v>3.6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8</v>
      </c>
      <c r="H63" s="26" t="n">
        <v>24</v>
      </c>
      <c r="I63" s="26" t="n">
        <v>2</v>
      </c>
      <c r="J63" s="26" t="n">
        <v>2</v>
      </c>
      <c r="K63" s="26" t="n">
        <v>3</v>
      </c>
      <c r="L63" s="26" t="n">
        <v>1</v>
      </c>
      <c r="M63" s="26" t="n">
        <v>3</v>
      </c>
      <c r="P63" s="9" t="s">
        <v>67</v>
      </c>
      <c r="Q63" s="9"/>
      <c r="R63" s="9"/>
      <c r="S63" s="57" t="n">
        <f aca="false">G63*$Q3</f>
        <v>3.2</v>
      </c>
      <c r="T63" s="57" t="n">
        <f aca="false">H63*$Q3</f>
        <v>9.6</v>
      </c>
      <c r="U63" s="57" t="n">
        <f aca="false">I63*$Q3</f>
        <v>0.8</v>
      </c>
      <c r="V63" s="57" t="n">
        <f aca="false">J63*$Q3</f>
        <v>0.8</v>
      </c>
      <c r="W63" s="57" t="n">
        <f aca="false">K63*$Q3</f>
        <v>1.2</v>
      </c>
      <c r="X63" s="57" t="n">
        <f aca="false">L63*$Q3</f>
        <v>0.4</v>
      </c>
      <c r="Y63" s="57" t="n">
        <f aca="false">M63*$Q3</f>
        <v>1.2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50</v>
      </c>
      <c r="H64" s="26" t="n">
        <v>28</v>
      </c>
      <c r="I64" s="26" t="n">
        <v>25</v>
      </c>
      <c r="J64" s="26" t="n">
        <v>12</v>
      </c>
      <c r="K64" s="26" t="n">
        <v>9</v>
      </c>
      <c r="L64" s="26" t="n">
        <v>6</v>
      </c>
      <c r="M64" s="26" t="n">
        <v>6</v>
      </c>
      <c r="P64" s="9" t="s">
        <v>68</v>
      </c>
      <c r="Q64" s="9"/>
      <c r="R64" s="9"/>
      <c r="S64" s="57" t="n">
        <f aca="false">G64*$Q3</f>
        <v>20</v>
      </c>
      <c r="T64" s="57" t="n">
        <f aca="false">H64*$Q3</f>
        <v>11.2</v>
      </c>
      <c r="U64" s="57" t="n">
        <f aca="false">I64*$Q3</f>
        <v>10</v>
      </c>
      <c r="V64" s="57" t="n">
        <f aca="false">J64*$Q3</f>
        <v>4.8</v>
      </c>
      <c r="W64" s="57" t="n">
        <f aca="false">K64*$Q3</f>
        <v>3.6</v>
      </c>
      <c r="X64" s="57" t="n">
        <f aca="false">L64*$Q3</f>
        <v>2.4</v>
      </c>
      <c r="Y64" s="57" t="n">
        <f aca="false">M64*$Q3</f>
        <v>2.4</v>
      </c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60</v>
      </c>
      <c r="H67" s="26" t="n">
        <v>26</v>
      </c>
      <c r="I67" s="26" t="n">
        <v>8</v>
      </c>
      <c r="J67" s="26" t="n">
        <v>11</v>
      </c>
      <c r="K67" s="26" t="n">
        <v>5</v>
      </c>
      <c r="L67" s="26" t="n">
        <v>4</v>
      </c>
      <c r="M67" s="26" t="n">
        <v>1</v>
      </c>
      <c r="P67" s="9" t="s">
        <v>71</v>
      </c>
      <c r="Q67" s="9"/>
      <c r="R67" s="9"/>
      <c r="S67" s="57" t="n">
        <f aca="false">G67*$Q3</f>
        <v>24</v>
      </c>
      <c r="T67" s="57" t="n">
        <f aca="false">H67*$Q3</f>
        <v>10.4</v>
      </c>
      <c r="U67" s="57" t="n">
        <f aca="false">I67*$Q3</f>
        <v>3.2</v>
      </c>
      <c r="V67" s="57" t="n">
        <f aca="false">J67*$Q3</f>
        <v>4.4</v>
      </c>
      <c r="W67" s="57" t="n">
        <f aca="false">K67*$Q3</f>
        <v>2</v>
      </c>
      <c r="X67" s="57" t="n">
        <f aca="false">L67*$Q3</f>
        <v>1.6</v>
      </c>
      <c r="Y67" s="57" t="n">
        <f aca="false">M67*$Q3</f>
        <v>0.4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7</v>
      </c>
      <c r="H68" s="30" t="n">
        <v>3</v>
      </c>
      <c r="I68" s="30" t="n">
        <v>2</v>
      </c>
      <c r="J68" s="30" t="n">
        <v>1</v>
      </c>
      <c r="K68" s="30" t="n">
        <v>2</v>
      </c>
      <c r="L68" s="30"/>
      <c r="M68" s="30" t="n">
        <v>1</v>
      </c>
      <c r="P68" s="9" t="s">
        <v>72</v>
      </c>
      <c r="Q68" s="9"/>
      <c r="R68" s="9"/>
      <c r="S68" s="57" t="n">
        <f aca="false">G68*$Q3</f>
        <v>2.8</v>
      </c>
      <c r="T68" s="57" t="n">
        <f aca="false">H68*$Q3</f>
        <v>1.2</v>
      </c>
      <c r="U68" s="57" t="n">
        <f aca="false">I68*$Q3</f>
        <v>0.8</v>
      </c>
      <c r="V68" s="57" t="n">
        <f aca="false">J68*$Q3</f>
        <v>0.4</v>
      </c>
      <c r="W68" s="57" t="n">
        <f aca="false">K68*$Q3</f>
        <v>0.8</v>
      </c>
      <c r="X68" s="57"/>
      <c r="Y68" s="57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33</v>
      </c>
      <c r="H69" s="30" t="n">
        <v>57</v>
      </c>
      <c r="I69" s="30" t="n">
        <v>43</v>
      </c>
      <c r="J69" s="30" t="n">
        <v>30</v>
      </c>
      <c r="K69" s="30" t="n">
        <v>53</v>
      </c>
      <c r="L69" s="30" t="n">
        <v>14</v>
      </c>
      <c r="M69" s="30" t="n">
        <v>18</v>
      </c>
      <c r="P69" s="9" t="s">
        <v>73</v>
      </c>
      <c r="Q69" s="9"/>
      <c r="R69" s="9"/>
      <c r="S69" s="57" t="n">
        <f aca="false">G69*$Q3</f>
        <v>13.2</v>
      </c>
      <c r="T69" s="57" t="n">
        <f aca="false">H69*$Q3</f>
        <v>22.8</v>
      </c>
      <c r="U69" s="57" t="n">
        <f aca="false">I69*$Q3</f>
        <v>17.2</v>
      </c>
      <c r="V69" s="57" t="n">
        <f aca="false">J69*$Q3</f>
        <v>12</v>
      </c>
      <c r="W69" s="57" t="n">
        <f aca="false">K69*$Q3</f>
        <v>21.2</v>
      </c>
      <c r="X69" s="57" t="n">
        <f aca="false">L69*$Q3</f>
        <v>5.6</v>
      </c>
      <c r="Y69" s="57" t="n">
        <f aca="false">M69*$Q3</f>
        <v>7.2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1527</v>
      </c>
      <c r="H70" s="60" t="n">
        <f aca="false">SUM(H58:H69)</f>
        <v>1688</v>
      </c>
      <c r="I70" s="60" t="n">
        <f aca="false">SUM(I58:I69)</f>
        <v>585</v>
      </c>
      <c r="J70" s="60" t="n">
        <f aca="false">SUM(J58:J69)</f>
        <v>510</v>
      </c>
      <c r="K70" s="12" t="n">
        <f aca="false">SUM(K58:K69)</f>
        <v>408</v>
      </c>
      <c r="L70" s="12" t="n">
        <f aca="false">SUM(L58:L69)</f>
        <v>249</v>
      </c>
      <c r="M70" s="12" t="n">
        <f aca="false">SUM(M58:M69)</f>
        <v>161</v>
      </c>
      <c r="P70" s="9" t="s">
        <v>60</v>
      </c>
      <c r="Q70" s="9"/>
      <c r="R70" s="9"/>
      <c r="S70" s="61" t="n">
        <f aca="false">G70*$Q3</f>
        <v>610.8</v>
      </c>
      <c r="T70" s="61" t="n">
        <f aca="false">H70*$Q3</f>
        <v>675.2</v>
      </c>
      <c r="U70" s="61" t="n">
        <f aca="false">I70*$Q3</f>
        <v>234</v>
      </c>
      <c r="V70" s="61" t="n">
        <f aca="false">J70*$Q3</f>
        <v>204</v>
      </c>
      <c r="W70" s="61" t="n">
        <f aca="false">K70*$Q3</f>
        <v>163.2</v>
      </c>
      <c r="X70" s="61" t="n">
        <f aca="false">L70*$Q3</f>
        <v>99.6</v>
      </c>
      <c r="Y70" s="61" t="n">
        <f aca="false">M70*$Q3</f>
        <v>64.4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AD105"/>
  <sheetViews>
    <sheetView showFormulas="false" showGridLines="true" showRowColHeaders="true" showZeros="true" rightToLeft="false" tabSelected="false" showOutlineSymbols="true" defaultGridColor="true" view="normal" topLeftCell="O34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B3" s="137"/>
      <c r="C3" s="137"/>
      <c r="G3" s="119" t="s">
        <v>0</v>
      </c>
      <c r="H3" s="3" t="s">
        <v>90</v>
      </c>
      <c r="I3" s="119" t="s">
        <v>2</v>
      </c>
      <c r="J3" s="4" t="n">
        <v>45180</v>
      </c>
      <c r="K3" s="5" t="n">
        <v>45186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45180</v>
      </c>
      <c r="W3" s="5" t="n">
        <v>45186</v>
      </c>
      <c r="X3" s="120" t="s">
        <v>3</v>
      </c>
      <c r="Y3" s="3" t="n">
        <v>2023</v>
      </c>
      <c r="Z3" s="137"/>
      <c r="AA3" s="137"/>
      <c r="AB3" s="137"/>
      <c r="AC3" s="137"/>
      <c r="AD3" s="137"/>
    </row>
    <row r="4" customFormat="false" ht="15" hidden="false" customHeight="false" outlineLevel="0" collapsed="false">
      <c r="B4" s="137"/>
      <c r="C4" s="137"/>
      <c r="Z4" s="137"/>
      <c r="AA4" s="137"/>
      <c r="AB4" s="137"/>
      <c r="AC4" s="137"/>
      <c r="AD4" s="137"/>
    </row>
    <row r="5" customFormat="false" ht="15" hidden="false" customHeight="false" outlineLevel="0" collapsed="false">
      <c r="B5" s="137"/>
      <c r="C5" s="137"/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  <c r="Z5" s="137"/>
      <c r="AA5" s="137"/>
      <c r="AB5" s="137"/>
      <c r="AC5" s="137"/>
      <c r="AD5" s="137"/>
    </row>
    <row r="6" customFormat="false" ht="15" hidden="false" customHeight="false" outlineLevel="0" collapsed="false">
      <c r="B6" s="137"/>
      <c r="C6" s="137"/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  <c r="Z6" s="137"/>
      <c r="AA6" s="137"/>
      <c r="AB6" s="137"/>
      <c r="AC6" s="137"/>
      <c r="AD6" s="137"/>
    </row>
    <row r="7" customFormat="false" ht="15" hidden="false" customHeight="false" outlineLevel="0" collapsed="false">
      <c r="B7" s="137"/>
      <c r="C7" s="137"/>
      <c r="D7" s="12" t="s">
        <v>14</v>
      </c>
      <c r="E7" s="12"/>
      <c r="F7" s="12"/>
      <c r="G7" s="13" t="n">
        <v>7</v>
      </c>
      <c r="H7" s="13" t="n">
        <v>6</v>
      </c>
      <c r="I7" s="13" t="n">
        <v>3</v>
      </c>
      <c r="J7" s="13" t="n">
        <v>1</v>
      </c>
      <c r="K7" s="13"/>
      <c r="L7" s="13" t="n">
        <v>1</v>
      </c>
      <c r="M7" s="13"/>
      <c r="P7" s="12" t="s">
        <v>14</v>
      </c>
      <c r="Q7" s="12"/>
      <c r="R7" s="12"/>
      <c r="S7" s="14" t="n">
        <f aca="false">Tabella5279112479161820222426283032343638404244464850525456586062646870727476788082848690[[#This Row],[Colonna1]]*$Q3</f>
        <v>2.8</v>
      </c>
      <c r="T7" s="14" t="n">
        <f aca="false">Tabella5279112479161820222426283032343638404244464850525456586062646870727476788082848690[[#This Row],[Colonna2]]*$Q3</f>
        <v>2.4</v>
      </c>
      <c r="U7" s="14" t="n">
        <f aca="false">Tabella5279112479161820222426283032343638404244464850525456586062646870727476788082848690[[#This Row],[Colonna3]]*$Q3</f>
        <v>1.2</v>
      </c>
      <c r="V7" s="14" t="n">
        <f aca="false">Tabella5279112479161820222426283032343638404244464850525456586062646870727476788082848690[[#This Row],[Colonna4]]*$Q3</f>
        <v>0.4</v>
      </c>
      <c r="W7" s="14"/>
      <c r="X7" s="14" t="n">
        <f aca="false">Tabella5279112479161820222426283032343638404244464850525456586062646870727476788082848690[[#This Row],[Colonna6]]*$Q3</f>
        <v>0.4</v>
      </c>
      <c r="Y7" s="14"/>
      <c r="Z7" s="137"/>
      <c r="AA7" s="137"/>
      <c r="AB7" s="137"/>
      <c r="AC7" s="137"/>
      <c r="AD7" s="137"/>
    </row>
    <row r="8" customFormat="false" ht="15" hidden="false" customHeight="false" outlineLevel="0" collapsed="false">
      <c r="B8" s="137"/>
      <c r="C8" s="137"/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  <c r="Z8" s="137"/>
      <c r="AA8" s="137"/>
      <c r="AB8" s="137"/>
      <c r="AC8" s="137"/>
      <c r="AD8" s="137"/>
    </row>
    <row r="9" customFormat="false" ht="15" hidden="false" customHeight="false" outlineLevel="0" collapsed="false">
      <c r="B9" s="137"/>
      <c r="C9" s="137"/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  <c r="Z9" s="137"/>
      <c r="AA9" s="137"/>
      <c r="AB9" s="137"/>
      <c r="AC9" s="137"/>
      <c r="AD9" s="137"/>
    </row>
    <row r="10" customFormat="false" ht="15" hidden="false" customHeight="false" outlineLevel="0" collapsed="false">
      <c r="B10" s="137"/>
      <c r="C10" s="137"/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  <c r="Z10" s="137"/>
      <c r="AA10" s="137"/>
      <c r="AB10" s="137"/>
      <c r="AC10" s="137"/>
      <c r="AD10" s="137"/>
    </row>
    <row r="11" customFormat="false" ht="15" hidden="false" customHeight="false" outlineLevel="0" collapsed="false">
      <c r="B11" s="137"/>
      <c r="C11" s="137"/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  <c r="Z11" s="137"/>
      <c r="AA11" s="137"/>
      <c r="AB11" s="137"/>
      <c r="AC11" s="137"/>
      <c r="AD11" s="137"/>
    </row>
    <row r="12" customFormat="false" ht="15" hidden="false" customHeight="false" outlineLevel="0" collapsed="false">
      <c r="B12" s="137"/>
      <c r="C12" s="137"/>
      <c r="D12" s="12" t="s">
        <v>19</v>
      </c>
      <c r="E12" s="12"/>
      <c r="F12" s="12"/>
      <c r="G12" s="13" t="n">
        <v>29</v>
      </c>
      <c r="H12" s="13" t="n">
        <v>23</v>
      </c>
      <c r="I12" s="13" t="n">
        <v>22</v>
      </c>
      <c r="J12" s="13" t="n">
        <v>13</v>
      </c>
      <c r="K12" s="13" t="n">
        <v>18</v>
      </c>
      <c r="L12" s="13" t="n">
        <v>9</v>
      </c>
      <c r="M12" s="13" t="n">
        <v>6</v>
      </c>
      <c r="P12" s="12" t="s">
        <v>19</v>
      </c>
      <c r="Q12" s="12"/>
      <c r="R12" s="12"/>
      <c r="S12" s="14" t="n">
        <f aca="false">Tabella5279112479161820222426283032343638404244464850525456586062646870727476788082848690[[#This Row],[Colonna1]]*$Q3</f>
        <v>11.6</v>
      </c>
      <c r="T12" s="14" t="n">
        <f aca="false">Tabella5279112479161820222426283032343638404244464850525456586062646870727476788082848690[[#This Row],[Colonna2]]*$Q3</f>
        <v>9.2</v>
      </c>
      <c r="U12" s="14" t="n">
        <f aca="false">Tabella5279112479161820222426283032343638404244464850525456586062646870727476788082848690[[#This Row],[Colonna3]]*$Q3</f>
        <v>8.8</v>
      </c>
      <c r="V12" s="14" t="n">
        <f aca="false">Tabella5279112479161820222426283032343638404244464850525456586062646870727476788082848690[[#This Row],[Colonna4]]*$Q3</f>
        <v>5.2</v>
      </c>
      <c r="W12" s="14" t="n">
        <f aca="false">Tabella5279112479161820222426283032343638404244464850525456586062646870727476788082848690[[#This Row],[Colonna5]]*$Q3</f>
        <v>7.2</v>
      </c>
      <c r="X12" s="14" t="n">
        <f aca="false">Tabella5279112479161820222426283032343638404244464850525456586062646870727476788082848690[[#This Row],[Colonna6]]*$Q3</f>
        <v>3.6</v>
      </c>
      <c r="Y12" s="14" t="n">
        <f aca="false">Tabella5279112479161820222426283032343638404244464850525456586062646870727476788082848690[[#This Row],[Colonna7]]*$Q3</f>
        <v>2.4</v>
      </c>
      <c r="Z12" s="137"/>
      <c r="AA12" s="137"/>
      <c r="AB12" s="137"/>
      <c r="AC12" s="137"/>
      <c r="AD12" s="137"/>
    </row>
    <row r="13" customFormat="false" ht="15" hidden="false" customHeight="false" outlineLevel="0" collapsed="false">
      <c r="B13" s="137"/>
      <c r="C13" s="137"/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  <c r="Z13" s="137"/>
      <c r="AA13" s="137"/>
      <c r="AB13" s="137"/>
      <c r="AC13" s="137"/>
      <c r="AD13" s="137"/>
    </row>
    <row r="14" customFormat="false" ht="15" hidden="false" customHeight="false" outlineLevel="0" collapsed="false">
      <c r="B14" s="137"/>
      <c r="C14" s="137"/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  <c r="Z14" s="137"/>
      <c r="AA14" s="137"/>
      <c r="AB14" s="137"/>
      <c r="AC14" s="137"/>
      <c r="AD14" s="137"/>
    </row>
    <row r="15" customFormat="false" ht="15" hidden="false" customHeight="false" outlineLevel="0" collapsed="false">
      <c r="B15" s="137"/>
      <c r="C15" s="137"/>
      <c r="D15" s="12" t="s">
        <v>22</v>
      </c>
      <c r="E15" s="12"/>
      <c r="F15" s="12"/>
      <c r="G15" s="13" t="n">
        <v>10</v>
      </c>
      <c r="H15" s="13" t="n">
        <v>13</v>
      </c>
      <c r="I15" s="13" t="n">
        <v>6</v>
      </c>
      <c r="J15" s="13"/>
      <c r="K15" s="13" t="n">
        <v>2</v>
      </c>
      <c r="L15" s="13" t="n">
        <v>4</v>
      </c>
      <c r="M15" s="13"/>
      <c r="P15" s="12" t="s">
        <v>22</v>
      </c>
      <c r="Q15" s="12"/>
      <c r="R15" s="12"/>
      <c r="S15" s="14" t="n">
        <f aca="false">Tabella5279112479161820222426283032343638404244464850525456586062646870727476788082848690[[#This Row],[Colonna1]]*$Q3</f>
        <v>4</v>
      </c>
      <c r="T15" s="14" t="n">
        <f aca="false">Tabella5279112479161820222426283032343638404244464850525456586062646870727476788082848690[[#This Row],[Colonna2]]*$Q3</f>
        <v>5.2</v>
      </c>
      <c r="U15" s="14" t="n">
        <f aca="false">Tabella5279112479161820222426283032343638404244464850525456586062646870727476788082848690[[#This Row],[Colonna3]]*$Q3</f>
        <v>2.4</v>
      </c>
      <c r="V15" s="14"/>
      <c r="W15" s="14" t="n">
        <f aca="false">Tabella5279112479161820222426283032343638404244464850525456586062646870727476788082848690[[#This Row],[Colonna5]]*$Q3</f>
        <v>0.8</v>
      </c>
      <c r="X15" s="14" t="n">
        <f aca="false">Tabella5279112479161820222426283032343638404244464850525456586062646870727476788082848690[[#This Row],[Colonna6]]*$Q3</f>
        <v>1.6</v>
      </c>
      <c r="Y15" s="14"/>
      <c r="Z15" s="137"/>
      <c r="AA15" s="137"/>
      <c r="AB15" s="137"/>
      <c r="AC15" s="137"/>
      <c r="AD15" s="137"/>
    </row>
    <row r="16" customFormat="false" ht="15" hidden="false" customHeight="false" outlineLevel="0" collapsed="false">
      <c r="B16" s="137"/>
      <c r="C16" s="137"/>
      <c r="D16" s="12" t="s">
        <v>23</v>
      </c>
      <c r="E16" s="12"/>
      <c r="F16" s="12"/>
      <c r="G16" s="13"/>
      <c r="H16" s="13"/>
      <c r="I16" s="13" t="n">
        <v>1</v>
      </c>
      <c r="J16" s="13" t="n">
        <v>1</v>
      </c>
      <c r="K16" s="13"/>
      <c r="L16" s="13"/>
      <c r="M16" s="13"/>
      <c r="P16" s="12" t="s">
        <v>23</v>
      </c>
      <c r="Q16" s="12"/>
      <c r="R16" s="12"/>
      <c r="S16" s="14"/>
      <c r="T16" s="14"/>
      <c r="U16" s="14" t="n">
        <f aca="false">Tabella5279112479161820222426283032343638404244464850525456586062646870727476788082848690[[#This Row],[Colonna3]]*$Q3</f>
        <v>0.4</v>
      </c>
      <c r="V16" s="14" t="n">
        <f aca="false">Tabella5279112479161820222426283032343638404244464850525456586062646870727476788082848690[[#This Row],[Colonna4]]*$Q3</f>
        <v>0.4</v>
      </c>
      <c r="W16" s="14"/>
      <c r="X16" s="14"/>
      <c r="Y16" s="14"/>
      <c r="Z16" s="137"/>
      <c r="AA16" s="137"/>
      <c r="AB16" s="137"/>
      <c r="AC16" s="137"/>
      <c r="AD16" s="137"/>
    </row>
    <row r="17" customFormat="false" ht="15" hidden="false" customHeight="false" outlineLevel="0" collapsed="false">
      <c r="B17" s="137"/>
      <c r="C17" s="137"/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  <c r="Z17" s="137"/>
      <c r="AA17" s="137"/>
      <c r="AB17" s="137"/>
      <c r="AC17" s="137"/>
      <c r="AD17" s="137"/>
    </row>
    <row r="18" customFormat="false" ht="15" hidden="false" customHeight="false" outlineLevel="0" collapsed="false">
      <c r="B18" s="137"/>
      <c r="C18" s="137"/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  <c r="Z18" s="137"/>
      <c r="AA18" s="137"/>
      <c r="AB18" s="137"/>
      <c r="AC18" s="137"/>
      <c r="AD18" s="137"/>
    </row>
    <row r="19" customFormat="false" ht="15" hidden="false" customHeight="false" outlineLevel="0" collapsed="false">
      <c r="B19" s="137"/>
      <c r="C19" s="137"/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  <c r="Z19" s="137"/>
      <c r="AA19" s="137"/>
      <c r="AB19" s="137"/>
      <c r="AC19" s="137"/>
      <c r="AD19" s="137"/>
    </row>
    <row r="20" customFormat="false" ht="15" hidden="false" customHeight="false" outlineLevel="0" collapsed="false">
      <c r="B20" s="137"/>
      <c r="C20" s="137"/>
      <c r="D20" s="9" t="s">
        <v>27</v>
      </c>
      <c r="E20" s="9"/>
      <c r="F20" s="9"/>
      <c r="G20" s="13" t="n">
        <v>6</v>
      </c>
      <c r="H20" s="13" t="n">
        <v>2</v>
      </c>
      <c r="I20" s="13" t="n">
        <v>3</v>
      </c>
      <c r="J20" s="13" t="n">
        <v>8</v>
      </c>
      <c r="K20" s="13" t="n">
        <v>5</v>
      </c>
      <c r="L20" s="13" t="n">
        <v>1</v>
      </c>
      <c r="M20" s="13" t="n">
        <v>1</v>
      </c>
      <c r="P20" s="9" t="s">
        <v>27</v>
      </c>
      <c r="Q20" s="9"/>
      <c r="R20" s="9"/>
      <c r="S20" s="14" t="n">
        <f aca="false">Tabella5279112479161820222426283032343638404244464850525456586062646870727476788082848690[[#This Row],[Colonna1]]*$Q3</f>
        <v>2.4</v>
      </c>
      <c r="T20" s="14" t="n">
        <f aca="false">Tabella5279112479161820222426283032343638404244464850525456586062646870727476788082848690[[#This Row],[Colonna2]]*$Q3</f>
        <v>0.8</v>
      </c>
      <c r="U20" s="14" t="n">
        <f aca="false">Tabella5279112479161820222426283032343638404244464850525456586062646870727476788082848690[[#This Row],[Colonna3]]*$Q3</f>
        <v>1.2</v>
      </c>
      <c r="V20" s="14" t="n">
        <f aca="false">Tabella5279112479161820222426283032343638404244464850525456586062646870727476788082848690[[#This Row],[Colonna4]]*$Q3</f>
        <v>3.2</v>
      </c>
      <c r="W20" s="14" t="n">
        <f aca="false">Tabella5279112479161820222426283032343638404244464850525456586062646870727476788082848690[[#This Row],[Colonna5]]*$Q3</f>
        <v>2</v>
      </c>
      <c r="X20" s="14" t="n">
        <f aca="false">Tabella5279112479161820222426283032343638404244464850525456586062646870727476788082848690[[#This Row],[Colonna6]]*$Q3</f>
        <v>0.4</v>
      </c>
      <c r="Y20" s="14" t="n">
        <f aca="false">Tabella5279112479161820222426283032343638404244464850525456586062646870727476788082848690[[#This Row],[Colonna7]]*$Q3</f>
        <v>0.4</v>
      </c>
      <c r="Z20" s="137"/>
      <c r="AA20" s="137"/>
      <c r="AB20" s="137"/>
      <c r="AC20" s="137"/>
      <c r="AD20" s="137"/>
    </row>
    <row r="21" customFormat="false" ht="15" hidden="false" customHeight="false" outlineLevel="0" collapsed="false">
      <c r="B21" s="137"/>
      <c r="C21" s="137"/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  <c r="Z21" s="137"/>
      <c r="AA21" s="137"/>
      <c r="AB21" s="137"/>
      <c r="AC21" s="137"/>
      <c r="AD21" s="137"/>
    </row>
    <row r="22" customFormat="false" ht="15" hidden="false" customHeight="false" outlineLevel="0" collapsed="false">
      <c r="B22" s="137"/>
      <c r="C22" s="137"/>
      <c r="D22" s="12" t="s">
        <v>29</v>
      </c>
      <c r="E22" s="12"/>
      <c r="F22" s="12"/>
      <c r="G22" s="13"/>
      <c r="H22" s="13"/>
      <c r="I22" s="13"/>
      <c r="J22" s="13" t="n">
        <v>1</v>
      </c>
      <c r="K22" s="13" t="n">
        <v>1</v>
      </c>
      <c r="L22" s="13" t="n">
        <v>2</v>
      </c>
      <c r="M22" s="13"/>
      <c r="P22" s="12" t="s">
        <v>29</v>
      </c>
      <c r="Q22" s="12"/>
      <c r="R22" s="12"/>
      <c r="S22" s="14" t="n">
        <v>0</v>
      </c>
      <c r="T22" s="14" t="n">
        <v>0</v>
      </c>
      <c r="U22" s="14" t="n">
        <v>0</v>
      </c>
      <c r="V22" s="14" t="n">
        <f aca="false">Tabella5279112479161820222426283032343638404244464850525456586062646870727476788082848690[[#This Row],[Colonna4]]*$Q3</f>
        <v>0.4</v>
      </c>
      <c r="W22" s="14" t="n">
        <f aca="false">Tabella5279112479161820222426283032343638404244464850525456586062646870727476788082848690[[#This Row],[Colonna5]]*$Q3</f>
        <v>0.4</v>
      </c>
      <c r="X22" s="14" t="n">
        <f aca="false">Tabella5279112479161820222426283032343638404244464850525456586062646870727476788082848690[[#This Row],[Colonna6]]*$Q3</f>
        <v>0.8</v>
      </c>
      <c r="Y22" s="14" t="n">
        <v>0</v>
      </c>
      <c r="Z22" s="137"/>
      <c r="AA22" s="137"/>
      <c r="AB22" s="137"/>
      <c r="AC22" s="137"/>
      <c r="AD22" s="137"/>
    </row>
    <row r="23" customFormat="false" ht="15" hidden="false" customHeight="false" outlineLevel="0" collapsed="false">
      <c r="B23" s="137"/>
      <c r="C23" s="137"/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  <c r="Z23" s="137"/>
      <c r="AA23" s="137"/>
      <c r="AB23" s="137"/>
      <c r="AC23" s="137"/>
      <c r="AD23" s="137"/>
    </row>
    <row r="24" customFormat="false" ht="15" hidden="false" customHeight="false" outlineLevel="0" collapsed="false">
      <c r="B24" s="137"/>
      <c r="C24" s="137"/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  <c r="Z24" s="137"/>
      <c r="AA24" s="137"/>
      <c r="AB24" s="137"/>
      <c r="AC24" s="137"/>
      <c r="AD24" s="137"/>
    </row>
    <row r="25" customFormat="false" ht="15" hidden="false" customHeight="false" outlineLevel="0" collapsed="false">
      <c r="B25" s="137"/>
      <c r="C25" s="137"/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  <c r="Z25" s="137"/>
      <c r="AA25" s="137"/>
      <c r="AB25" s="137"/>
      <c r="AC25" s="137"/>
      <c r="AD25" s="137"/>
    </row>
    <row r="26" customFormat="false" ht="15" hidden="false" customHeight="false" outlineLevel="0" collapsed="false">
      <c r="B26" s="137"/>
      <c r="C26" s="137"/>
      <c r="D26" s="12" t="s">
        <v>33</v>
      </c>
      <c r="E26" s="12"/>
      <c r="F26" s="12"/>
      <c r="G26" s="13"/>
      <c r="H26" s="13" t="n">
        <v>1</v>
      </c>
      <c r="I26" s="13"/>
      <c r="J26" s="13"/>
      <c r="K26" s="13"/>
      <c r="L26" s="13" t="n">
        <v>1</v>
      </c>
      <c r="M26" s="13"/>
      <c r="P26" s="12" t="s">
        <v>33</v>
      </c>
      <c r="Q26" s="12"/>
      <c r="R26" s="12"/>
      <c r="S26" s="14"/>
      <c r="T26" s="14" t="n">
        <f aca="false">Tabella5279112479161820222426283032343638404244464850525456586062646870727476788082848690[[#This Row],[Colonna2]]*$Q3</f>
        <v>0.4</v>
      </c>
      <c r="U26" s="14"/>
      <c r="V26" s="14"/>
      <c r="W26" s="14"/>
      <c r="X26" s="14" t="n">
        <f aca="false">Tabella5279112479161820222426283032343638404244464850525456586062646870727476788082848690[[#This Row],[Colonna6]]*$Q3</f>
        <v>0.4</v>
      </c>
      <c r="Y26" s="14"/>
      <c r="Z26" s="137"/>
      <c r="AA26" s="137"/>
      <c r="AB26" s="137"/>
      <c r="AC26" s="137"/>
      <c r="AD26" s="137"/>
    </row>
    <row r="27" customFormat="false" ht="15" hidden="false" customHeight="false" outlineLevel="0" collapsed="false">
      <c r="B27" s="137"/>
      <c r="C27" s="137"/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  <c r="Z27" s="137"/>
      <c r="AA27" s="137"/>
      <c r="AB27" s="137"/>
      <c r="AC27" s="137"/>
      <c r="AD27" s="137"/>
    </row>
    <row r="28" customFormat="false" ht="15" hidden="false" customHeight="false" outlineLevel="0" collapsed="false">
      <c r="B28" s="137"/>
      <c r="C28" s="137"/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  <c r="Z28" s="137"/>
      <c r="AA28" s="137"/>
      <c r="AB28" s="137"/>
      <c r="AC28" s="137"/>
      <c r="AD28" s="137"/>
    </row>
    <row r="29" customFormat="false" ht="15" hidden="false" customHeight="false" outlineLevel="0" collapsed="false">
      <c r="B29" s="137"/>
      <c r="C29" s="137"/>
      <c r="D29" s="12" t="s">
        <v>36</v>
      </c>
      <c r="E29" s="12"/>
      <c r="F29" s="12"/>
      <c r="G29" s="13" t="n">
        <v>7</v>
      </c>
      <c r="H29" s="13" t="n">
        <v>17</v>
      </c>
      <c r="I29" s="13" t="n">
        <v>18</v>
      </c>
      <c r="J29" s="13" t="n">
        <v>5</v>
      </c>
      <c r="K29" s="13" t="n">
        <v>6</v>
      </c>
      <c r="L29" s="13" t="n">
        <v>2</v>
      </c>
      <c r="M29" s="13" t="n">
        <v>3</v>
      </c>
      <c r="P29" s="12" t="s">
        <v>36</v>
      </c>
      <c r="Q29" s="12"/>
      <c r="R29" s="12"/>
      <c r="S29" s="14" t="n">
        <f aca="false">Tabella5279112479161820222426283032343638404244464850525456586062646870727476788082848690[[#This Row],[Colonna1]]*$Q3</f>
        <v>2.8</v>
      </c>
      <c r="T29" s="14" t="n">
        <f aca="false">Tabella5279112479161820222426283032343638404244464850525456586062646870727476788082848690[[#This Row],[Colonna2]]*$Q3</f>
        <v>6.8</v>
      </c>
      <c r="U29" s="14" t="n">
        <f aca="false">Tabella5279112479161820222426283032343638404244464850525456586062646870727476788082848690[[#This Row],[Colonna3]]*$Q3</f>
        <v>7.2</v>
      </c>
      <c r="V29" s="14" t="n">
        <f aca="false">Tabella5279112479161820222426283032343638404244464850525456586062646870727476788082848690[[#This Row],[Colonna4]]*$Q3</f>
        <v>2</v>
      </c>
      <c r="W29" s="14" t="n">
        <f aca="false">Tabella5279112479161820222426283032343638404244464850525456586062646870727476788082848690[[#This Row],[Colonna5]]*$Q3</f>
        <v>2.4</v>
      </c>
      <c r="X29" s="14" t="n">
        <f aca="false">Tabella5279112479161820222426283032343638404244464850525456586062646870727476788082848690[[#This Row],[Colonna6]]*$Q3</f>
        <v>0.8</v>
      </c>
      <c r="Y29" s="14" t="n">
        <f aca="false">Tabella5279112479161820222426283032343638404244464850525456586062646870727476788082848690[[#This Row],[Colonna7]]*$Q3</f>
        <v>1.2</v>
      </c>
      <c r="Z29" s="137"/>
      <c r="AA29" s="137"/>
      <c r="AB29" s="137"/>
      <c r="AC29" s="137"/>
      <c r="AD29" s="137"/>
    </row>
    <row r="30" customFormat="false" ht="15" hidden="false" customHeight="false" outlineLevel="0" collapsed="false">
      <c r="B30" s="137"/>
      <c r="C30" s="137"/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  <c r="Z30" s="137"/>
      <c r="AA30" s="137"/>
      <c r="AB30" s="137"/>
      <c r="AC30" s="137"/>
      <c r="AD30" s="137"/>
    </row>
    <row r="31" customFormat="false" ht="15" hidden="false" customHeight="false" outlineLevel="0" collapsed="false">
      <c r="B31" s="137"/>
      <c r="C31" s="137"/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  <c r="Z31" s="137"/>
      <c r="AA31" s="137"/>
      <c r="AB31" s="137"/>
      <c r="AC31" s="137"/>
      <c r="AD31" s="137"/>
    </row>
    <row r="32" customFormat="false" ht="15" hidden="false" customHeight="false" outlineLevel="0" collapsed="false">
      <c r="B32" s="137"/>
      <c r="C32" s="137"/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  <c r="Z32" s="137"/>
      <c r="AA32" s="137"/>
      <c r="AB32" s="137"/>
      <c r="AC32" s="137"/>
      <c r="AD32" s="137"/>
    </row>
    <row r="33" customFormat="false" ht="15" hidden="false" customHeight="false" outlineLevel="0" collapsed="false">
      <c r="B33" s="137"/>
      <c r="C33" s="137"/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  <c r="Z33" s="137"/>
      <c r="AA33" s="137"/>
      <c r="AB33" s="137"/>
      <c r="AC33" s="137"/>
      <c r="AD33" s="137"/>
    </row>
    <row r="34" customFormat="false" ht="15" hidden="false" customHeight="false" outlineLevel="0" collapsed="false">
      <c r="B34" s="137"/>
      <c r="C34" s="137"/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  <c r="Z34" s="137"/>
      <c r="AA34" s="137"/>
      <c r="AB34" s="137"/>
      <c r="AC34" s="137"/>
      <c r="AD34" s="137"/>
    </row>
    <row r="35" customFormat="false" ht="15" hidden="false" customHeight="false" outlineLevel="0" collapsed="false">
      <c r="B35" s="137"/>
      <c r="C35" s="137"/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  <c r="Z35" s="137"/>
      <c r="AA35" s="137"/>
      <c r="AB35" s="137"/>
      <c r="AC35" s="137"/>
      <c r="AD35" s="137"/>
    </row>
    <row r="36" customFormat="false" ht="15" hidden="false" customHeight="false" outlineLevel="0" collapsed="false">
      <c r="B36" s="137"/>
      <c r="C36" s="137"/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  <c r="Z36" s="137"/>
      <c r="AA36" s="137"/>
      <c r="AB36" s="137"/>
      <c r="AC36" s="137"/>
      <c r="AD36" s="137"/>
    </row>
    <row r="37" customFormat="false" ht="15" hidden="false" customHeight="false" outlineLevel="0" collapsed="false">
      <c r="B37" s="137"/>
      <c r="C37" s="137"/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  <c r="Z37" s="137"/>
      <c r="AA37" s="137"/>
      <c r="AB37" s="137"/>
      <c r="AC37" s="137"/>
      <c r="AD37" s="137"/>
    </row>
    <row r="38" customFormat="false" ht="15" hidden="false" customHeight="false" outlineLevel="0" collapsed="false">
      <c r="B38" s="137"/>
      <c r="C38" s="137"/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  <c r="Z38" s="137"/>
      <c r="AA38" s="137"/>
      <c r="AB38" s="137"/>
      <c r="AC38" s="137"/>
      <c r="AD38" s="137"/>
    </row>
    <row r="39" customFormat="false" ht="15" hidden="false" customHeight="false" outlineLevel="0" collapsed="false">
      <c r="B39" s="137"/>
      <c r="C39" s="137"/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  <c r="Z39" s="137"/>
      <c r="AA39" s="137"/>
      <c r="AB39" s="137"/>
      <c r="AC39" s="137"/>
      <c r="AD39" s="137"/>
    </row>
    <row r="40" customFormat="false" ht="15" hidden="false" customHeight="false" outlineLevel="0" collapsed="false">
      <c r="B40" s="137"/>
      <c r="C40" s="137"/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  <c r="Z40" s="137"/>
      <c r="AA40" s="137"/>
      <c r="AB40" s="137"/>
      <c r="AC40" s="137"/>
      <c r="AD40" s="137"/>
    </row>
    <row r="41" customFormat="false" ht="15" hidden="false" customHeight="false" outlineLevel="0" collapsed="false">
      <c r="B41" s="137"/>
      <c r="C41" s="137"/>
      <c r="D41" s="18" t="s">
        <v>48</v>
      </c>
      <c r="E41" s="18"/>
      <c r="F41" s="18"/>
      <c r="G41" s="13" t="n">
        <v>1</v>
      </c>
      <c r="H41" s="13" t="n">
        <v>1</v>
      </c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Tabella5279112479161820222426283032343638404244464850525456586062646870727476788082848690[[#This Row],[Colonna1]]*$Q3</f>
        <v>0.4</v>
      </c>
      <c r="T41" s="14" t="n">
        <f aca="false">Tabella5279112479161820222426283032343638404244464850525456586062646870727476788082848690[[#This Row],[Colonna2]]*$Q3</f>
        <v>0.4</v>
      </c>
      <c r="U41" s="14"/>
      <c r="V41" s="14"/>
      <c r="W41" s="14"/>
      <c r="X41" s="14"/>
      <c r="Y41" s="14"/>
      <c r="Z41" s="137"/>
      <c r="AA41" s="137"/>
      <c r="AB41" s="137"/>
      <c r="AC41" s="137"/>
      <c r="AD41" s="137"/>
    </row>
    <row r="42" customFormat="false" ht="15" hidden="false" customHeight="false" outlineLevel="0" collapsed="false">
      <c r="B42" s="137"/>
      <c r="C42" s="137"/>
      <c r="D42" s="9" t="s">
        <v>49</v>
      </c>
      <c r="E42" s="9"/>
      <c r="F42" s="9"/>
      <c r="G42" s="13"/>
      <c r="H42" s="13" t="n">
        <v>1</v>
      </c>
      <c r="I42" s="13" t="n">
        <v>1</v>
      </c>
      <c r="J42" s="13" t="n">
        <v>1</v>
      </c>
      <c r="K42" s="13"/>
      <c r="L42" s="13"/>
      <c r="M42" s="13"/>
      <c r="P42" s="9" t="s">
        <v>49</v>
      </c>
      <c r="Q42" s="9"/>
      <c r="R42" s="9"/>
      <c r="S42" s="14"/>
      <c r="T42" s="14" t="n">
        <f aca="false">Tabella5279112479161820222426283032343638404244464850525456586062646870727476788082848690[[#This Row],[Colonna2]]*$Q3</f>
        <v>0.4</v>
      </c>
      <c r="U42" s="14" t="n">
        <f aca="false">Tabella5279112479161820222426283032343638404244464850525456586062646870727476788082848690[[#This Row],[Colonna3]]*$Q3</f>
        <v>0.4</v>
      </c>
      <c r="V42" s="14" t="n">
        <f aca="false">Tabella5279112479161820222426283032343638404244464850525456586062646870727476788082848690[[#This Row],[Colonna4]]*$Q3</f>
        <v>0.4</v>
      </c>
      <c r="W42" s="14"/>
      <c r="X42" s="14"/>
      <c r="Y42" s="14"/>
      <c r="Z42" s="137"/>
      <c r="AA42" s="137"/>
      <c r="AB42" s="137"/>
      <c r="AC42" s="137"/>
      <c r="AD42" s="137"/>
    </row>
    <row r="43" customFormat="false" ht="15" hidden="false" customHeight="false" outlineLevel="0" collapsed="false">
      <c r="B43" s="137"/>
      <c r="C43" s="137"/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  <c r="Z43" s="137"/>
      <c r="AA43" s="137"/>
      <c r="AB43" s="137"/>
      <c r="AC43" s="137"/>
      <c r="AD43" s="137"/>
    </row>
    <row r="44" customFormat="false" ht="15" hidden="false" customHeight="false" outlineLevel="0" collapsed="false">
      <c r="B44" s="137"/>
      <c r="C44" s="137"/>
      <c r="D44" s="12" t="s">
        <v>51</v>
      </c>
      <c r="E44" s="12"/>
      <c r="F44" s="12"/>
      <c r="G44" s="13" t="n">
        <v>6</v>
      </c>
      <c r="H44" s="13" t="n">
        <v>6</v>
      </c>
      <c r="I44" s="13" t="n">
        <v>17</v>
      </c>
      <c r="J44" s="13" t="n">
        <v>4</v>
      </c>
      <c r="K44" s="13" t="n">
        <v>2</v>
      </c>
      <c r="L44" s="13" t="n">
        <v>3</v>
      </c>
      <c r="M44" s="13" t="n">
        <v>4</v>
      </c>
      <c r="P44" s="12" t="s">
        <v>51</v>
      </c>
      <c r="Q44" s="12"/>
      <c r="R44" s="12"/>
      <c r="S44" s="14" t="n">
        <f aca="false">Tabella5279112479161820222426283032343638404244464850525456586062646870727476788082848690[[#This Row],[Colonna1]]*$Q3</f>
        <v>2.4</v>
      </c>
      <c r="T44" s="14" t="n">
        <f aca="false">Tabella5279112479161820222426283032343638404244464850525456586062646870727476788082848690[[#This Row],[Colonna2]]*$Q3</f>
        <v>2.4</v>
      </c>
      <c r="U44" s="14" t="n">
        <f aca="false">Tabella5279112479161820222426283032343638404244464850525456586062646870727476788082848690[[#This Row],[Colonna3]]*$Q3</f>
        <v>6.8</v>
      </c>
      <c r="V44" s="14" t="n">
        <f aca="false">Tabella5279112479161820222426283032343638404244464850525456586062646870727476788082848690[[#This Row],[Colonna4]]*$Q3</f>
        <v>1.6</v>
      </c>
      <c r="W44" s="14" t="n">
        <f aca="false">Tabella5279112479161820222426283032343638404244464850525456586062646870727476788082848690[[#This Row],[Colonna5]]*$Q3</f>
        <v>0.8</v>
      </c>
      <c r="X44" s="14" t="n">
        <f aca="false">Tabella5279112479161820222426283032343638404244464850525456586062646870727476788082848690[[#This Row],[Colonna6]]*$Q3</f>
        <v>1.2</v>
      </c>
      <c r="Y44" s="14" t="n">
        <f aca="false">Tabella5279112479161820222426283032343638404244464850525456586062646870727476788082848690[[#This Row],[Colonna7]]*$Q3</f>
        <v>1.6</v>
      </c>
      <c r="Z44" s="137"/>
      <c r="AA44" s="137"/>
      <c r="AB44" s="137"/>
      <c r="AC44" s="137"/>
      <c r="AD44" s="137"/>
    </row>
    <row r="45" customFormat="false" ht="15" hidden="false" customHeight="false" outlineLevel="0" collapsed="false">
      <c r="B45" s="137"/>
      <c r="C45" s="137"/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  <c r="Z45" s="137"/>
      <c r="AA45" s="137"/>
      <c r="AB45" s="137"/>
      <c r="AC45" s="137"/>
      <c r="AD45" s="137"/>
    </row>
    <row r="46" customFormat="false" ht="15" hidden="false" customHeight="false" outlineLevel="0" collapsed="false">
      <c r="B46" s="137"/>
      <c r="C46" s="137"/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  <c r="Z46" s="137"/>
      <c r="AA46" s="137"/>
      <c r="AB46" s="137"/>
      <c r="AC46" s="137"/>
      <c r="AD46" s="137"/>
    </row>
    <row r="47" customFormat="false" ht="15" hidden="false" customHeight="false" outlineLevel="0" collapsed="false">
      <c r="B47" s="137"/>
      <c r="C47" s="137"/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  <c r="Z47" s="137"/>
      <c r="AA47" s="137"/>
      <c r="AB47" s="137"/>
      <c r="AC47" s="137"/>
      <c r="AD47" s="137"/>
    </row>
    <row r="48" customFormat="false" ht="15" hidden="false" customHeight="false" outlineLevel="0" collapsed="false">
      <c r="B48" s="137"/>
      <c r="C48" s="137"/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  <c r="Z48" s="137"/>
      <c r="AA48" s="137"/>
      <c r="AB48" s="137"/>
      <c r="AC48" s="137"/>
      <c r="AD48" s="137"/>
    </row>
    <row r="49" customFormat="false" ht="15" hidden="false" customHeight="false" outlineLevel="0" collapsed="false">
      <c r="B49" s="137"/>
      <c r="C49" s="137"/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  <c r="Z49" s="137"/>
      <c r="AA49" s="137"/>
      <c r="AB49" s="137"/>
      <c r="AC49" s="137"/>
      <c r="AD49" s="137"/>
    </row>
    <row r="50" customFormat="false" ht="15" hidden="false" customHeight="false" outlineLevel="0" collapsed="false">
      <c r="B50" s="137"/>
      <c r="C50" s="137"/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  <c r="Z50" s="137"/>
      <c r="AA50" s="137"/>
      <c r="AB50" s="137"/>
      <c r="AC50" s="137"/>
      <c r="AD50" s="137"/>
    </row>
    <row r="51" customFormat="false" ht="15" hidden="false" customHeight="false" outlineLevel="0" collapsed="false">
      <c r="B51" s="137"/>
      <c r="C51" s="137"/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  <c r="Z51" s="137"/>
      <c r="AA51" s="137"/>
      <c r="AB51" s="137"/>
      <c r="AC51" s="137"/>
      <c r="AD51" s="137"/>
    </row>
    <row r="52" customFormat="false" ht="15" hidden="false" customHeight="false" outlineLevel="0" collapsed="false">
      <c r="B52" s="137"/>
      <c r="C52" s="137"/>
      <c r="D52" s="12" t="s">
        <v>59</v>
      </c>
      <c r="E52" s="12"/>
      <c r="F52" s="12"/>
      <c r="G52" s="13" t="n">
        <v>168</v>
      </c>
      <c r="H52" s="13" t="n">
        <v>105</v>
      </c>
      <c r="I52" s="13" t="n">
        <v>46</v>
      </c>
      <c r="J52" s="13" t="n">
        <v>33</v>
      </c>
      <c r="K52" s="13" t="n">
        <v>103</v>
      </c>
      <c r="L52" s="13" t="n">
        <v>32</v>
      </c>
      <c r="M52" s="13" t="n">
        <v>14</v>
      </c>
      <c r="P52" s="12" t="s">
        <v>59</v>
      </c>
      <c r="Q52" s="12"/>
      <c r="R52" s="12"/>
      <c r="S52" s="14" t="n">
        <f aca="false">Tabella5279112479161820222426283032343638404244464850525456586062646870727476788082848690[[#This Row],[Colonna1]]*$Q3</f>
        <v>67.2</v>
      </c>
      <c r="T52" s="14" t="n">
        <f aca="false">Tabella5279112479161820222426283032343638404244464850525456586062646870727476788082848690[[#This Row],[Colonna2]]*$Q3</f>
        <v>42</v>
      </c>
      <c r="U52" s="14" t="n">
        <f aca="false">Tabella5279112479161820222426283032343638404244464850525456586062646870727476788082848690[[#This Row],[Colonna3]]*$Q3</f>
        <v>18.4</v>
      </c>
      <c r="V52" s="14" t="n">
        <f aca="false">Tabella5279112479161820222426283032343638404244464850525456586062646870727476788082848690[[#This Row],[Colonna4]]*$Q3</f>
        <v>13.2</v>
      </c>
      <c r="W52" s="14" t="n">
        <f aca="false">Tabella5279112479161820222426283032343638404244464850525456586062646870727476788082848690[[#This Row],[Colonna5]]*$Q3</f>
        <v>41.2</v>
      </c>
      <c r="X52" s="14" t="n">
        <f aca="false">Tabella5279112479161820222426283032343638404244464850525456586062646870727476788082848690[[#This Row],[Colonna6]]*$Q3</f>
        <v>12.8</v>
      </c>
      <c r="Y52" s="14" t="n">
        <f aca="false">Tabella5279112479161820222426283032343638404244464850525456586062646870727476788082848690[[#This Row],[Colonna7]]*$Q3</f>
        <v>5.6</v>
      </c>
      <c r="Z52" s="137"/>
      <c r="AA52" s="137"/>
      <c r="AB52" s="137"/>
      <c r="AC52" s="137"/>
      <c r="AD52" s="137"/>
    </row>
    <row r="53" customFormat="false" ht="15" hidden="false" customHeight="false" outlineLevel="0" collapsed="false">
      <c r="B53" s="137"/>
      <c r="C53" s="137"/>
      <c r="D53" s="17" t="s">
        <v>60</v>
      </c>
      <c r="E53" s="17"/>
      <c r="F53" s="17"/>
      <c r="G53" s="55" t="n">
        <f aca="false">SUM(G6:G52)</f>
        <v>234</v>
      </c>
      <c r="H53" s="55" t="n">
        <f aca="false">SUM(H6:H52)</f>
        <v>175</v>
      </c>
      <c r="I53" s="55" t="n">
        <f aca="false">SUM(I6:I52)</f>
        <v>117</v>
      </c>
      <c r="J53" s="55" t="n">
        <f aca="false">SUM(J6:J52)</f>
        <v>67</v>
      </c>
      <c r="K53" s="55" t="n">
        <f aca="false">SUM(K6:K52)</f>
        <v>137</v>
      </c>
      <c r="L53" s="55" t="n">
        <f aca="false">SUM(L6:L52)</f>
        <v>55</v>
      </c>
      <c r="M53" s="55" t="n">
        <f aca="false">SUM(M6:M52)</f>
        <v>28</v>
      </c>
      <c r="P53" s="17" t="s">
        <v>60</v>
      </c>
      <c r="Q53" s="17"/>
      <c r="R53" s="17"/>
      <c r="S53" s="56" t="n">
        <f aca="false">Tabella5279112479161820222426283032343638404244464850525456586062646870727476788082848690[[#This Row],[Colonna1]]*$Q3</f>
        <v>93.6</v>
      </c>
      <c r="T53" s="56" t="n">
        <f aca="false">Tabella5279112479161820222426283032343638404244464850525456586062646870727476788082848690[[#This Row],[Colonna2]]*$Q3</f>
        <v>70</v>
      </c>
      <c r="U53" s="56" t="n">
        <f aca="false">Tabella5279112479161820222426283032343638404244464850525456586062646870727476788082848690[[#This Row],[Colonna3]]*$Q3</f>
        <v>46.8</v>
      </c>
      <c r="V53" s="56" t="n">
        <f aca="false">Tabella5279112479161820222426283032343638404244464850525456586062646870727476788082848690[[#This Row],[Colonna4]]*$Q3</f>
        <v>26.8</v>
      </c>
      <c r="W53" s="56" t="n">
        <f aca="false">Tabella5279112479161820222426283032343638404244464850525456586062646870727476788082848690[[#This Row],[Colonna5]]*$Q3</f>
        <v>54.8</v>
      </c>
      <c r="X53" s="56" t="n">
        <f aca="false">Tabella5279112479161820222426283032343638404244464850525456586062646870727476788082848690[[#This Row],[Colonna6]]*$Q3</f>
        <v>22</v>
      </c>
      <c r="Y53" s="56" t="n">
        <f aca="false">Tabella5279112479161820222426283032343638404244464850525456586062646870727476788082848690[[#This Row],[Colonna7]]*$Q3</f>
        <v>11.2</v>
      </c>
      <c r="Z53" s="137"/>
      <c r="AA53" s="137"/>
      <c r="AB53" s="137"/>
      <c r="AC53" s="137"/>
      <c r="AD53" s="137"/>
    </row>
    <row r="54" customFormat="false" ht="15" hidden="false" customHeight="false" outlineLevel="0" collapsed="false">
      <c r="B54" s="137"/>
      <c r="C54" s="137"/>
      <c r="Z54" s="137"/>
      <c r="AA54" s="137"/>
      <c r="AB54" s="137"/>
      <c r="AC54" s="137"/>
      <c r="AD54" s="137"/>
    </row>
    <row r="55" customFormat="false" ht="15" hidden="false" customHeight="false" outlineLevel="0" collapsed="false">
      <c r="B55" s="137"/>
      <c r="C55" s="137"/>
      <c r="Z55" s="137"/>
      <c r="AA55" s="137"/>
      <c r="AB55" s="137"/>
      <c r="AC55" s="137"/>
      <c r="AD55" s="137"/>
    </row>
    <row r="56" customFormat="false" ht="15" hidden="false" customHeight="false" outlineLevel="0" collapsed="false">
      <c r="B56" s="137"/>
      <c r="C56" s="137"/>
      <c r="Z56" s="137"/>
      <c r="AA56" s="137"/>
      <c r="AB56" s="137"/>
      <c r="AC56" s="137"/>
      <c r="AD56" s="137"/>
    </row>
    <row r="57" customFormat="false" ht="15" hidden="false" customHeight="false" outlineLevel="0" collapsed="false">
      <c r="B57" s="137"/>
      <c r="C57" s="137"/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  <c r="Z57" s="137"/>
      <c r="AA57" s="137"/>
      <c r="AB57" s="137"/>
      <c r="AC57" s="137"/>
      <c r="AD57" s="137"/>
    </row>
    <row r="58" customFormat="false" ht="15" hidden="false" customHeight="false" outlineLevel="0" collapsed="false">
      <c r="B58" s="137"/>
      <c r="C58" s="137"/>
      <c r="D58" s="23" t="s">
        <v>62</v>
      </c>
      <c r="E58" s="23"/>
      <c r="F58" s="23"/>
      <c r="G58" s="37" t="n">
        <v>429</v>
      </c>
      <c r="H58" s="26" t="n">
        <v>578</v>
      </c>
      <c r="I58" s="26" t="n">
        <v>296</v>
      </c>
      <c r="J58" s="26" t="n">
        <v>210</v>
      </c>
      <c r="K58" s="26" t="n">
        <v>160</v>
      </c>
      <c r="L58" s="26" t="n">
        <v>197</v>
      </c>
      <c r="M58" s="26" t="n">
        <v>216</v>
      </c>
      <c r="P58" s="23" t="s">
        <v>62</v>
      </c>
      <c r="Q58" s="23"/>
      <c r="R58" s="23"/>
      <c r="S58" s="57" t="n">
        <f aca="false">G58*$Q3</f>
        <v>171.6</v>
      </c>
      <c r="T58" s="57" t="n">
        <f aca="false">H58*$Q3</f>
        <v>231.2</v>
      </c>
      <c r="U58" s="57" t="n">
        <f aca="false">I58*$Q3</f>
        <v>118.4</v>
      </c>
      <c r="V58" s="57" t="n">
        <f aca="false">J58*$Q3</f>
        <v>84</v>
      </c>
      <c r="W58" s="57" t="n">
        <f aca="false">K58*$Q3</f>
        <v>64</v>
      </c>
      <c r="X58" s="57" t="n">
        <f aca="false">L58*$Q3</f>
        <v>78.8</v>
      </c>
      <c r="Y58" s="57" t="n">
        <f aca="false">M58*$Q3</f>
        <v>86.4</v>
      </c>
      <c r="Z58" s="137"/>
      <c r="AA58" s="137"/>
      <c r="AB58" s="137"/>
      <c r="AC58" s="137"/>
      <c r="AD58" s="137"/>
    </row>
    <row r="59" customFormat="false" ht="15" hidden="false" customHeight="false" outlineLevel="0" collapsed="false">
      <c r="B59" s="137"/>
      <c r="C59" s="137"/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  <c r="Z59" s="137"/>
      <c r="AA59" s="137"/>
      <c r="AB59" s="137"/>
      <c r="AC59" s="137"/>
      <c r="AD59" s="137"/>
    </row>
    <row r="60" customFormat="false" ht="15" hidden="false" customHeight="false" outlineLevel="0" collapsed="false">
      <c r="B60" s="137"/>
      <c r="C60" s="137"/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  <c r="Z60" s="137"/>
      <c r="AA60" s="137"/>
      <c r="AB60" s="137"/>
      <c r="AC60" s="137"/>
      <c r="AD60" s="137"/>
    </row>
    <row r="61" customFormat="false" ht="15" hidden="false" customHeight="false" outlineLevel="0" collapsed="false">
      <c r="B61" s="137"/>
      <c r="C61" s="137"/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  <c r="Z61" s="137"/>
      <c r="AA61" s="137"/>
      <c r="AB61" s="137"/>
      <c r="AC61" s="137"/>
      <c r="AD61" s="137"/>
    </row>
    <row r="62" customFormat="false" ht="15" hidden="false" customHeight="false" outlineLevel="0" collapsed="false">
      <c r="B62" s="137"/>
      <c r="C62" s="137"/>
      <c r="D62" s="9" t="s">
        <v>66</v>
      </c>
      <c r="E62" s="9"/>
      <c r="F62" s="9"/>
      <c r="G62" s="37" t="n">
        <v>68</v>
      </c>
      <c r="H62" s="26" t="n">
        <v>142</v>
      </c>
      <c r="I62" s="26" t="n">
        <v>87</v>
      </c>
      <c r="J62" s="26" t="n">
        <v>36</v>
      </c>
      <c r="K62" s="26" t="n">
        <v>27</v>
      </c>
      <c r="L62" s="26" t="n">
        <v>19</v>
      </c>
      <c r="M62" s="26" t="n">
        <v>19</v>
      </c>
      <c r="P62" s="9" t="s">
        <v>66</v>
      </c>
      <c r="Q62" s="9"/>
      <c r="R62" s="9"/>
      <c r="S62" s="57" t="n">
        <f aca="false">G62*$Q3</f>
        <v>27.2</v>
      </c>
      <c r="T62" s="57" t="n">
        <f aca="false">H62*$Q3</f>
        <v>56.8</v>
      </c>
      <c r="U62" s="57" t="n">
        <f aca="false">I62*$Q3</f>
        <v>34.8</v>
      </c>
      <c r="V62" s="57" t="n">
        <f aca="false">J62*$Q3</f>
        <v>14.4</v>
      </c>
      <c r="W62" s="57" t="n">
        <f aca="false">K62*$Q3</f>
        <v>10.8</v>
      </c>
      <c r="X62" s="57" t="n">
        <f aca="false">L62*$Q3</f>
        <v>7.6</v>
      </c>
      <c r="Y62" s="57" t="n">
        <f aca="false">M62*$Q3</f>
        <v>7.6</v>
      </c>
      <c r="Z62" s="137"/>
      <c r="AA62" s="137"/>
      <c r="AB62" s="137"/>
      <c r="AC62" s="137"/>
      <c r="AD62" s="137"/>
    </row>
    <row r="63" customFormat="false" ht="15" hidden="false" customHeight="false" outlineLevel="0" collapsed="false">
      <c r="B63" s="137"/>
      <c r="C63" s="137"/>
      <c r="D63" s="9" t="s">
        <v>67</v>
      </c>
      <c r="E63" s="9"/>
      <c r="F63" s="9"/>
      <c r="G63" s="37" t="n">
        <v>14</v>
      </c>
      <c r="H63" s="26" t="n">
        <v>13</v>
      </c>
      <c r="I63" s="26" t="n">
        <v>14</v>
      </c>
      <c r="J63" s="26" t="n">
        <v>9</v>
      </c>
      <c r="K63" s="26" t="n">
        <v>3</v>
      </c>
      <c r="L63" s="26" t="n">
        <v>5</v>
      </c>
      <c r="M63" s="26" t="n">
        <v>9</v>
      </c>
      <c r="P63" s="9" t="s">
        <v>67</v>
      </c>
      <c r="Q63" s="9"/>
      <c r="R63" s="9"/>
      <c r="S63" s="57" t="n">
        <f aca="false">G63*$Q3</f>
        <v>5.6</v>
      </c>
      <c r="T63" s="57" t="n">
        <f aca="false">H63*$Q3</f>
        <v>5.2</v>
      </c>
      <c r="U63" s="57" t="n">
        <f aca="false">I63*$Q3</f>
        <v>5.6</v>
      </c>
      <c r="V63" s="57" t="n">
        <f aca="false">J63*$Q3</f>
        <v>3.6</v>
      </c>
      <c r="W63" s="57" t="n">
        <f aca="false">K63*$Q3</f>
        <v>1.2</v>
      </c>
      <c r="X63" s="57" t="n">
        <f aca="false">L63*$Q3</f>
        <v>2</v>
      </c>
      <c r="Y63" s="57" t="n">
        <f aca="false">M63*$Q3</f>
        <v>3.6</v>
      </c>
      <c r="Z63" s="137"/>
      <c r="AA63" s="137"/>
      <c r="AB63" s="137"/>
      <c r="AC63" s="137"/>
      <c r="AD63" s="137"/>
    </row>
    <row r="64" customFormat="false" ht="15" hidden="false" customHeight="false" outlineLevel="0" collapsed="false">
      <c r="B64" s="137"/>
      <c r="C64" s="137"/>
      <c r="D64" s="9" t="s">
        <v>68</v>
      </c>
      <c r="E64" s="9"/>
      <c r="F64" s="9"/>
      <c r="G64" s="37" t="n">
        <v>47</v>
      </c>
      <c r="H64" s="26" t="n">
        <v>24</v>
      </c>
      <c r="I64" s="26" t="n">
        <v>10</v>
      </c>
      <c r="J64" s="26" t="n">
        <v>7</v>
      </c>
      <c r="K64" s="26" t="n">
        <v>18</v>
      </c>
      <c r="L64" s="26" t="n">
        <v>6</v>
      </c>
      <c r="M64" s="26" t="n">
        <v>4</v>
      </c>
      <c r="P64" s="9" t="s">
        <v>68</v>
      </c>
      <c r="Q64" s="9"/>
      <c r="R64" s="9"/>
      <c r="S64" s="57" t="n">
        <f aca="false">G64*$Q3</f>
        <v>18.8</v>
      </c>
      <c r="T64" s="57" t="n">
        <f aca="false">H64*$Q3</f>
        <v>9.6</v>
      </c>
      <c r="U64" s="57" t="n">
        <f aca="false">I64*$Q3</f>
        <v>4</v>
      </c>
      <c r="V64" s="57" t="n">
        <f aca="false">J64*$Q3</f>
        <v>2.8</v>
      </c>
      <c r="W64" s="57" t="n">
        <f aca="false">K64*$Q3</f>
        <v>7.2</v>
      </c>
      <c r="X64" s="57" t="n">
        <f aca="false">L64*$Q3</f>
        <v>2.4</v>
      </c>
      <c r="Y64" s="57" t="n">
        <f aca="false">M64*$Q3</f>
        <v>1.6</v>
      </c>
      <c r="Z64" s="137"/>
      <c r="AA64" s="137"/>
      <c r="AB64" s="137"/>
      <c r="AC64" s="137"/>
      <c r="AD64" s="137"/>
    </row>
    <row r="65" customFormat="false" ht="15" hidden="false" customHeight="false" outlineLevel="0" collapsed="false">
      <c r="B65" s="137"/>
      <c r="C65" s="137"/>
      <c r="D65" s="9" t="s">
        <v>69</v>
      </c>
      <c r="E65" s="9"/>
      <c r="F65" s="9"/>
      <c r="G65" s="37"/>
      <c r="H65" s="26"/>
      <c r="I65" s="26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  <c r="Z65" s="137"/>
      <c r="AA65" s="137"/>
      <c r="AB65" s="137"/>
      <c r="AC65" s="137"/>
      <c r="AD65" s="137"/>
    </row>
    <row r="66" customFormat="false" ht="15" hidden="false" customHeight="false" outlineLevel="0" collapsed="false">
      <c r="B66" s="137"/>
      <c r="C66" s="137"/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  <c r="Z66" s="137"/>
      <c r="AA66" s="137"/>
      <c r="AB66" s="137"/>
      <c r="AC66" s="137"/>
      <c r="AD66" s="137"/>
    </row>
    <row r="67" customFormat="false" ht="15" hidden="false" customHeight="false" outlineLevel="0" collapsed="false">
      <c r="B67" s="137"/>
      <c r="C67" s="137"/>
      <c r="D67" s="9" t="s">
        <v>71</v>
      </c>
      <c r="E67" s="9"/>
      <c r="F67" s="9"/>
      <c r="G67" s="37" t="n">
        <v>23</v>
      </c>
      <c r="H67" s="26" t="n">
        <v>28</v>
      </c>
      <c r="I67" s="26" t="n">
        <v>16</v>
      </c>
      <c r="J67" s="26" t="n">
        <v>21</v>
      </c>
      <c r="K67" s="26" t="n">
        <v>15</v>
      </c>
      <c r="L67" s="26" t="n">
        <v>15</v>
      </c>
      <c r="M67" s="26" t="n">
        <v>14</v>
      </c>
      <c r="P67" s="9" t="s">
        <v>71</v>
      </c>
      <c r="Q67" s="9"/>
      <c r="R67" s="9"/>
      <c r="S67" s="57" t="n">
        <f aca="false">G67*$Q3</f>
        <v>9.2</v>
      </c>
      <c r="T67" s="57" t="n">
        <f aca="false">H67*$Q3</f>
        <v>11.2</v>
      </c>
      <c r="U67" s="57" t="n">
        <f aca="false">I67*$Q3</f>
        <v>6.4</v>
      </c>
      <c r="V67" s="57" t="n">
        <f aca="false">J67*$Q3</f>
        <v>8.4</v>
      </c>
      <c r="W67" s="57" t="n">
        <f aca="false">K67*$Q3</f>
        <v>6</v>
      </c>
      <c r="X67" s="57" t="n">
        <f aca="false">L67*$Q3</f>
        <v>6</v>
      </c>
      <c r="Y67" s="57" t="n">
        <f aca="false">M67*$Q3</f>
        <v>5.6</v>
      </c>
      <c r="Z67" s="137"/>
      <c r="AA67" s="137"/>
      <c r="AB67" s="137"/>
      <c r="AC67" s="137"/>
      <c r="AD67" s="137"/>
    </row>
    <row r="68" customFormat="false" ht="15" hidden="false" customHeight="false" outlineLevel="0" collapsed="false">
      <c r="B68" s="137"/>
      <c r="C68" s="137"/>
      <c r="D68" s="9" t="s">
        <v>72</v>
      </c>
      <c r="E68" s="9"/>
      <c r="F68" s="9"/>
      <c r="G68" s="58" t="n">
        <v>3</v>
      </c>
      <c r="H68" s="30" t="n">
        <v>4</v>
      </c>
      <c r="I68" s="30" t="n">
        <v>7</v>
      </c>
      <c r="J68" s="30" t="n">
        <v>2</v>
      </c>
      <c r="K68" s="30" t="n">
        <v>3</v>
      </c>
      <c r="L68" s="30" t="n">
        <v>1</v>
      </c>
      <c r="M68" s="30" t="n">
        <v>1</v>
      </c>
      <c r="P68" s="9" t="s">
        <v>72</v>
      </c>
      <c r="Q68" s="9"/>
      <c r="R68" s="9"/>
      <c r="S68" s="57" t="n">
        <f aca="false">G68*$Q3</f>
        <v>1.2</v>
      </c>
      <c r="T68" s="57" t="n">
        <f aca="false">H68*$Q3</f>
        <v>1.6</v>
      </c>
      <c r="U68" s="57" t="n">
        <f aca="false">I68*$Q3</f>
        <v>2.8</v>
      </c>
      <c r="V68" s="57" t="n">
        <f aca="false">J68*$Q3</f>
        <v>0.8</v>
      </c>
      <c r="W68" s="57" t="n">
        <f aca="false">K68*$Q3</f>
        <v>1.2</v>
      </c>
      <c r="X68" s="57"/>
      <c r="Y68" s="57" t="n">
        <f aca="false">M68*$Q3</f>
        <v>0.4</v>
      </c>
      <c r="Z68" s="137"/>
      <c r="AA68" s="137"/>
      <c r="AB68" s="137"/>
      <c r="AC68" s="137"/>
      <c r="AD68" s="137"/>
    </row>
    <row r="69" customFormat="false" ht="15" hidden="false" customHeight="false" outlineLevel="0" collapsed="false">
      <c r="B69" s="137"/>
      <c r="C69" s="137"/>
      <c r="D69" s="9" t="s">
        <v>73</v>
      </c>
      <c r="E69" s="9"/>
      <c r="F69" s="9"/>
      <c r="G69" s="58" t="n">
        <v>100</v>
      </c>
      <c r="H69" s="30" t="n">
        <v>180</v>
      </c>
      <c r="I69" s="30" t="n">
        <v>71</v>
      </c>
      <c r="J69" s="30" t="n">
        <v>19</v>
      </c>
      <c r="K69" s="30" t="n">
        <v>4</v>
      </c>
      <c r="L69" s="30" t="n">
        <v>9</v>
      </c>
      <c r="M69" s="30" t="n">
        <v>4</v>
      </c>
      <c r="P69" s="9" t="s">
        <v>73</v>
      </c>
      <c r="Q69" s="9"/>
      <c r="R69" s="9"/>
      <c r="S69" s="57" t="n">
        <f aca="false">G69*$Q3</f>
        <v>40</v>
      </c>
      <c r="T69" s="57" t="n">
        <f aca="false">H69*$Q3</f>
        <v>72</v>
      </c>
      <c r="U69" s="57" t="n">
        <f aca="false">I69*$Q3</f>
        <v>28.4</v>
      </c>
      <c r="V69" s="57" t="n">
        <f aca="false">J69*$Q3</f>
        <v>7.6</v>
      </c>
      <c r="W69" s="57" t="n">
        <f aca="false">K69*$Q3</f>
        <v>1.6</v>
      </c>
      <c r="X69" s="57" t="n">
        <f aca="false">L69*$Q3</f>
        <v>3.6</v>
      </c>
      <c r="Y69" s="57" t="n">
        <f aca="false">M69*$Q3</f>
        <v>1.6</v>
      </c>
      <c r="Z69" s="137"/>
      <c r="AA69" s="137"/>
      <c r="AB69" s="137"/>
      <c r="AC69" s="137"/>
      <c r="AD69" s="137"/>
    </row>
    <row r="70" customFormat="false" ht="15" hidden="false" customHeight="false" outlineLevel="0" collapsed="false">
      <c r="B70" s="137"/>
      <c r="C70" s="137"/>
      <c r="D70" s="9" t="s">
        <v>60</v>
      </c>
      <c r="E70" s="9"/>
      <c r="F70" s="9"/>
      <c r="G70" s="60" t="n">
        <f aca="false">SUM(G58:G69)</f>
        <v>684</v>
      </c>
      <c r="H70" s="60" t="n">
        <f aca="false">SUM(H58:H69)</f>
        <v>969</v>
      </c>
      <c r="I70" s="60" t="n">
        <f aca="false">SUM(I58:I69)</f>
        <v>501</v>
      </c>
      <c r="J70" s="60" t="n">
        <f aca="false">SUM(J58:J69)</f>
        <v>304</v>
      </c>
      <c r="K70" s="12" t="n">
        <f aca="false">SUM(K58:K69)</f>
        <v>230</v>
      </c>
      <c r="L70" s="12" t="n">
        <f aca="false">SUM(L58:L69)</f>
        <v>252</v>
      </c>
      <c r="M70" s="12" t="n">
        <f aca="false">SUM(M58:M69)</f>
        <v>267</v>
      </c>
      <c r="P70" s="9" t="s">
        <v>60</v>
      </c>
      <c r="Q70" s="9"/>
      <c r="R70" s="9"/>
      <c r="S70" s="61" t="n">
        <f aca="false">G70*$Q3</f>
        <v>273.6</v>
      </c>
      <c r="T70" s="61" t="n">
        <f aca="false">H70*$Q3</f>
        <v>387.6</v>
      </c>
      <c r="U70" s="61" t="n">
        <f aca="false">I70*$Q3</f>
        <v>200.4</v>
      </c>
      <c r="V70" s="61" t="n">
        <f aca="false">J70*$Q3</f>
        <v>121.6</v>
      </c>
      <c r="W70" s="61" t="n">
        <f aca="false">K70*$Q3</f>
        <v>92</v>
      </c>
      <c r="X70" s="61" t="n">
        <f aca="false">L70*$Q3</f>
        <v>100.8</v>
      </c>
      <c r="Y70" s="61" t="n">
        <f aca="false">M70*$Q3</f>
        <v>106.8</v>
      </c>
      <c r="Z70" s="137"/>
      <c r="AA70" s="137"/>
      <c r="AB70" s="137"/>
      <c r="AC70" s="137"/>
      <c r="AD70" s="137"/>
    </row>
    <row r="71" customFormat="false" ht="15" hidden="false" customHeight="false" outlineLevel="0" collapsed="false">
      <c r="B71" s="137"/>
      <c r="C71" s="137"/>
      <c r="Z71" s="137"/>
      <c r="AA71" s="137"/>
      <c r="AB71" s="137"/>
      <c r="AC71" s="137"/>
      <c r="AD71" s="137"/>
    </row>
    <row r="72" customFormat="false" ht="15" hidden="false" customHeight="false" outlineLevel="0" collapsed="false">
      <c r="B72" s="137"/>
      <c r="C72" s="137"/>
      <c r="Z72" s="137"/>
      <c r="AA72" s="137"/>
      <c r="AB72" s="137"/>
      <c r="AC72" s="137"/>
      <c r="AD72" s="137"/>
    </row>
    <row r="73" customFormat="false" ht="15" hidden="false" customHeight="false" outlineLevel="0" collapsed="false">
      <c r="B73" s="137"/>
      <c r="C73" s="137"/>
      <c r="Z73" s="137"/>
      <c r="AA73" s="137"/>
      <c r="AB73" s="137"/>
      <c r="AC73" s="137"/>
      <c r="AD73" s="137"/>
    </row>
    <row r="74" customFormat="false" ht="15" hidden="false" customHeight="false" outlineLevel="0" collapsed="false">
      <c r="B74" s="137"/>
      <c r="C74" s="137"/>
      <c r="Z74" s="137"/>
      <c r="AA74" s="137"/>
      <c r="AB74" s="137"/>
      <c r="AC74" s="137"/>
      <c r="AD74" s="137"/>
    </row>
    <row r="75" customFormat="false" ht="15" hidden="false" customHeight="false" outlineLevel="0" collapsed="false">
      <c r="B75" s="137"/>
      <c r="C75" s="137"/>
      <c r="Z75" s="137"/>
      <c r="AA75" s="137"/>
      <c r="AB75" s="137"/>
      <c r="AC75" s="137"/>
      <c r="AD75" s="137"/>
    </row>
    <row r="76" customFormat="false" ht="15" hidden="false" customHeight="false" outlineLevel="0" collapsed="false">
      <c r="B76" s="137"/>
      <c r="C76" s="137"/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  <c r="Z76" s="137"/>
      <c r="AA76" s="137"/>
      <c r="AB76" s="137"/>
      <c r="AC76" s="137"/>
      <c r="AD76" s="137"/>
    </row>
    <row r="77" customFormat="false" ht="15" hidden="false" customHeight="false" outlineLevel="0" collapsed="false">
      <c r="B77" s="137"/>
      <c r="C77" s="137"/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  <c r="Z77" s="137"/>
      <c r="AA77" s="137"/>
      <c r="AB77" s="137"/>
      <c r="AC77" s="137"/>
      <c r="AD77" s="137"/>
    </row>
    <row r="78" customFormat="false" ht="15" hidden="false" customHeight="false" outlineLevel="0" collapsed="false">
      <c r="B78" s="137"/>
      <c r="C78" s="137"/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  <c r="Z78" s="137"/>
      <c r="AA78" s="137"/>
      <c r="AB78" s="137"/>
      <c r="AC78" s="137"/>
      <c r="AD78" s="137"/>
    </row>
    <row r="79" customFormat="false" ht="15" hidden="false" customHeight="false" outlineLevel="0" collapsed="false">
      <c r="B79" s="137"/>
      <c r="C79" s="137"/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  <c r="Z79" s="137"/>
      <c r="AA79" s="137"/>
      <c r="AB79" s="137"/>
      <c r="AC79" s="137"/>
      <c r="AD79" s="137"/>
    </row>
    <row r="80" customFormat="false" ht="15" hidden="false" customHeight="false" outlineLevel="0" collapsed="false">
      <c r="B80" s="137"/>
      <c r="C80" s="137"/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  <c r="Z80" s="137"/>
      <c r="AA80" s="137"/>
      <c r="AB80" s="137"/>
      <c r="AC80" s="137"/>
      <c r="AD80" s="137"/>
    </row>
    <row r="81" customFormat="false" ht="15" hidden="false" customHeight="false" outlineLevel="0" collapsed="false">
      <c r="B81" s="137"/>
      <c r="C81" s="137"/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  <c r="Z81" s="137"/>
      <c r="AA81" s="137"/>
      <c r="AB81" s="137"/>
      <c r="AC81" s="137"/>
      <c r="AD81" s="137"/>
    </row>
    <row r="82" customFormat="false" ht="15" hidden="false" customHeight="false" outlineLevel="0" collapsed="false">
      <c r="B82" s="137"/>
      <c r="C82" s="137"/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  <c r="Z82" s="137"/>
      <c r="AA82" s="137"/>
      <c r="AB82" s="137"/>
      <c r="AC82" s="137"/>
      <c r="AD82" s="137"/>
    </row>
    <row r="83" customFormat="false" ht="15" hidden="false" customHeight="false" outlineLevel="0" collapsed="false">
      <c r="B83" s="137"/>
      <c r="C83" s="137"/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  <c r="Z83" s="137"/>
      <c r="AA83" s="137"/>
      <c r="AB83" s="137"/>
      <c r="AC83" s="137"/>
      <c r="AD83" s="137"/>
    </row>
    <row r="84" customFormat="false" ht="15" hidden="false" customHeight="false" outlineLevel="0" collapsed="false"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</row>
    <row r="85" customFormat="false" ht="15" hidden="false" customHeight="false" outlineLevel="0" collapsed="false"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</row>
    <row r="86" customFormat="false" ht="15" hidden="false" customHeight="false" outlineLevel="0" collapsed="false"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</row>
    <row r="87" customFormat="false" ht="15" hidden="false" customHeight="false" outlineLevel="0" collapsed="false"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</row>
    <row r="88" customFormat="false" ht="15" hidden="false" customHeight="false" outlineLevel="0" collapsed="false"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</row>
    <row r="89" customFormat="false" ht="15" hidden="false" customHeight="false" outlineLevel="0" collapsed="false"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</row>
    <row r="90" customFormat="false" ht="15" hidden="false" customHeight="false" outlineLevel="0" collapsed="false"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</row>
    <row r="91" customFormat="false" ht="15" hidden="false" customHeight="false" outlineLevel="0" collapsed="false"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</row>
    <row r="92" customFormat="false" ht="15" hidden="false" customHeight="false" outlineLevel="0" collapsed="false"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</row>
    <row r="93" customFormat="false" ht="15" hidden="false" customHeight="false" outlineLevel="0" collapsed="false"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</row>
    <row r="94" customFormat="false" ht="15" hidden="false" customHeight="false" outlineLevel="0" collapsed="false"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</row>
    <row r="95" customFormat="false" ht="15" hidden="false" customHeight="false" outlineLevel="0" collapsed="false"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</row>
    <row r="96" customFormat="false" ht="15" hidden="false" customHeight="false" outlineLevel="0" collapsed="false"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</row>
    <row r="97" customFormat="false" ht="15" hidden="false" customHeight="false" outlineLevel="0" collapsed="false"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</row>
    <row r="98" customFormat="false" ht="15" hidden="false" customHeight="false" outlineLevel="0" collapsed="false"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</row>
    <row r="99" customFormat="false" ht="15" hidden="false" customHeight="false" outlineLevel="0" collapsed="false"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</row>
    <row r="100" customFormat="false" ht="15" hidden="false" customHeight="false" outlineLevel="0" collapsed="false"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</row>
    <row r="101" customFormat="false" ht="15" hidden="false" customHeight="false" outlineLevel="0" collapsed="false"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</row>
    <row r="102" customFormat="false" ht="15" hidden="false" customHeight="false" outlineLevel="0" collapsed="false"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</row>
    <row r="103" customFormat="false" ht="15" hidden="false" customHeight="false" outlineLevel="0" collapsed="false"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</row>
    <row r="104" customFormat="false" ht="15" hidden="false" customHeight="false" outlineLevel="0" collapsed="false"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</row>
    <row r="105" customFormat="false" ht="15" hidden="false" customHeight="false" outlineLevel="0" collapsed="false"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AC105"/>
  <sheetViews>
    <sheetView showFormulas="false" showGridLines="true" showRowColHeaders="true" showZeros="true" rightToLeft="false" tabSelected="false" showOutlineSymbols="true" defaultGridColor="true" view="normal" topLeftCell="O40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B3" s="137"/>
      <c r="C3" s="137"/>
      <c r="G3" s="119" t="s">
        <v>0</v>
      </c>
      <c r="H3" s="3" t="s">
        <v>92</v>
      </c>
      <c r="I3" s="119" t="s">
        <v>2</v>
      </c>
      <c r="J3" s="4" t="n">
        <v>45187</v>
      </c>
      <c r="K3" s="5" t="n">
        <v>45193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92</v>
      </c>
      <c r="U3" s="119" t="s">
        <v>2</v>
      </c>
      <c r="V3" s="4" t="n">
        <v>45187</v>
      </c>
      <c r="W3" s="5" t="n">
        <v>45193</v>
      </c>
      <c r="X3" s="120" t="s">
        <v>3</v>
      </c>
      <c r="Y3" s="3" t="n">
        <v>2023</v>
      </c>
      <c r="Z3" s="137"/>
      <c r="AA3" s="137"/>
      <c r="AB3" s="137"/>
      <c r="AC3" s="137"/>
    </row>
    <row r="4" customFormat="false" ht="15" hidden="false" customHeight="false" outlineLevel="0" collapsed="false">
      <c r="B4" s="137"/>
      <c r="C4" s="137"/>
      <c r="Z4" s="137"/>
      <c r="AA4" s="137"/>
      <c r="AB4" s="137"/>
      <c r="AC4" s="137"/>
    </row>
    <row r="5" customFormat="false" ht="15" hidden="false" customHeight="false" outlineLevel="0" collapsed="false">
      <c r="B5" s="137"/>
      <c r="C5" s="137"/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  <c r="Z5" s="137"/>
      <c r="AA5" s="137"/>
      <c r="AB5" s="137"/>
      <c r="AC5" s="137"/>
    </row>
    <row r="6" customFormat="false" ht="15" hidden="false" customHeight="false" outlineLevel="0" collapsed="false">
      <c r="B6" s="137"/>
      <c r="C6" s="137"/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  <c r="Z6" s="137"/>
      <c r="AA6" s="137"/>
      <c r="AB6" s="137"/>
      <c r="AC6" s="137"/>
    </row>
    <row r="7" customFormat="false" ht="15" hidden="false" customHeight="false" outlineLevel="0" collapsed="false">
      <c r="B7" s="137"/>
      <c r="C7" s="137"/>
      <c r="D7" s="12" t="s">
        <v>14</v>
      </c>
      <c r="E7" s="12"/>
      <c r="F7" s="12"/>
      <c r="G7" s="13" t="n">
        <v>14</v>
      </c>
      <c r="H7" s="13" t="n">
        <v>10</v>
      </c>
      <c r="I7" s="13" t="n">
        <v>6</v>
      </c>
      <c r="J7" s="13" t="n">
        <v>1</v>
      </c>
      <c r="K7" s="13" t="n">
        <v>3</v>
      </c>
      <c r="L7" s="13" t="n">
        <v>7</v>
      </c>
      <c r="M7" s="13" t="n">
        <v>1</v>
      </c>
      <c r="P7" s="12" t="s">
        <v>14</v>
      </c>
      <c r="Q7" s="12"/>
      <c r="R7" s="12"/>
      <c r="S7" s="14" t="n">
        <f aca="false">Tabella527911247916182022242628303234363840424446485052545658606264687072747678808284869088[[#This Row],[Colonna1]]*$Q3</f>
        <v>5.6</v>
      </c>
      <c r="T7" s="14" t="n">
        <f aca="false">Tabella527911247916182022242628303234363840424446485052545658606264687072747678808284869088[[#This Row],[Colonna2]]*$Q3</f>
        <v>4</v>
      </c>
      <c r="U7" s="14" t="n">
        <f aca="false">Tabella527911247916182022242628303234363840424446485052545658606264687072747678808284869088[[#This Row],[Colonna3]]*$Q3</f>
        <v>2.4</v>
      </c>
      <c r="V7" s="14" t="n">
        <f aca="false">Tabella527911247916182022242628303234363840424446485052545658606264687072747678808284869088[[#This Row],[Colonna4]]*$Q3</f>
        <v>0.4</v>
      </c>
      <c r="W7" s="14" t="n">
        <f aca="false">Tabella527911247916182022242628303234363840424446485052545658606264687072747678808284869088[[#This Row],[Colonna5]]*$Q3</f>
        <v>1.2</v>
      </c>
      <c r="X7" s="14" t="n">
        <f aca="false">Tabella527911247916182022242628303234363840424446485052545658606264687072747678808284869088[[#This Row],[Colonna6]]*$Q3</f>
        <v>2.8</v>
      </c>
      <c r="Y7" s="14" t="n">
        <f aca="false">Tabella527911247916182022242628303234363840424446485052545658606264687072747678808284869088[[#This Row],[Colonna7]]*$Q3</f>
        <v>0.4</v>
      </c>
      <c r="Z7" s="137"/>
      <c r="AA7" s="137"/>
      <c r="AB7" s="137"/>
      <c r="AC7" s="137"/>
    </row>
    <row r="8" customFormat="false" ht="15" hidden="false" customHeight="false" outlineLevel="0" collapsed="false">
      <c r="B8" s="137"/>
      <c r="C8" s="137"/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  <c r="Z8" s="137"/>
      <c r="AA8" s="137"/>
      <c r="AB8" s="137"/>
      <c r="AC8" s="137"/>
    </row>
    <row r="9" customFormat="false" ht="15" hidden="false" customHeight="false" outlineLevel="0" collapsed="false">
      <c r="B9" s="137"/>
      <c r="C9" s="137"/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  <c r="Z9" s="137"/>
      <c r="AA9" s="137"/>
      <c r="AB9" s="137"/>
      <c r="AC9" s="137"/>
    </row>
    <row r="10" customFormat="false" ht="15" hidden="false" customHeight="false" outlineLevel="0" collapsed="false">
      <c r="B10" s="137"/>
      <c r="C10" s="137"/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  <c r="Z10" s="137"/>
      <c r="AA10" s="137"/>
      <c r="AB10" s="137"/>
      <c r="AC10" s="137"/>
    </row>
    <row r="11" customFormat="false" ht="15" hidden="false" customHeight="false" outlineLevel="0" collapsed="false">
      <c r="B11" s="137"/>
      <c r="C11" s="137"/>
      <c r="D11" s="9" t="s">
        <v>18</v>
      </c>
      <c r="E11" s="9"/>
      <c r="F11" s="9"/>
      <c r="G11" s="13" t="n">
        <v>5</v>
      </c>
      <c r="H11" s="13" t="n">
        <v>17</v>
      </c>
      <c r="I11" s="13"/>
      <c r="J11" s="13"/>
      <c r="K11" s="13"/>
      <c r="L11" s="13"/>
      <c r="M11" s="13"/>
      <c r="P11" s="9" t="s">
        <v>18</v>
      </c>
      <c r="Q11" s="9"/>
      <c r="R11" s="9"/>
      <c r="S11" s="14" t="n">
        <f aca="false">Tabella527911247916182022242628303234363840424446485052545658606264687072747678808284869088[[#This Row],[Colonna1]]*$Q3</f>
        <v>2</v>
      </c>
      <c r="T11" s="14" t="n">
        <f aca="false">Tabella527911247916182022242628303234363840424446485052545658606264687072747678808284869088[[#This Row],[Colonna2]]*$Q3</f>
        <v>6.8</v>
      </c>
      <c r="U11" s="14"/>
      <c r="V11" s="14"/>
      <c r="W11" s="14"/>
      <c r="X11" s="14"/>
      <c r="Y11" s="14"/>
      <c r="Z11" s="137"/>
      <c r="AA11" s="137"/>
      <c r="AB11" s="137"/>
      <c r="AC11" s="137"/>
    </row>
    <row r="12" customFormat="false" ht="15" hidden="false" customHeight="false" outlineLevel="0" collapsed="false">
      <c r="B12" s="137"/>
      <c r="C12" s="137"/>
      <c r="D12" s="12" t="s">
        <v>19</v>
      </c>
      <c r="E12" s="12"/>
      <c r="F12" s="12"/>
      <c r="G12" s="13" t="n">
        <v>28</v>
      </c>
      <c r="H12" s="13" t="n">
        <v>37</v>
      </c>
      <c r="I12" s="13" t="n">
        <v>13</v>
      </c>
      <c r="J12" s="13" t="n">
        <v>4</v>
      </c>
      <c r="K12" s="13" t="n">
        <v>3</v>
      </c>
      <c r="L12" s="13" t="n">
        <v>4</v>
      </c>
      <c r="M12" s="13" t="n">
        <v>1</v>
      </c>
      <c r="P12" s="12" t="s">
        <v>19</v>
      </c>
      <c r="Q12" s="12"/>
      <c r="R12" s="12"/>
      <c r="S12" s="14" t="n">
        <f aca="false">Tabella527911247916182022242628303234363840424446485052545658606264687072747678808284869088[[#This Row],[Colonna1]]*$Q3</f>
        <v>11.2</v>
      </c>
      <c r="T12" s="14" t="n">
        <f aca="false">Tabella527911247916182022242628303234363840424446485052545658606264687072747678808284869088[[#This Row],[Colonna2]]*$Q3</f>
        <v>14.8</v>
      </c>
      <c r="U12" s="14" t="n">
        <f aca="false">Tabella527911247916182022242628303234363840424446485052545658606264687072747678808284869088[[#This Row],[Colonna3]]*$Q3</f>
        <v>5.2</v>
      </c>
      <c r="V12" s="14" t="n">
        <f aca="false">Tabella527911247916182022242628303234363840424446485052545658606264687072747678808284869088[[#This Row],[Colonna4]]*$Q3</f>
        <v>1.6</v>
      </c>
      <c r="W12" s="14" t="n">
        <f aca="false">Tabella527911247916182022242628303234363840424446485052545658606264687072747678808284869088[[#This Row],[Colonna5]]*$Q3</f>
        <v>1.2</v>
      </c>
      <c r="X12" s="14" t="n">
        <f aca="false">Tabella527911247916182022242628303234363840424446485052545658606264687072747678808284869088[[#This Row],[Colonna6]]*$Q3</f>
        <v>1.6</v>
      </c>
      <c r="Y12" s="14" t="n">
        <f aca="false">Tabella527911247916182022242628303234363840424446485052545658606264687072747678808284869088[[#This Row],[Colonna7]]*$Q3</f>
        <v>0.4</v>
      </c>
      <c r="Z12" s="137"/>
      <c r="AA12" s="137"/>
      <c r="AB12" s="137"/>
      <c r="AC12" s="137"/>
    </row>
    <row r="13" customFormat="false" ht="15" hidden="false" customHeight="false" outlineLevel="0" collapsed="false">
      <c r="B13" s="137"/>
      <c r="C13" s="137"/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  <c r="Z13" s="137"/>
      <c r="AA13" s="137"/>
      <c r="AB13" s="137"/>
      <c r="AC13" s="137"/>
    </row>
    <row r="14" customFormat="false" ht="15" hidden="false" customHeight="false" outlineLevel="0" collapsed="false">
      <c r="B14" s="137"/>
      <c r="C14" s="137"/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  <c r="Z14" s="137"/>
      <c r="AA14" s="137"/>
      <c r="AB14" s="137"/>
      <c r="AC14" s="137"/>
    </row>
    <row r="15" customFormat="false" ht="15" hidden="false" customHeight="false" outlineLevel="0" collapsed="false">
      <c r="B15" s="137"/>
      <c r="C15" s="137"/>
      <c r="D15" s="12" t="s">
        <v>22</v>
      </c>
      <c r="E15" s="12"/>
      <c r="F15" s="12"/>
      <c r="G15" s="13" t="n">
        <v>8</v>
      </c>
      <c r="H15" s="13" t="n">
        <v>5</v>
      </c>
      <c r="I15" s="13" t="n">
        <v>1</v>
      </c>
      <c r="J15" s="13"/>
      <c r="K15" s="13"/>
      <c r="L15" s="13" t="n">
        <v>1</v>
      </c>
      <c r="M15" s="13" t="n">
        <v>1</v>
      </c>
      <c r="P15" s="12" t="s">
        <v>22</v>
      </c>
      <c r="Q15" s="12"/>
      <c r="R15" s="12"/>
      <c r="S15" s="14" t="n">
        <f aca="false">Tabella527911247916182022242628303234363840424446485052545658606264687072747678808284869088[[#This Row],[Colonna1]]*$Q3</f>
        <v>3.2</v>
      </c>
      <c r="T15" s="14" t="n">
        <f aca="false">Tabella527911247916182022242628303234363840424446485052545658606264687072747678808284869088[[#This Row],[Colonna2]]*$Q3</f>
        <v>2</v>
      </c>
      <c r="U15" s="14" t="n">
        <f aca="false">Tabella527911247916182022242628303234363840424446485052545658606264687072747678808284869088[[#This Row],[Colonna3]]*$Q3</f>
        <v>0.4</v>
      </c>
      <c r="V15" s="14"/>
      <c r="W15" s="14"/>
      <c r="X15" s="14" t="n">
        <f aca="false">Tabella527911247916182022242628303234363840424446485052545658606264687072747678808284869088[[#This Row],[Colonna6]]*$Q3</f>
        <v>0.4</v>
      </c>
      <c r="Y15" s="14" t="n">
        <f aca="false">Tabella527911247916182022242628303234363840424446485052545658606264687072747678808284869088[[#This Row],[Colonna7]]*$Q3</f>
        <v>0.4</v>
      </c>
      <c r="Z15" s="137"/>
      <c r="AA15" s="137"/>
      <c r="AB15" s="137"/>
      <c r="AC15" s="137"/>
    </row>
    <row r="16" customFormat="false" ht="15" hidden="false" customHeight="false" outlineLevel="0" collapsed="false">
      <c r="B16" s="137"/>
      <c r="C16" s="137"/>
      <c r="D16" s="12" t="s">
        <v>23</v>
      </c>
      <c r="E16" s="12"/>
      <c r="F16" s="12"/>
      <c r="G16" s="13"/>
      <c r="H16" s="13" t="n">
        <v>1</v>
      </c>
      <c r="I16" s="13"/>
      <c r="J16" s="13"/>
      <c r="K16" s="13"/>
      <c r="L16" s="13" t="n">
        <v>4</v>
      </c>
      <c r="M16" s="13" t="n">
        <v>3</v>
      </c>
      <c r="P16" s="12" t="s">
        <v>23</v>
      </c>
      <c r="Q16" s="12"/>
      <c r="R16" s="12"/>
      <c r="S16" s="14"/>
      <c r="T16" s="14" t="n">
        <f aca="false">Tabella527911247916182022242628303234363840424446485052545658606264687072747678808284869088[[#This Row],[Colonna2]]*$Q3</f>
        <v>0.4</v>
      </c>
      <c r="U16" s="14"/>
      <c r="V16" s="14"/>
      <c r="W16" s="14"/>
      <c r="X16" s="14" t="n">
        <f aca="false">Tabella527911247916182022242628303234363840424446485052545658606264687072747678808284869088[[#This Row],[Colonna6]]*$Q3</f>
        <v>1.6</v>
      </c>
      <c r="Y16" s="14" t="n">
        <f aca="false">Tabella527911247916182022242628303234363840424446485052545658606264687072747678808284869088[[#This Row],[Colonna7]]*$Q3</f>
        <v>1.2</v>
      </c>
      <c r="Z16" s="137"/>
      <c r="AA16" s="137"/>
      <c r="AB16" s="137"/>
      <c r="AC16" s="137"/>
    </row>
    <row r="17" customFormat="false" ht="15" hidden="false" customHeight="false" outlineLevel="0" collapsed="false">
      <c r="B17" s="137"/>
      <c r="C17" s="137"/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  <c r="Z17" s="137"/>
      <c r="AA17" s="137"/>
      <c r="AB17" s="137"/>
      <c r="AC17" s="137"/>
    </row>
    <row r="18" customFormat="false" ht="15" hidden="false" customHeight="false" outlineLevel="0" collapsed="false">
      <c r="B18" s="137"/>
      <c r="C18" s="137"/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  <c r="Z18" s="137"/>
      <c r="AA18" s="137"/>
      <c r="AB18" s="137"/>
      <c r="AC18" s="137"/>
    </row>
    <row r="19" customFormat="false" ht="15" hidden="false" customHeight="false" outlineLevel="0" collapsed="false">
      <c r="B19" s="137"/>
      <c r="C19" s="137"/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  <c r="Z19" s="137"/>
      <c r="AA19" s="137"/>
      <c r="AB19" s="137"/>
      <c r="AC19" s="137"/>
    </row>
    <row r="20" customFormat="false" ht="15" hidden="false" customHeight="false" outlineLevel="0" collapsed="false">
      <c r="B20" s="137"/>
      <c r="C20" s="137"/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  <c r="Z20" s="137"/>
      <c r="AA20" s="137"/>
      <c r="AB20" s="137"/>
      <c r="AC20" s="137"/>
    </row>
    <row r="21" customFormat="false" ht="15" hidden="false" customHeight="false" outlineLevel="0" collapsed="false">
      <c r="B21" s="137"/>
      <c r="C21" s="137"/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  <c r="Z21" s="137"/>
      <c r="AA21" s="137"/>
      <c r="AB21" s="137"/>
      <c r="AC21" s="137"/>
    </row>
    <row r="22" customFormat="false" ht="15" hidden="false" customHeight="false" outlineLevel="0" collapsed="false">
      <c r="B22" s="137"/>
      <c r="C22" s="137"/>
      <c r="D22" s="12" t="s">
        <v>29</v>
      </c>
      <c r="E22" s="12"/>
      <c r="F22" s="12"/>
      <c r="G22" s="13" t="n">
        <v>2</v>
      </c>
      <c r="H22" s="13"/>
      <c r="I22" s="13"/>
      <c r="J22" s="13"/>
      <c r="K22" s="13" t="n">
        <v>1</v>
      </c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Tabella527911247916182022242628303234363840424446485052545658606264687072747678808284869088[[#This Row],[Colonna1]]*$Q3</f>
        <v>0.8</v>
      </c>
      <c r="T22" s="14"/>
      <c r="U22" s="14"/>
      <c r="V22" s="14"/>
      <c r="W22" s="14" t="n">
        <f aca="false">Tabella527911247916182022242628303234363840424446485052545658606264687072747678808284869088[[#This Row],[Colonna5]]*$Q3</f>
        <v>0.4</v>
      </c>
      <c r="X22" s="14"/>
      <c r="Y22" s="14"/>
      <c r="Z22" s="137"/>
      <c r="AA22" s="137"/>
      <c r="AB22" s="137"/>
      <c r="AC22" s="137"/>
    </row>
    <row r="23" customFormat="false" ht="15" hidden="false" customHeight="false" outlineLevel="0" collapsed="false">
      <c r="B23" s="137"/>
      <c r="C23" s="137"/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  <c r="Z23" s="137"/>
      <c r="AA23" s="137"/>
      <c r="AB23" s="137"/>
      <c r="AC23" s="137"/>
    </row>
    <row r="24" customFormat="false" ht="15" hidden="false" customHeight="false" outlineLevel="0" collapsed="false">
      <c r="B24" s="137"/>
      <c r="C24" s="137"/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  <c r="Z24" s="137"/>
      <c r="AA24" s="137"/>
      <c r="AB24" s="137"/>
      <c r="AC24" s="137"/>
    </row>
    <row r="25" customFormat="false" ht="15" hidden="false" customHeight="false" outlineLevel="0" collapsed="false">
      <c r="B25" s="137"/>
      <c r="C25" s="137"/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  <c r="Z25" s="137"/>
      <c r="AA25" s="137"/>
      <c r="AB25" s="137"/>
      <c r="AC25" s="137"/>
    </row>
    <row r="26" customFormat="false" ht="15" hidden="false" customHeight="false" outlineLevel="0" collapsed="false">
      <c r="B26" s="137"/>
      <c r="C26" s="137"/>
      <c r="D26" s="12" t="s">
        <v>33</v>
      </c>
      <c r="E26" s="12"/>
      <c r="F26" s="12"/>
      <c r="G26" s="13"/>
      <c r="H26" s="13"/>
      <c r="I26" s="13"/>
      <c r="J26" s="13" t="n">
        <v>1</v>
      </c>
      <c r="K26" s="13"/>
      <c r="L26" s="13" t="n">
        <v>2</v>
      </c>
      <c r="M26" s="13"/>
      <c r="P26" s="12" t="s">
        <v>33</v>
      </c>
      <c r="Q26" s="12"/>
      <c r="R26" s="12"/>
      <c r="S26" s="14"/>
      <c r="T26" s="14"/>
      <c r="U26" s="14"/>
      <c r="V26" s="14" t="n">
        <f aca="false">Tabella527911247916182022242628303234363840424446485052545658606264687072747678808284869088[[#This Row],[Colonna4]]*$Q3</f>
        <v>0.4</v>
      </c>
      <c r="W26" s="14"/>
      <c r="X26" s="14" t="n">
        <f aca="false">Tabella527911247916182022242628303234363840424446485052545658606264687072747678808284869088[[#This Row],[Colonna6]]*$Q3</f>
        <v>0.8</v>
      </c>
      <c r="Y26" s="14"/>
      <c r="Z26" s="137"/>
      <c r="AA26" s="137"/>
      <c r="AB26" s="137"/>
      <c r="AC26" s="137"/>
    </row>
    <row r="27" customFormat="false" ht="15" hidden="false" customHeight="false" outlineLevel="0" collapsed="false">
      <c r="B27" s="137"/>
      <c r="C27" s="137"/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  <c r="Z27" s="137"/>
      <c r="AA27" s="137"/>
      <c r="AB27" s="137"/>
      <c r="AC27" s="137"/>
    </row>
    <row r="28" customFormat="false" ht="15" hidden="false" customHeight="false" outlineLevel="0" collapsed="false">
      <c r="B28" s="137"/>
      <c r="C28" s="137"/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  <c r="Z28" s="137"/>
      <c r="AA28" s="137"/>
      <c r="AB28" s="137"/>
      <c r="AC28" s="137"/>
    </row>
    <row r="29" customFormat="false" ht="15" hidden="false" customHeight="false" outlineLevel="0" collapsed="false">
      <c r="B29" s="137"/>
      <c r="C29" s="137"/>
      <c r="D29" s="12" t="s">
        <v>36</v>
      </c>
      <c r="E29" s="12"/>
      <c r="F29" s="12"/>
      <c r="G29" s="13" t="n">
        <v>6</v>
      </c>
      <c r="H29" s="13" t="n">
        <v>15</v>
      </c>
      <c r="I29" s="13" t="n">
        <v>12</v>
      </c>
      <c r="J29" s="13" t="n">
        <v>2</v>
      </c>
      <c r="K29" s="13" t="n">
        <v>2</v>
      </c>
      <c r="L29" s="13" t="n">
        <v>1</v>
      </c>
      <c r="M29" s="13" t="n">
        <v>3</v>
      </c>
      <c r="P29" s="12" t="s">
        <v>36</v>
      </c>
      <c r="Q29" s="12"/>
      <c r="R29" s="12"/>
      <c r="S29" s="14" t="n">
        <f aca="false">Tabella527911247916182022242628303234363840424446485052545658606264687072747678808284869088[[#This Row],[Colonna1]]*$Q3</f>
        <v>2.4</v>
      </c>
      <c r="T29" s="14" t="n">
        <f aca="false">Tabella527911247916182022242628303234363840424446485052545658606264687072747678808284869088[[#This Row],[Colonna2]]*$Q3</f>
        <v>6</v>
      </c>
      <c r="U29" s="14" t="n">
        <f aca="false">Tabella527911247916182022242628303234363840424446485052545658606264687072747678808284869088[[#This Row],[Colonna3]]*$Q3</f>
        <v>4.8</v>
      </c>
      <c r="V29" s="14" t="n">
        <f aca="false">Tabella527911247916182022242628303234363840424446485052545658606264687072747678808284869088[[#This Row],[Colonna4]]*$Q3</f>
        <v>0.8</v>
      </c>
      <c r="W29" s="14" t="n">
        <f aca="false">Tabella527911247916182022242628303234363840424446485052545658606264687072747678808284869088[[#This Row],[Colonna5]]*$Q3</f>
        <v>0.8</v>
      </c>
      <c r="X29" s="14" t="n">
        <f aca="false">Tabella527911247916182022242628303234363840424446485052545658606264687072747678808284869088[[#This Row],[Colonna6]]*$Q3</f>
        <v>0.4</v>
      </c>
      <c r="Y29" s="14" t="n">
        <f aca="false">Tabella527911247916182022242628303234363840424446485052545658606264687072747678808284869088[[#This Row],[Colonna7]]*$Q3</f>
        <v>1.2</v>
      </c>
      <c r="Z29" s="137"/>
      <c r="AA29" s="137"/>
      <c r="AB29" s="137"/>
      <c r="AC29" s="137"/>
    </row>
    <row r="30" customFormat="false" ht="15" hidden="false" customHeight="false" outlineLevel="0" collapsed="false">
      <c r="B30" s="137"/>
      <c r="C30" s="137"/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  <c r="Z30" s="137"/>
      <c r="AA30" s="137"/>
      <c r="AB30" s="137"/>
      <c r="AC30" s="137"/>
    </row>
    <row r="31" customFormat="false" ht="15" hidden="false" customHeight="false" outlineLevel="0" collapsed="false">
      <c r="B31" s="137"/>
      <c r="C31" s="137"/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  <c r="Z31" s="137"/>
      <c r="AA31" s="137"/>
      <c r="AB31" s="137"/>
      <c r="AC31" s="137"/>
    </row>
    <row r="32" customFormat="false" ht="15" hidden="false" customHeight="false" outlineLevel="0" collapsed="false">
      <c r="B32" s="137"/>
      <c r="C32" s="137"/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  <c r="Z32" s="137"/>
      <c r="AA32" s="137"/>
      <c r="AB32" s="137"/>
      <c r="AC32" s="137"/>
    </row>
    <row r="33" customFormat="false" ht="15" hidden="false" customHeight="false" outlineLevel="0" collapsed="false">
      <c r="B33" s="137"/>
      <c r="C33" s="137"/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  <c r="Z33" s="137"/>
      <c r="AA33" s="137"/>
      <c r="AB33" s="137"/>
      <c r="AC33" s="137"/>
    </row>
    <row r="34" customFormat="false" ht="15" hidden="false" customHeight="false" outlineLevel="0" collapsed="false">
      <c r="B34" s="137"/>
      <c r="C34" s="137"/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  <c r="Z34" s="137"/>
      <c r="AA34" s="137"/>
      <c r="AB34" s="137"/>
      <c r="AC34" s="137"/>
    </row>
    <row r="35" customFormat="false" ht="15" hidden="false" customHeight="false" outlineLevel="0" collapsed="false">
      <c r="B35" s="137"/>
      <c r="C35" s="137"/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  <c r="Z35" s="137"/>
      <c r="AA35" s="137"/>
      <c r="AB35" s="137"/>
      <c r="AC35" s="137"/>
    </row>
    <row r="36" customFormat="false" ht="15" hidden="false" customHeight="false" outlineLevel="0" collapsed="false">
      <c r="B36" s="137"/>
      <c r="C36" s="137"/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  <c r="Z36" s="137"/>
      <c r="AA36" s="137"/>
      <c r="AB36" s="137"/>
      <c r="AC36" s="137"/>
    </row>
    <row r="37" customFormat="false" ht="15" hidden="false" customHeight="false" outlineLevel="0" collapsed="false">
      <c r="B37" s="137"/>
      <c r="C37" s="137"/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  <c r="Z37" s="137"/>
      <c r="AA37" s="137"/>
      <c r="AB37" s="137"/>
      <c r="AC37" s="137"/>
    </row>
    <row r="38" customFormat="false" ht="15" hidden="false" customHeight="false" outlineLevel="0" collapsed="false">
      <c r="B38" s="137"/>
      <c r="C38" s="137"/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  <c r="Z38" s="137"/>
      <c r="AA38" s="137"/>
      <c r="AB38" s="137"/>
      <c r="AC38" s="137"/>
    </row>
    <row r="39" customFormat="false" ht="15" hidden="false" customHeight="false" outlineLevel="0" collapsed="false">
      <c r="B39" s="137"/>
      <c r="C39" s="137"/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  <c r="Z39" s="137"/>
      <c r="AA39" s="137"/>
      <c r="AB39" s="137"/>
      <c r="AC39" s="137"/>
    </row>
    <row r="40" customFormat="false" ht="15" hidden="false" customHeight="false" outlineLevel="0" collapsed="false">
      <c r="B40" s="137"/>
      <c r="C40" s="137"/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  <c r="Z40" s="137"/>
      <c r="AA40" s="137"/>
      <c r="AB40" s="137"/>
      <c r="AC40" s="137"/>
    </row>
    <row r="41" customFormat="false" ht="15" hidden="false" customHeight="false" outlineLevel="0" collapsed="false">
      <c r="B41" s="137"/>
      <c r="C41" s="137"/>
      <c r="D41" s="18" t="s">
        <v>48</v>
      </c>
      <c r="E41" s="18"/>
      <c r="F41" s="18"/>
      <c r="G41" s="13" t="n">
        <v>1</v>
      </c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Tabella527911247916182022242628303234363840424446485052545658606264687072747678808284869088[[#This Row],[Colonna1]]*$Q3</f>
        <v>0.4</v>
      </c>
      <c r="T41" s="14"/>
      <c r="U41" s="14"/>
      <c r="V41" s="14"/>
      <c r="W41" s="14"/>
      <c r="X41" s="14"/>
      <c r="Y41" s="14"/>
      <c r="Z41" s="137"/>
      <c r="AA41" s="137"/>
      <c r="AB41" s="137"/>
      <c r="AC41" s="137"/>
    </row>
    <row r="42" customFormat="false" ht="15" hidden="false" customHeight="false" outlineLevel="0" collapsed="false">
      <c r="B42" s="137"/>
      <c r="C42" s="137"/>
      <c r="D42" s="9" t="s">
        <v>49</v>
      </c>
      <c r="E42" s="9"/>
      <c r="F42" s="9"/>
      <c r="G42" s="13" t="n">
        <v>3</v>
      </c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 t="n">
        <f aca="false">Tabella527911247916182022242628303234363840424446485052545658606264687072747678808284869088[[#This Row],[Colonna1]]*$Q3</f>
        <v>1.2</v>
      </c>
      <c r="T42" s="14"/>
      <c r="U42" s="14"/>
      <c r="V42" s="14"/>
      <c r="W42" s="14"/>
      <c r="X42" s="14"/>
      <c r="Y42" s="14"/>
      <c r="Z42" s="137"/>
      <c r="AA42" s="137"/>
      <c r="AB42" s="137"/>
      <c r="AC42" s="137"/>
    </row>
    <row r="43" customFormat="false" ht="15" hidden="false" customHeight="false" outlineLevel="0" collapsed="false">
      <c r="B43" s="137"/>
      <c r="C43" s="137"/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  <c r="Z43" s="137"/>
      <c r="AA43" s="137"/>
      <c r="AB43" s="137"/>
      <c r="AC43" s="137"/>
    </row>
    <row r="44" customFormat="false" ht="15" hidden="false" customHeight="false" outlineLevel="0" collapsed="false">
      <c r="B44" s="137"/>
      <c r="C44" s="137"/>
      <c r="D44" s="12" t="s">
        <v>51</v>
      </c>
      <c r="E44" s="12"/>
      <c r="F44" s="12"/>
      <c r="G44" s="13" t="n">
        <v>19</v>
      </c>
      <c r="H44" s="13" t="n">
        <v>16</v>
      </c>
      <c r="I44" s="13" t="n">
        <v>7</v>
      </c>
      <c r="J44" s="13" t="n">
        <v>5</v>
      </c>
      <c r="K44" s="13" t="n">
        <v>2</v>
      </c>
      <c r="L44" s="13" t="n">
        <v>5</v>
      </c>
      <c r="M44" s="13" t="n">
        <v>5</v>
      </c>
      <c r="P44" s="12" t="s">
        <v>51</v>
      </c>
      <c r="Q44" s="12"/>
      <c r="R44" s="12"/>
      <c r="S44" s="14" t="n">
        <f aca="false">Tabella527911247916182022242628303234363840424446485052545658606264687072747678808284869088[[#This Row],[Colonna1]]*$Q3</f>
        <v>7.6</v>
      </c>
      <c r="T44" s="14" t="n">
        <f aca="false">Tabella527911247916182022242628303234363840424446485052545658606264687072747678808284869088[[#This Row],[Colonna2]]*$Q3</f>
        <v>6.4</v>
      </c>
      <c r="U44" s="14" t="n">
        <f aca="false">Tabella527911247916182022242628303234363840424446485052545658606264687072747678808284869088[[#This Row],[Colonna3]]*$Q3</f>
        <v>2.8</v>
      </c>
      <c r="V44" s="14" t="n">
        <f aca="false">Tabella527911247916182022242628303234363840424446485052545658606264687072747678808284869088[[#This Row],[Colonna4]]*$Q3</f>
        <v>2</v>
      </c>
      <c r="W44" s="14" t="n">
        <f aca="false">Tabella527911247916182022242628303234363840424446485052545658606264687072747678808284869088[[#This Row],[Colonna5]]*$Q3</f>
        <v>0.8</v>
      </c>
      <c r="X44" s="14" t="n">
        <f aca="false">Tabella527911247916182022242628303234363840424446485052545658606264687072747678808284869088[[#This Row],[Colonna6]]*$Q3</f>
        <v>2</v>
      </c>
      <c r="Y44" s="14" t="n">
        <f aca="false">Tabella527911247916182022242628303234363840424446485052545658606264687072747678808284869088[[#This Row],[Colonna7]]*$Q3</f>
        <v>2</v>
      </c>
      <c r="Z44" s="137"/>
      <c r="AA44" s="137"/>
      <c r="AB44" s="137"/>
      <c r="AC44" s="137"/>
    </row>
    <row r="45" customFormat="false" ht="15" hidden="false" customHeight="false" outlineLevel="0" collapsed="false">
      <c r="B45" s="137"/>
      <c r="C45" s="137"/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  <c r="Z45" s="137"/>
      <c r="AA45" s="137"/>
      <c r="AB45" s="137"/>
      <c r="AC45" s="137"/>
    </row>
    <row r="46" customFormat="false" ht="15" hidden="false" customHeight="false" outlineLevel="0" collapsed="false">
      <c r="B46" s="137"/>
      <c r="C46" s="137"/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  <c r="Z46" s="137"/>
      <c r="AA46" s="137"/>
      <c r="AB46" s="137"/>
      <c r="AC46" s="137"/>
    </row>
    <row r="47" customFormat="false" ht="15" hidden="false" customHeight="false" outlineLevel="0" collapsed="false">
      <c r="B47" s="137"/>
      <c r="C47" s="137"/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  <c r="Z47" s="137"/>
      <c r="AA47" s="137"/>
      <c r="AB47" s="137"/>
      <c r="AC47" s="137"/>
    </row>
    <row r="48" customFormat="false" ht="15" hidden="false" customHeight="false" outlineLevel="0" collapsed="false">
      <c r="B48" s="137"/>
      <c r="C48" s="137"/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  <c r="Z48" s="137"/>
      <c r="AA48" s="137"/>
      <c r="AB48" s="137"/>
      <c r="AC48" s="137"/>
    </row>
    <row r="49" customFormat="false" ht="15" hidden="false" customHeight="false" outlineLevel="0" collapsed="false">
      <c r="B49" s="137"/>
      <c r="C49" s="137"/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  <c r="Z49" s="137"/>
      <c r="AA49" s="137"/>
      <c r="AB49" s="137"/>
      <c r="AC49" s="137"/>
    </row>
    <row r="50" customFormat="false" ht="15" hidden="false" customHeight="false" outlineLevel="0" collapsed="false">
      <c r="B50" s="137"/>
      <c r="C50" s="137"/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  <c r="Z50" s="137"/>
      <c r="AA50" s="137"/>
      <c r="AB50" s="137"/>
      <c r="AC50" s="137"/>
    </row>
    <row r="51" customFormat="false" ht="15" hidden="false" customHeight="false" outlineLevel="0" collapsed="false">
      <c r="B51" s="137"/>
      <c r="C51" s="137"/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  <c r="Z51" s="137"/>
      <c r="AA51" s="137"/>
      <c r="AB51" s="137"/>
      <c r="AC51" s="137"/>
    </row>
    <row r="52" customFormat="false" ht="15" hidden="false" customHeight="false" outlineLevel="0" collapsed="false">
      <c r="B52" s="137"/>
      <c r="C52" s="137"/>
      <c r="D52" s="12" t="s">
        <v>59</v>
      </c>
      <c r="E52" s="12"/>
      <c r="F52" s="12"/>
      <c r="G52" s="13" t="n">
        <v>63</v>
      </c>
      <c r="H52" s="13" t="n">
        <v>41</v>
      </c>
      <c r="I52" s="13" t="n">
        <v>24</v>
      </c>
      <c r="J52" s="13" t="n">
        <v>10</v>
      </c>
      <c r="K52" s="13" t="n">
        <v>16</v>
      </c>
      <c r="L52" s="13" t="n">
        <v>11</v>
      </c>
      <c r="M52" s="13" t="n">
        <v>11</v>
      </c>
      <c r="P52" s="12" t="s">
        <v>59</v>
      </c>
      <c r="Q52" s="12"/>
      <c r="R52" s="12"/>
      <c r="S52" s="14" t="n">
        <f aca="false">Tabella527911247916182022242628303234363840424446485052545658606264687072747678808284869088[[#This Row],[Colonna1]]*$Q3</f>
        <v>25.2</v>
      </c>
      <c r="T52" s="14" t="n">
        <f aca="false">Tabella527911247916182022242628303234363840424446485052545658606264687072747678808284869088[[#This Row],[Colonna2]]*$Q3</f>
        <v>16.4</v>
      </c>
      <c r="U52" s="14" t="n">
        <f aca="false">Tabella527911247916182022242628303234363840424446485052545658606264687072747678808284869088[[#This Row],[Colonna3]]*$Q3</f>
        <v>9.6</v>
      </c>
      <c r="V52" s="14" t="n">
        <f aca="false">Tabella527911247916182022242628303234363840424446485052545658606264687072747678808284869088[[#This Row],[Colonna4]]*$Q3</f>
        <v>4</v>
      </c>
      <c r="W52" s="14" t="n">
        <f aca="false">Tabella527911247916182022242628303234363840424446485052545658606264687072747678808284869088[[#This Row],[Colonna5]]*$Q3</f>
        <v>6.4</v>
      </c>
      <c r="X52" s="14" t="n">
        <f aca="false">Tabella527911247916182022242628303234363840424446485052545658606264687072747678808284869088[[#This Row],[Colonna6]]*$Q3</f>
        <v>4.4</v>
      </c>
      <c r="Y52" s="14" t="n">
        <f aca="false">Tabella527911247916182022242628303234363840424446485052545658606264687072747678808284869088[[#This Row],[Colonna7]]*$Q3</f>
        <v>4.4</v>
      </c>
      <c r="Z52" s="137"/>
      <c r="AA52" s="137"/>
      <c r="AB52" s="137"/>
      <c r="AC52" s="137"/>
    </row>
    <row r="53" customFormat="false" ht="15" hidden="false" customHeight="false" outlineLevel="0" collapsed="false">
      <c r="B53" s="137"/>
      <c r="C53" s="137"/>
      <c r="D53" s="17" t="s">
        <v>60</v>
      </c>
      <c r="E53" s="17"/>
      <c r="F53" s="17"/>
      <c r="G53" s="55" t="n">
        <f aca="false">SUM(G6:G52)</f>
        <v>149</v>
      </c>
      <c r="H53" s="55" t="n">
        <f aca="false">SUM(H6:H52)</f>
        <v>142</v>
      </c>
      <c r="I53" s="55" t="n">
        <f aca="false">SUM(I6:I52)</f>
        <v>63</v>
      </c>
      <c r="J53" s="55" t="n">
        <f aca="false">SUM(J6:J52)</f>
        <v>23</v>
      </c>
      <c r="K53" s="55" t="n">
        <f aca="false">SUM(K6:K52)</f>
        <v>27</v>
      </c>
      <c r="L53" s="55" t="n">
        <f aca="false">SUM(L6:L52)</f>
        <v>35</v>
      </c>
      <c r="M53" s="55" t="n">
        <f aca="false">SUM(M6:M52)</f>
        <v>25</v>
      </c>
      <c r="P53" s="17" t="s">
        <v>60</v>
      </c>
      <c r="Q53" s="17"/>
      <c r="R53" s="17"/>
      <c r="S53" s="56" t="n">
        <f aca="false">Tabella527911247916182022242628303234363840424446485052545658606264687072747678808284869088[[#This Row],[Colonna1]]*$Q3</f>
        <v>59.6</v>
      </c>
      <c r="T53" s="56" t="n">
        <f aca="false">Tabella527911247916182022242628303234363840424446485052545658606264687072747678808284869088[[#This Row],[Colonna2]]*$Q3</f>
        <v>56.8</v>
      </c>
      <c r="U53" s="56" t="n">
        <f aca="false">Tabella527911247916182022242628303234363840424446485052545658606264687072747678808284869088[[#This Row],[Colonna3]]*$Q3</f>
        <v>25.2</v>
      </c>
      <c r="V53" s="56" t="n">
        <f aca="false">Tabella527911247916182022242628303234363840424446485052545658606264687072747678808284869088[[#This Row],[Colonna4]]*$Q3</f>
        <v>9.2</v>
      </c>
      <c r="W53" s="56" t="n">
        <f aca="false">Tabella527911247916182022242628303234363840424446485052545658606264687072747678808284869088[[#This Row],[Colonna5]]*$Q3</f>
        <v>10.8</v>
      </c>
      <c r="X53" s="56" t="n">
        <f aca="false">Tabella527911247916182022242628303234363840424446485052545658606264687072747678808284869088[[#This Row],[Colonna6]]*$Q3</f>
        <v>14</v>
      </c>
      <c r="Y53" s="56" t="n">
        <f aca="false">Tabella527911247916182022242628303234363840424446485052545658606264687072747678808284869088[[#This Row],[Colonna7]]*$Q3</f>
        <v>10</v>
      </c>
      <c r="Z53" s="137"/>
      <c r="AA53" s="137"/>
      <c r="AB53" s="137"/>
      <c r="AC53" s="137"/>
    </row>
    <row r="54" customFormat="false" ht="15" hidden="false" customHeight="false" outlineLevel="0" collapsed="false">
      <c r="B54" s="137"/>
      <c r="C54" s="137"/>
      <c r="Z54" s="137"/>
      <c r="AA54" s="137"/>
      <c r="AB54" s="137"/>
      <c r="AC54" s="137"/>
    </row>
    <row r="55" customFormat="false" ht="15" hidden="false" customHeight="false" outlineLevel="0" collapsed="false">
      <c r="B55" s="137"/>
      <c r="C55" s="137"/>
      <c r="Z55" s="137"/>
      <c r="AA55" s="137"/>
      <c r="AB55" s="137"/>
      <c r="AC55" s="137"/>
    </row>
    <row r="56" customFormat="false" ht="15" hidden="false" customHeight="false" outlineLevel="0" collapsed="false">
      <c r="B56" s="137"/>
      <c r="C56" s="137"/>
      <c r="Z56" s="137"/>
      <c r="AA56" s="137"/>
      <c r="AB56" s="137"/>
      <c r="AC56" s="137"/>
    </row>
    <row r="57" customFormat="false" ht="15" hidden="false" customHeight="false" outlineLevel="0" collapsed="false">
      <c r="B57" s="137"/>
      <c r="C57" s="137"/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  <c r="Z57" s="137"/>
      <c r="AA57" s="137"/>
      <c r="AB57" s="137"/>
      <c r="AC57" s="137"/>
    </row>
    <row r="58" customFormat="false" ht="15" hidden="false" customHeight="false" outlineLevel="0" collapsed="false">
      <c r="B58" s="137"/>
      <c r="C58" s="137"/>
      <c r="D58" s="23" t="s">
        <v>62</v>
      </c>
      <c r="E58" s="23"/>
      <c r="F58" s="23"/>
      <c r="G58" s="37" t="n">
        <v>732</v>
      </c>
      <c r="H58" s="26" t="n">
        <v>530</v>
      </c>
      <c r="I58" s="26" t="n">
        <v>310</v>
      </c>
      <c r="J58" s="26" t="n">
        <v>210</v>
      </c>
      <c r="K58" s="26" t="n">
        <v>196</v>
      </c>
      <c r="L58" s="26" t="n">
        <v>177</v>
      </c>
      <c r="M58" s="26" t="n">
        <v>163</v>
      </c>
      <c r="P58" s="23" t="s">
        <v>62</v>
      </c>
      <c r="Q58" s="23"/>
      <c r="R58" s="23"/>
      <c r="S58" s="57" t="n">
        <f aca="false">G58*$Q3</f>
        <v>292.8</v>
      </c>
      <c r="T58" s="57" t="n">
        <f aca="false">H58*$Q3</f>
        <v>212</v>
      </c>
      <c r="U58" s="57" t="n">
        <f aca="false">I58*$Q3</f>
        <v>124</v>
      </c>
      <c r="V58" s="57" t="n">
        <f aca="false">J58*$Q3</f>
        <v>84</v>
      </c>
      <c r="W58" s="57" t="n">
        <f aca="false">K58*$Q3</f>
        <v>78.4</v>
      </c>
      <c r="X58" s="57" t="n">
        <f aca="false">L58*$Q3</f>
        <v>70.8</v>
      </c>
      <c r="Y58" s="57" t="n">
        <f aca="false">M58*$Q3</f>
        <v>65.2</v>
      </c>
      <c r="Z58" s="137"/>
      <c r="AA58" s="137"/>
      <c r="AB58" s="137"/>
      <c r="AC58" s="137"/>
    </row>
    <row r="59" customFormat="false" ht="15" hidden="false" customHeight="false" outlineLevel="0" collapsed="false">
      <c r="B59" s="137"/>
      <c r="C59" s="137"/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  <c r="Z59" s="137"/>
      <c r="AA59" s="137"/>
      <c r="AB59" s="137"/>
      <c r="AC59" s="137"/>
    </row>
    <row r="60" customFormat="false" ht="15" hidden="false" customHeight="false" outlineLevel="0" collapsed="false">
      <c r="B60" s="137"/>
      <c r="C60" s="137"/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  <c r="Z60" s="137"/>
      <c r="AA60" s="137"/>
      <c r="AB60" s="137"/>
      <c r="AC60" s="137"/>
    </row>
    <row r="61" customFormat="false" ht="15" hidden="false" customHeight="false" outlineLevel="0" collapsed="false">
      <c r="B61" s="137"/>
      <c r="C61" s="137"/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  <c r="Z61" s="137"/>
      <c r="AA61" s="137"/>
      <c r="AB61" s="137"/>
      <c r="AC61" s="137"/>
    </row>
    <row r="62" customFormat="false" ht="15" hidden="false" customHeight="false" outlineLevel="0" collapsed="false">
      <c r="B62" s="137"/>
      <c r="C62" s="137"/>
      <c r="D62" s="9" t="s">
        <v>66</v>
      </c>
      <c r="E62" s="9"/>
      <c r="F62" s="9"/>
      <c r="G62" s="37" t="n">
        <v>74</v>
      </c>
      <c r="H62" s="26" t="n">
        <v>123</v>
      </c>
      <c r="I62" s="26" t="n">
        <v>76</v>
      </c>
      <c r="J62" s="26" t="n">
        <v>22</v>
      </c>
      <c r="K62" s="26" t="n">
        <v>36</v>
      </c>
      <c r="L62" s="26" t="n">
        <v>33</v>
      </c>
      <c r="M62" s="26" t="n">
        <v>23</v>
      </c>
      <c r="P62" s="9" t="s">
        <v>66</v>
      </c>
      <c r="Q62" s="9"/>
      <c r="R62" s="9"/>
      <c r="S62" s="57" t="n">
        <f aca="false">G62*$Q3</f>
        <v>29.6</v>
      </c>
      <c r="T62" s="57" t="n">
        <f aca="false">H62*$Q3</f>
        <v>49.2</v>
      </c>
      <c r="U62" s="57" t="n">
        <f aca="false">I62*$Q3</f>
        <v>30.4</v>
      </c>
      <c r="V62" s="57" t="n">
        <f aca="false">J62*$Q3</f>
        <v>8.8</v>
      </c>
      <c r="W62" s="57" t="n">
        <f aca="false">K62*$Q3</f>
        <v>14.4</v>
      </c>
      <c r="X62" s="57" t="n">
        <f aca="false">L62*$Q3</f>
        <v>13.2</v>
      </c>
      <c r="Y62" s="57" t="n">
        <f aca="false">M62*$Q3</f>
        <v>9.2</v>
      </c>
      <c r="Z62" s="137"/>
      <c r="AA62" s="137"/>
      <c r="AB62" s="137"/>
      <c r="AC62" s="137"/>
    </row>
    <row r="63" customFormat="false" ht="15" hidden="false" customHeight="false" outlineLevel="0" collapsed="false">
      <c r="B63" s="137"/>
      <c r="C63" s="137"/>
      <c r="D63" s="9" t="s">
        <v>67</v>
      </c>
      <c r="E63" s="9"/>
      <c r="F63" s="9"/>
      <c r="G63" s="37" t="n">
        <v>23</v>
      </c>
      <c r="H63" s="26" t="n">
        <v>21</v>
      </c>
      <c r="I63" s="26" t="n">
        <v>24</v>
      </c>
      <c r="J63" s="26" t="n">
        <v>9</v>
      </c>
      <c r="K63" s="26" t="n">
        <v>8</v>
      </c>
      <c r="L63" s="26" t="n">
        <v>7</v>
      </c>
      <c r="M63" s="26" t="n">
        <v>7</v>
      </c>
      <c r="P63" s="9" t="s">
        <v>67</v>
      </c>
      <c r="Q63" s="9"/>
      <c r="R63" s="9"/>
      <c r="S63" s="57" t="n">
        <f aca="false">G63*$Q3</f>
        <v>9.2</v>
      </c>
      <c r="T63" s="57" t="n">
        <f aca="false">H63*$Q3</f>
        <v>8.4</v>
      </c>
      <c r="U63" s="57" t="n">
        <f aca="false">I63*$Q3</f>
        <v>9.6</v>
      </c>
      <c r="V63" s="57" t="n">
        <f aca="false">J63*$Q3</f>
        <v>3.6</v>
      </c>
      <c r="W63" s="57" t="n">
        <f aca="false">K63*$Q3</f>
        <v>3.2</v>
      </c>
      <c r="X63" s="57" t="n">
        <f aca="false">L63*$Q3</f>
        <v>2.8</v>
      </c>
      <c r="Y63" s="57" t="n">
        <f aca="false">M63*$Q3</f>
        <v>2.8</v>
      </c>
      <c r="Z63" s="137"/>
      <c r="AA63" s="137"/>
      <c r="AB63" s="137"/>
      <c r="AC63" s="137"/>
    </row>
    <row r="64" customFormat="false" ht="15" hidden="false" customHeight="false" outlineLevel="0" collapsed="false">
      <c r="B64" s="137"/>
      <c r="C64" s="137"/>
      <c r="D64" s="9" t="s">
        <v>68</v>
      </c>
      <c r="E64" s="9"/>
      <c r="F64" s="9"/>
      <c r="G64" s="37" t="n">
        <v>39</v>
      </c>
      <c r="H64" s="26" t="n">
        <v>24</v>
      </c>
      <c r="I64" s="26" t="n">
        <v>38</v>
      </c>
      <c r="J64" s="26" t="n">
        <v>8</v>
      </c>
      <c r="K64" s="26" t="n">
        <v>15</v>
      </c>
      <c r="L64" s="26" t="n">
        <v>7</v>
      </c>
      <c r="M64" s="26" t="n">
        <v>12</v>
      </c>
      <c r="P64" s="9" t="s">
        <v>68</v>
      </c>
      <c r="Q64" s="9"/>
      <c r="R64" s="9"/>
      <c r="S64" s="57" t="n">
        <f aca="false">G64*$Q3</f>
        <v>15.6</v>
      </c>
      <c r="T64" s="57" t="n">
        <f aca="false">H64*$Q3</f>
        <v>9.6</v>
      </c>
      <c r="U64" s="57" t="n">
        <f aca="false">I64*$Q3</f>
        <v>15.2</v>
      </c>
      <c r="V64" s="57" t="n">
        <f aca="false">J64*$Q3</f>
        <v>3.2</v>
      </c>
      <c r="W64" s="57" t="n">
        <f aca="false">K64*$Q3</f>
        <v>6</v>
      </c>
      <c r="X64" s="57" t="n">
        <f aca="false">L64*$Q3</f>
        <v>2.8</v>
      </c>
      <c r="Y64" s="57" t="n">
        <f aca="false">M64*$Q3</f>
        <v>4.8</v>
      </c>
      <c r="Z64" s="137"/>
      <c r="AA64" s="137"/>
      <c r="AB64" s="137"/>
      <c r="AC64" s="137"/>
    </row>
    <row r="65" customFormat="false" ht="15" hidden="false" customHeight="false" outlineLevel="0" collapsed="false">
      <c r="B65" s="137"/>
      <c r="C65" s="137"/>
      <c r="D65" s="9" t="s">
        <v>69</v>
      </c>
      <c r="E65" s="9"/>
      <c r="F65" s="9"/>
      <c r="G65" s="37"/>
      <c r="H65" s="26"/>
      <c r="I65" s="26" t="n">
        <v>1</v>
      </c>
      <c r="J65" s="26"/>
      <c r="K65" s="26" t="n">
        <v>7</v>
      </c>
      <c r="L65" s="26" t="n">
        <v>1</v>
      </c>
      <c r="M65" s="26"/>
      <c r="P65" s="9" t="s">
        <v>69</v>
      </c>
      <c r="Q65" s="9"/>
      <c r="R65" s="9"/>
      <c r="S65" s="57"/>
      <c r="T65" s="57"/>
      <c r="U65" s="57" t="n">
        <f aca="false">I65*$Q3</f>
        <v>0.4</v>
      </c>
      <c r="V65" s="57"/>
      <c r="W65" s="57" t="n">
        <f aca="false">K65*$Q3</f>
        <v>2.8</v>
      </c>
      <c r="X65" s="57"/>
      <c r="Y65" s="57"/>
      <c r="Z65" s="137"/>
      <c r="AA65" s="137"/>
      <c r="AB65" s="137"/>
      <c r="AC65" s="137"/>
    </row>
    <row r="66" customFormat="false" ht="15" hidden="false" customHeight="false" outlineLevel="0" collapsed="false">
      <c r="B66" s="137"/>
      <c r="C66" s="137"/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  <c r="Z66" s="137"/>
      <c r="AA66" s="137"/>
      <c r="AB66" s="137"/>
      <c r="AC66" s="137"/>
    </row>
    <row r="67" customFormat="false" ht="15" hidden="false" customHeight="false" outlineLevel="0" collapsed="false">
      <c r="B67" s="137"/>
      <c r="C67" s="137"/>
      <c r="D67" s="9" t="s">
        <v>71</v>
      </c>
      <c r="E67" s="9"/>
      <c r="F67" s="9"/>
      <c r="G67" s="37" t="n">
        <v>63</v>
      </c>
      <c r="H67" s="26" t="n">
        <v>50</v>
      </c>
      <c r="I67" s="26" t="n">
        <v>35</v>
      </c>
      <c r="J67" s="26" t="n">
        <v>40</v>
      </c>
      <c r="K67" s="26" t="n">
        <v>11</v>
      </c>
      <c r="L67" s="26" t="n">
        <v>2</v>
      </c>
      <c r="M67" s="26" t="n">
        <v>30</v>
      </c>
      <c r="P67" s="9" t="s">
        <v>71</v>
      </c>
      <c r="Q67" s="9"/>
      <c r="R67" s="9"/>
      <c r="S67" s="57" t="n">
        <f aca="false">G67*$Q3</f>
        <v>25.2</v>
      </c>
      <c r="T67" s="57" t="n">
        <f aca="false">H67*$Q3</f>
        <v>20</v>
      </c>
      <c r="U67" s="57" t="n">
        <f aca="false">I67*$Q3</f>
        <v>14</v>
      </c>
      <c r="V67" s="57" t="n">
        <f aca="false">J67*$Q3</f>
        <v>16</v>
      </c>
      <c r="W67" s="57" t="n">
        <f aca="false">K67*$Q3</f>
        <v>4.4</v>
      </c>
      <c r="X67" s="57" t="n">
        <f aca="false">L67*$Q3</f>
        <v>0.8</v>
      </c>
      <c r="Y67" s="57" t="n">
        <f aca="false">M67*$Q3</f>
        <v>12</v>
      </c>
      <c r="Z67" s="137"/>
      <c r="AA67" s="137"/>
      <c r="AB67" s="137"/>
      <c r="AC67" s="137"/>
    </row>
    <row r="68" customFormat="false" ht="15" hidden="false" customHeight="false" outlineLevel="0" collapsed="false">
      <c r="B68" s="137"/>
      <c r="C68" s="137"/>
      <c r="D68" s="9" t="s">
        <v>72</v>
      </c>
      <c r="E68" s="9"/>
      <c r="F68" s="9"/>
      <c r="G68" s="58" t="n">
        <v>29</v>
      </c>
      <c r="H68" s="30" t="n">
        <v>10</v>
      </c>
      <c r="I68" s="30" t="n">
        <v>3</v>
      </c>
      <c r="J68" s="30" t="n">
        <v>4</v>
      </c>
      <c r="K68" s="30" t="n">
        <v>3</v>
      </c>
      <c r="L68" s="30" t="n">
        <v>3</v>
      </c>
      <c r="M68" s="30"/>
      <c r="P68" s="9" t="s">
        <v>72</v>
      </c>
      <c r="Q68" s="9"/>
      <c r="R68" s="9"/>
      <c r="S68" s="57" t="n">
        <f aca="false">G68*$Q3</f>
        <v>11.6</v>
      </c>
      <c r="T68" s="57" t="n">
        <f aca="false">H68*$Q3</f>
        <v>4</v>
      </c>
      <c r="U68" s="57" t="n">
        <f aca="false">I68*$Q3</f>
        <v>1.2</v>
      </c>
      <c r="V68" s="57" t="n">
        <f aca="false">J68*$Q3</f>
        <v>1.6</v>
      </c>
      <c r="W68" s="57" t="n">
        <f aca="false">K68*$Q3</f>
        <v>1.2</v>
      </c>
      <c r="X68" s="57" t="n">
        <f aca="false">L68*$Q3</f>
        <v>1.2</v>
      </c>
      <c r="Y68" s="57"/>
      <c r="Z68" s="137"/>
      <c r="AA68" s="137"/>
      <c r="AB68" s="137"/>
      <c r="AC68" s="137"/>
    </row>
    <row r="69" customFormat="false" ht="15" hidden="false" customHeight="false" outlineLevel="0" collapsed="false">
      <c r="B69" s="137"/>
      <c r="C69" s="137"/>
      <c r="D69" s="9" t="s">
        <v>73</v>
      </c>
      <c r="E69" s="9"/>
      <c r="F69" s="9"/>
      <c r="G69" s="58" t="n">
        <v>28</v>
      </c>
      <c r="H69" s="30" t="n">
        <v>40</v>
      </c>
      <c r="I69" s="30" t="n">
        <v>57</v>
      </c>
      <c r="J69" s="30" t="n">
        <v>7</v>
      </c>
      <c r="K69" s="30" t="n">
        <v>33</v>
      </c>
      <c r="L69" s="30" t="n">
        <v>10</v>
      </c>
      <c r="M69" s="30" t="n">
        <v>14</v>
      </c>
      <c r="P69" s="9" t="s">
        <v>73</v>
      </c>
      <c r="Q69" s="9"/>
      <c r="R69" s="9"/>
      <c r="S69" s="57" t="n">
        <f aca="false">G69*$Q3</f>
        <v>11.2</v>
      </c>
      <c r="T69" s="57" t="n">
        <f aca="false">H69*$Q3</f>
        <v>16</v>
      </c>
      <c r="U69" s="57" t="n">
        <f aca="false">I69*$Q3</f>
        <v>22.8</v>
      </c>
      <c r="V69" s="57" t="n">
        <f aca="false">J69*$Q3</f>
        <v>2.8</v>
      </c>
      <c r="W69" s="57" t="n">
        <f aca="false">K69*$Q3</f>
        <v>13.2</v>
      </c>
      <c r="X69" s="57" t="n">
        <f aca="false">L69*$Q3</f>
        <v>4</v>
      </c>
      <c r="Y69" s="57" t="n">
        <f aca="false">M69*$Q3</f>
        <v>5.6</v>
      </c>
      <c r="Z69" s="137"/>
      <c r="AA69" s="137"/>
      <c r="AB69" s="137"/>
      <c r="AC69" s="137"/>
    </row>
    <row r="70" customFormat="false" ht="15" hidden="false" customHeight="false" outlineLevel="0" collapsed="false">
      <c r="B70" s="137"/>
      <c r="C70" s="137"/>
      <c r="D70" s="9" t="s">
        <v>60</v>
      </c>
      <c r="E70" s="9"/>
      <c r="F70" s="9"/>
      <c r="G70" s="60" t="n">
        <f aca="false">SUM(G58:G69)</f>
        <v>988</v>
      </c>
      <c r="H70" s="60" t="n">
        <f aca="false">SUM(H58:H69)</f>
        <v>798</v>
      </c>
      <c r="I70" s="60" t="n">
        <f aca="false">SUM(I58:I69)</f>
        <v>544</v>
      </c>
      <c r="J70" s="60" t="n">
        <f aca="false">SUM(J58:J69)</f>
        <v>300</v>
      </c>
      <c r="K70" s="12" t="n">
        <f aca="false">SUM(K58:K69)</f>
        <v>309</v>
      </c>
      <c r="L70" s="12" t="n">
        <f aca="false">SUM(L58:L69)</f>
        <v>240</v>
      </c>
      <c r="M70" s="12" t="n">
        <f aca="false">SUM(M58:M69)</f>
        <v>249</v>
      </c>
      <c r="P70" s="9" t="s">
        <v>60</v>
      </c>
      <c r="Q70" s="9"/>
      <c r="R70" s="9"/>
      <c r="S70" s="61" t="n">
        <f aca="false">G70*$Q3</f>
        <v>395.2</v>
      </c>
      <c r="T70" s="61" t="n">
        <f aca="false">H70*$Q3</f>
        <v>319.2</v>
      </c>
      <c r="U70" s="61" t="n">
        <f aca="false">I70*$Q3</f>
        <v>217.6</v>
      </c>
      <c r="V70" s="61" t="n">
        <f aca="false">J70*$Q3</f>
        <v>120</v>
      </c>
      <c r="W70" s="61" t="n">
        <f aca="false">K70*$Q3</f>
        <v>123.6</v>
      </c>
      <c r="X70" s="61" t="n">
        <f aca="false">L70*$Q3</f>
        <v>96</v>
      </c>
      <c r="Y70" s="61" t="n">
        <f aca="false">M70*$Q3</f>
        <v>99.6</v>
      </c>
      <c r="Z70" s="137"/>
      <c r="AA70" s="137"/>
      <c r="AB70" s="137"/>
      <c r="AC70" s="137"/>
    </row>
    <row r="71" customFormat="false" ht="15" hidden="false" customHeight="false" outlineLevel="0" collapsed="false">
      <c r="B71" s="137"/>
      <c r="C71" s="137"/>
      <c r="Z71" s="137"/>
      <c r="AA71" s="137"/>
      <c r="AB71" s="137"/>
      <c r="AC71" s="137"/>
    </row>
    <row r="72" customFormat="false" ht="15" hidden="false" customHeight="false" outlineLevel="0" collapsed="false">
      <c r="B72" s="137"/>
      <c r="C72" s="137"/>
      <c r="Z72" s="137"/>
      <c r="AA72" s="137"/>
      <c r="AB72" s="137"/>
      <c r="AC72" s="137"/>
    </row>
    <row r="73" customFormat="false" ht="15" hidden="false" customHeight="false" outlineLevel="0" collapsed="false">
      <c r="B73" s="137"/>
      <c r="C73" s="137"/>
      <c r="Z73" s="137"/>
      <c r="AA73" s="137"/>
      <c r="AB73" s="137"/>
      <c r="AC73" s="137"/>
    </row>
    <row r="74" customFormat="false" ht="15" hidden="false" customHeight="false" outlineLevel="0" collapsed="false">
      <c r="B74" s="137"/>
      <c r="C74" s="137"/>
      <c r="Z74" s="137"/>
      <c r="AA74" s="137"/>
      <c r="AB74" s="137"/>
      <c r="AC74" s="137"/>
    </row>
    <row r="75" customFormat="false" ht="15" hidden="false" customHeight="false" outlineLevel="0" collapsed="false">
      <c r="B75" s="137"/>
      <c r="C75" s="137"/>
      <c r="Z75" s="137"/>
      <c r="AA75" s="137"/>
      <c r="AB75" s="137"/>
      <c r="AC75" s="137"/>
    </row>
    <row r="76" customFormat="false" ht="15" hidden="false" customHeight="false" outlineLevel="0" collapsed="false">
      <c r="B76" s="137"/>
      <c r="C76" s="137"/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  <c r="Z76" s="137"/>
      <c r="AA76" s="137"/>
      <c r="AB76" s="137"/>
      <c r="AC76" s="137"/>
    </row>
    <row r="77" customFormat="false" ht="15" hidden="false" customHeight="false" outlineLevel="0" collapsed="false">
      <c r="B77" s="137"/>
      <c r="C77" s="137"/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  <c r="Z77" s="137"/>
      <c r="AA77" s="137"/>
      <c r="AB77" s="137"/>
      <c r="AC77" s="137"/>
    </row>
    <row r="78" customFormat="false" ht="15" hidden="false" customHeight="false" outlineLevel="0" collapsed="false">
      <c r="B78" s="137"/>
      <c r="C78" s="137"/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  <c r="Z78" s="137"/>
      <c r="AA78" s="137"/>
      <c r="AB78" s="137"/>
      <c r="AC78" s="137"/>
    </row>
    <row r="79" customFormat="false" ht="15" hidden="false" customHeight="false" outlineLevel="0" collapsed="false">
      <c r="B79" s="137"/>
      <c r="C79" s="137"/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  <c r="Z79" s="137"/>
      <c r="AA79" s="137"/>
      <c r="AB79" s="137"/>
      <c r="AC79" s="137"/>
    </row>
    <row r="80" customFormat="false" ht="15" hidden="false" customHeight="false" outlineLevel="0" collapsed="false">
      <c r="B80" s="137"/>
      <c r="C80" s="137"/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  <c r="Z80" s="137"/>
      <c r="AA80" s="137"/>
      <c r="AB80" s="137"/>
      <c r="AC80" s="137"/>
    </row>
    <row r="81" customFormat="false" ht="15" hidden="false" customHeight="false" outlineLevel="0" collapsed="false">
      <c r="B81" s="137"/>
      <c r="C81" s="137"/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  <c r="Z81" s="137"/>
      <c r="AA81" s="137"/>
      <c r="AB81" s="137"/>
      <c r="AC81" s="137"/>
    </row>
    <row r="82" customFormat="false" ht="15" hidden="false" customHeight="false" outlineLevel="0" collapsed="false">
      <c r="B82" s="137"/>
      <c r="C82" s="137"/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  <c r="Z82" s="137"/>
      <c r="AA82" s="137"/>
      <c r="AB82" s="137"/>
      <c r="AC82" s="137"/>
    </row>
    <row r="83" customFormat="false" ht="15" hidden="false" customHeight="false" outlineLevel="0" collapsed="false">
      <c r="B83" s="137"/>
      <c r="C83" s="137"/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  <c r="Z83" s="137"/>
      <c r="AA83" s="137"/>
      <c r="AB83" s="137"/>
      <c r="AC83" s="137"/>
    </row>
    <row r="84" customFormat="false" ht="15" hidden="false" customHeight="false" outlineLevel="0" collapsed="false"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</row>
    <row r="85" customFormat="false" ht="15" hidden="false" customHeight="false" outlineLevel="0" collapsed="false"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</row>
    <row r="86" customFormat="false" ht="15" hidden="false" customHeight="false" outlineLevel="0" collapsed="false"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</row>
    <row r="87" customFormat="false" ht="15" hidden="false" customHeight="false" outlineLevel="0" collapsed="false"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</row>
    <row r="88" customFormat="false" ht="15" hidden="false" customHeight="false" outlineLevel="0" collapsed="false"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</row>
    <row r="89" customFormat="false" ht="15" hidden="false" customHeight="false" outlineLevel="0" collapsed="false"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</row>
    <row r="90" customFormat="false" ht="15" hidden="false" customHeight="false" outlineLevel="0" collapsed="false"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</row>
    <row r="91" customFormat="false" ht="15" hidden="false" customHeight="false" outlineLevel="0" collapsed="false"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</row>
    <row r="92" customFormat="false" ht="15" hidden="false" customHeight="false" outlineLevel="0" collapsed="false"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</row>
    <row r="93" customFormat="false" ht="15" hidden="false" customHeight="false" outlineLevel="0" collapsed="false"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</row>
    <row r="94" customFormat="false" ht="15" hidden="false" customHeight="false" outlineLevel="0" collapsed="false"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</row>
    <row r="95" customFormat="false" ht="15" hidden="false" customHeight="false" outlineLevel="0" collapsed="false"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</row>
    <row r="96" customFormat="false" ht="15" hidden="false" customHeight="false" outlineLevel="0" collapsed="false"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</row>
    <row r="97" customFormat="false" ht="15" hidden="false" customHeight="false" outlineLevel="0" collapsed="false"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</row>
    <row r="98" customFormat="false" ht="15" hidden="false" customHeight="false" outlineLevel="0" collapsed="false"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</row>
    <row r="99" customFormat="false" ht="15" hidden="false" customHeight="false" outlineLevel="0" collapsed="false"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</row>
    <row r="100" customFormat="false" ht="15" hidden="false" customHeight="false" outlineLevel="0" collapsed="false"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</row>
    <row r="101" customFormat="false" ht="15" hidden="false" customHeight="false" outlineLevel="0" collapsed="false"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</row>
    <row r="102" customFormat="false" ht="15" hidden="false" customHeight="false" outlineLevel="0" collapsed="false"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</row>
    <row r="103" customFormat="false" ht="15" hidden="false" customHeight="false" outlineLevel="0" collapsed="false"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</row>
    <row r="104" customFormat="false" ht="15" hidden="false" customHeight="false" outlineLevel="0" collapsed="false"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</row>
    <row r="105" customFormat="false" ht="15" hidden="false" customHeight="false" outlineLevel="0" collapsed="false"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L28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93</v>
      </c>
      <c r="I3" s="119" t="s">
        <v>2</v>
      </c>
      <c r="J3" s="4" t="n">
        <v>45194</v>
      </c>
      <c r="K3" s="5" t="n">
        <v>45200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93</v>
      </c>
      <c r="U3" s="119" t="s">
        <v>2</v>
      </c>
      <c r="V3" s="4" t="n">
        <v>45194</v>
      </c>
      <c r="W3" s="5" t="n">
        <v>45200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14</v>
      </c>
      <c r="H7" s="13" t="n">
        <v>13</v>
      </c>
      <c r="I7" s="13" t="n">
        <v>2</v>
      </c>
      <c r="J7" s="13" t="n">
        <v>1</v>
      </c>
      <c r="K7" s="13" t="n">
        <v>2</v>
      </c>
      <c r="L7" s="13" t="n">
        <v>5</v>
      </c>
      <c r="M7" s="13" t="n">
        <v>2</v>
      </c>
      <c r="P7" s="12" t="s">
        <v>14</v>
      </c>
      <c r="Q7" s="12"/>
      <c r="R7" s="12"/>
      <c r="S7" s="14" t="n">
        <f aca="false">Tabella52791124791618202224262830323436384042444648505254565860626468707274767880828486908892[[#This Row],[Colonna1]]*$Q3</f>
        <v>5.6</v>
      </c>
      <c r="T7" s="14" t="n">
        <f aca="false">Tabella52791124791618202224262830323436384042444648505254565860626468707274767880828486908892[[#This Row],[Colonna2]]*$Q3</f>
        <v>5.2</v>
      </c>
      <c r="U7" s="14" t="n">
        <f aca="false">Tabella52791124791618202224262830323436384042444648505254565860626468707274767880828486908892[[#This Row],[Colonna3]]*$Q3</f>
        <v>0.8</v>
      </c>
      <c r="V7" s="14" t="n">
        <f aca="false">Tabella52791124791618202224262830323436384042444648505254565860626468707274767880828486908892[[#This Row],[Colonna4]]*$Q3</f>
        <v>0.4</v>
      </c>
      <c r="W7" s="14" t="n">
        <f aca="false">Tabella52791124791618202224262830323436384042444648505254565860626468707274767880828486908892[[#This Row],[Colonna5]]*$Q3</f>
        <v>0.8</v>
      </c>
      <c r="X7" s="14" t="n">
        <f aca="false">Tabella52791124791618202224262830323436384042444648505254565860626468707274767880828486908892[[#This Row],[Colonna6]]*$Q3</f>
        <v>2</v>
      </c>
      <c r="Y7" s="14" t="n">
        <f aca="false">Tabella52791124791618202224262830323436384042444648505254565860626468707274767880828486908892[[#This Row],[Colonna7]]*$Q3</f>
        <v>0.8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18</v>
      </c>
      <c r="H12" s="13" t="n">
        <v>17</v>
      </c>
      <c r="I12" s="13" t="n">
        <v>16</v>
      </c>
      <c r="J12" s="13" t="n">
        <v>3</v>
      </c>
      <c r="K12" s="13" t="n">
        <v>8</v>
      </c>
      <c r="L12" s="13" t="n">
        <v>4</v>
      </c>
      <c r="M12" s="13" t="n">
        <v>1</v>
      </c>
      <c r="P12" s="12" t="s">
        <v>19</v>
      </c>
      <c r="Q12" s="12"/>
      <c r="R12" s="12"/>
      <c r="S12" s="14" t="n">
        <f aca="false">Tabella52791124791618202224262830323436384042444648505254565860626468707274767880828486908892[[#This Row],[Colonna1]]*$Q3</f>
        <v>7.2</v>
      </c>
      <c r="T12" s="14" t="n">
        <f aca="false">Tabella52791124791618202224262830323436384042444648505254565860626468707274767880828486908892[[#This Row],[Colonna2]]*$Q3</f>
        <v>6.8</v>
      </c>
      <c r="U12" s="14" t="n">
        <f aca="false">Tabella52791124791618202224262830323436384042444648505254565860626468707274767880828486908892[[#This Row],[Colonna3]]*$Q3</f>
        <v>6.4</v>
      </c>
      <c r="V12" s="14" t="n">
        <f aca="false">Tabella52791124791618202224262830323436384042444648505254565860626468707274767880828486908892[[#This Row],[Colonna4]]*$Q3</f>
        <v>1.2</v>
      </c>
      <c r="W12" s="14" t="n">
        <f aca="false">Tabella52791124791618202224262830323436384042444648505254565860626468707274767880828486908892[[#This Row],[Colonna5]]*$Q3</f>
        <v>3.2</v>
      </c>
      <c r="X12" s="14" t="n">
        <f aca="false">Tabella52791124791618202224262830323436384042444648505254565860626468707274767880828486908892[[#This Row],[Colonna6]]*$Q3</f>
        <v>1.6</v>
      </c>
      <c r="Y12" s="14" t="n">
        <f aca="false">Tabella52791124791618202224262830323436384042444648505254565860626468707274767880828486908892[[#This Row],[Colonna7]]*$Q3</f>
        <v>0.4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3</v>
      </c>
      <c r="H15" s="13" t="n">
        <v>10</v>
      </c>
      <c r="I15" s="13" t="n">
        <v>32</v>
      </c>
      <c r="J15" s="13" t="n">
        <v>8</v>
      </c>
      <c r="K15" s="13" t="n">
        <v>18</v>
      </c>
      <c r="L15" s="13" t="n">
        <v>2</v>
      </c>
      <c r="M15" s="13" t="n">
        <v>1</v>
      </c>
      <c r="P15" s="12" t="s">
        <v>22</v>
      </c>
      <c r="Q15" s="12"/>
      <c r="R15" s="12"/>
      <c r="S15" s="14" t="n">
        <f aca="false">Tabella52791124791618202224262830323436384042444648505254565860626468707274767880828486908892[[#This Row],[Colonna1]]*$Q3</f>
        <v>1.2</v>
      </c>
      <c r="T15" s="14" t="n">
        <f aca="false">Tabella52791124791618202224262830323436384042444648505254565860626468707274767880828486908892[[#This Row],[Colonna2]]*$Q3</f>
        <v>4</v>
      </c>
      <c r="U15" s="14" t="n">
        <f aca="false">Tabella52791124791618202224262830323436384042444648505254565860626468707274767880828486908892[[#This Row],[Colonna3]]*$Q3</f>
        <v>12.8</v>
      </c>
      <c r="V15" s="14" t="n">
        <f aca="false">Tabella52791124791618202224262830323436384042444648505254565860626468707274767880828486908892[[#This Row],[Colonna4]]*$Q3</f>
        <v>3.2</v>
      </c>
      <c r="W15" s="14" t="n">
        <f aca="false">Tabella52791124791618202224262830323436384042444648505254565860626468707274767880828486908892[[#This Row],[Colonna5]]*$Q3</f>
        <v>7.2</v>
      </c>
      <c r="X15" s="14" t="n">
        <f aca="false">Tabella52791124791618202224262830323436384042444648505254565860626468707274767880828486908892[[#This Row],[Colonna6]]*$Q3</f>
        <v>0.8</v>
      </c>
      <c r="Y15" s="14" t="n">
        <f aca="false">Tabella52791124791618202224262830323436384042444648505254565860626468707274767880828486908892[[#This Row],[Colonna7]]*$Q3</f>
        <v>0.4</v>
      </c>
    </row>
    <row r="16" customFormat="false" ht="15" hidden="false" customHeight="false" outlineLevel="0" collapsed="false">
      <c r="D16" s="12" t="s">
        <v>23</v>
      </c>
      <c r="E16" s="12"/>
      <c r="F16" s="12"/>
      <c r="G16" s="13" t="n">
        <v>63</v>
      </c>
      <c r="H16" s="13" t="n">
        <v>98</v>
      </c>
      <c r="I16" s="13" t="n">
        <v>53</v>
      </c>
      <c r="J16" s="13" t="n">
        <v>24</v>
      </c>
      <c r="K16" s="13" t="n">
        <v>13</v>
      </c>
      <c r="L16" s="13" t="n">
        <v>6</v>
      </c>
      <c r="M16" s="13"/>
      <c r="P16" s="12" t="s">
        <v>23</v>
      </c>
      <c r="Q16" s="12"/>
      <c r="R16" s="12"/>
      <c r="S16" s="14" t="n">
        <f aca="false">Tabella52791124791618202224262830323436384042444648505254565860626468707274767880828486908892[[#This Row],[Colonna1]]*$Q3</f>
        <v>25.2</v>
      </c>
      <c r="T16" s="14" t="n">
        <f aca="false">Tabella52791124791618202224262830323436384042444648505254565860626468707274767880828486908892[[#This Row],[Colonna2]]*$Q3</f>
        <v>39.2</v>
      </c>
      <c r="U16" s="14" t="n">
        <f aca="false">Tabella52791124791618202224262830323436384042444648505254565860626468707274767880828486908892[[#This Row],[Colonna3]]*$Q3</f>
        <v>21.2</v>
      </c>
      <c r="V16" s="14" t="n">
        <f aca="false">Tabella52791124791618202224262830323436384042444648505254565860626468707274767880828486908892[[#This Row],[Colonna4]]*$Q3</f>
        <v>9.6</v>
      </c>
      <c r="W16" s="14" t="n">
        <f aca="false">Tabella52791124791618202224262830323436384042444648505254565860626468707274767880828486908892[[#This Row],[Colonna5]]*$Q3</f>
        <v>5.2</v>
      </c>
      <c r="X16" s="14" t="n">
        <f aca="false">Tabella52791124791618202224262830323436384042444648505254565860626468707274767880828486908892[[#This Row],[Colonna6]]*$Q3</f>
        <v>2.4</v>
      </c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/>
      <c r="T22" s="14"/>
      <c r="U22" s="14"/>
      <c r="V22" s="14"/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</v>
      </c>
      <c r="H29" s="13" t="n">
        <v>9</v>
      </c>
      <c r="I29" s="13" t="n">
        <v>5</v>
      </c>
      <c r="J29" s="13" t="n">
        <v>4</v>
      </c>
      <c r="K29" s="13" t="n">
        <v>5</v>
      </c>
      <c r="L29" s="13" t="n">
        <v>4</v>
      </c>
      <c r="M29" s="13" t="n">
        <v>1</v>
      </c>
      <c r="P29" s="12" t="s">
        <v>36</v>
      </c>
      <c r="Q29" s="12"/>
      <c r="R29" s="12"/>
      <c r="S29" s="14" t="n">
        <f aca="false">Tabella52791124791618202224262830323436384042444648505254565860626468707274767880828486908892[[#This Row],[Colonna1]]*$Q3</f>
        <v>0.4</v>
      </c>
      <c r="T29" s="14" t="n">
        <f aca="false">Tabella52791124791618202224262830323436384042444648505254565860626468707274767880828486908892[[#This Row],[Colonna2]]*$Q3</f>
        <v>3.6</v>
      </c>
      <c r="U29" s="14" t="n">
        <f aca="false">Tabella52791124791618202224262830323436384042444648505254565860626468707274767880828486908892[[#This Row],[Colonna3]]*$Q3</f>
        <v>2</v>
      </c>
      <c r="V29" s="14" t="n">
        <f aca="false">Tabella52791124791618202224262830323436384042444648505254565860626468707274767880828486908892[[#This Row],[Colonna4]]*$Q3</f>
        <v>1.6</v>
      </c>
      <c r="W29" s="14" t="n">
        <f aca="false">Tabella52791124791618202224262830323436384042444648505254565860626468707274767880828486908892[[#This Row],[Colonna5]]*$Q3</f>
        <v>2</v>
      </c>
      <c r="X29" s="14" t="n">
        <f aca="false">Tabella52791124791618202224262830323436384042444648505254565860626468707274767880828486908892[[#This Row],[Colonna6]]*$Q3</f>
        <v>1.6</v>
      </c>
      <c r="Y29" s="14" t="n">
        <f aca="false">Tabella52791124791618202224262830323436384042444648505254565860626468707274767880828486908892[[#This Row],[Colonna7]]*$Q3</f>
        <v>0.4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 t="n">
        <v>1</v>
      </c>
      <c r="J42" s="13"/>
      <c r="K42" s="13"/>
      <c r="L42" s="13" t="n">
        <v>3</v>
      </c>
      <c r="M42" s="13"/>
      <c r="P42" s="9" t="s">
        <v>49</v>
      </c>
      <c r="Q42" s="9"/>
      <c r="R42" s="9"/>
      <c r="S42" s="14"/>
      <c r="T42" s="14"/>
      <c r="U42" s="14" t="n">
        <f aca="false">Tabella52791124791618202224262830323436384042444648505254565860626468707274767880828486908892[[#This Row],[Colonna3]]*$Q3</f>
        <v>0.4</v>
      </c>
      <c r="V42" s="14"/>
      <c r="W42" s="14"/>
      <c r="X42" s="14" t="n">
        <f aca="false">Tabella52791124791618202224262830323436384042444648505254565860626468707274767880828486908892[[#This Row],[Colonna6]]*$Q3</f>
        <v>1.2</v>
      </c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9</v>
      </c>
      <c r="H44" s="13" t="n">
        <v>28</v>
      </c>
      <c r="I44" s="13" t="n">
        <v>17</v>
      </c>
      <c r="J44" s="13" t="n">
        <v>12</v>
      </c>
      <c r="K44" s="13" t="n">
        <v>17</v>
      </c>
      <c r="L44" s="13" t="n">
        <v>16</v>
      </c>
      <c r="M44" s="13" t="n">
        <v>4</v>
      </c>
      <c r="P44" s="12" t="s">
        <v>51</v>
      </c>
      <c r="Q44" s="12"/>
      <c r="R44" s="12"/>
      <c r="S44" s="14" t="n">
        <f aca="false">Tabella52791124791618202224262830323436384042444648505254565860626468707274767880828486908892[[#This Row],[Colonna1]]*$Q3</f>
        <v>3.6</v>
      </c>
      <c r="T44" s="14" t="n">
        <f aca="false">Tabella52791124791618202224262830323436384042444648505254565860626468707274767880828486908892[[#This Row],[Colonna2]]*$Q3</f>
        <v>11.2</v>
      </c>
      <c r="U44" s="14" t="n">
        <f aca="false">Tabella52791124791618202224262830323436384042444648505254565860626468707274767880828486908892[[#This Row],[Colonna3]]*$Q3</f>
        <v>6.8</v>
      </c>
      <c r="V44" s="14" t="n">
        <f aca="false">Tabella52791124791618202224262830323436384042444648505254565860626468707274767880828486908892[[#This Row],[Colonna4]]*$Q3</f>
        <v>4.8</v>
      </c>
      <c r="W44" s="14" t="n">
        <f aca="false">Tabella52791124791618202224262830323436384042444648505254565860626468707274767880828486908892[[#This Row],[Colonna5]]*$Q3</f>
        <v>6.8</v>
      </c>
      <c r="X44" s="14" t="n">
        <f aca="false">Tabella52791124791618202224262830323436384042444648505254565860626468707274767880828486908892[[#This Row],[Colonna6]]*$Q3</f>
        <v>6.4</v>
      </c>
      <c r="Y44" s="14" t="n">
        <f aca="false">Tabella52791124791618202224262830323436384042444648505254565860626468707274767880828486908892[[#This Row],[Colonna7]]*$Q3</f>
        <v>1.6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 t="n">
        <v>1</v>
      </c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 t="n">
        <f aca="false">Tabella52791124791618202224262830323436384042444648505254565860626468707274767880828486908892[[#This Row],[Colonna3]]*$Q3</f>
        <v>0.4</v>
      </c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52</v>
      </c>
      <c r="H52" s="13" t="n">
        <v>70</v>
      </c>
      <c r="I52" s="13" t="n">
        <v>53</v>
      </c>
      <c r="J52" s="13" t="n">
        <v>19</v>
      </c>
      <c r="K52" s="13" t="n">
        <v>27</v>
      </c>
      <c r="L52" s="13" t="n">
        <v>45</v>
      </c>
      <c r="M52" s="13" t="n">
        <v>23</v>
      </c>
      <c r="P52" s="12" t="s">
        <v>59</v>
      </c>
      <c r="Q52" s="12"/>
      <c r="R52" s="12"/>
      <c r="S52" s="14" t="n">
        <f aca="false">Tabella52791124791618202224262830323436384042444648505254565860626468707274767880828486908892[[#This Row],[Colonna1]]*$Q3</f>
        <v>20.8</v>
      </c>
      <c r="T52" s="14" t="n">
        <f aca="false">Tabella52791124791618202224262830323436384042444648505254565860626468707274767880828486908892[[#This Row],[Colonna2]]*$Q3</f>
        <v>28</v>
      </c>
      <c r="U52" s="14" t="n">
        <f aca="false">Tabella52791124791618202224262830323436384042444648505254565860626468707274767880828486908892[[#This Row],[Colonna3]]*$Q3</f>
        <v>21.2</v>
      </c>
      <c r="V52" s="14" t="n">
        <f aca="false">Tabella52791124791618202224262830323436384042444648505254565860626468707274767880828486908892[[#This Row],[Colonna4]]*$Q3</f>
        <v>7.6</v>
      </c>
      <c r="W52" s="14" t="n">
        <f aca="false">Tabella52791124791618202224262830323436384042444648505254565860626468707274767880828486908892[[#This Row],[Colonna5]]*$Q3</f>
        <v>10.8</v>
      </c>
      <c r="X52" s="14" t="n">
        <f aca="false">Tabella52791124791618202224262830323436384042444648505254565860626468707274767880828486908892[[#This Row],[Colonna6]]*$Q3</f>
        <v>18</v>
      </c>
      <c r="Y52" s="14" t="n">
        <f aca="false">Tabella52791124791618202224262830323436384042444648505254565860626468707274767880828486908892[[#This Row],[Colonna7]]*$Q3</f>
        <v>9.2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160</v>
      </c>
      <c r="H53" s="55" t="n">
        <f aca="false">SUM(H6:H52)</f>
        <v>245</v>
      </c>
      <c r="I53" s="55" t="n">
        <f aca="false">SUM(I6:I52)</f>
        <v>180</v>
      </c>
      <c r="J53" s="55" t="n">
        <f aca="false">SUM(J6:J52)</f>
        <v>71</v>
      </c>
      <c r="K53" s="55" t="n">
        <f aca="false">SUM(K6:K52)</f>
        <v>90</v>
      </c>
      <c r="L53" s="55" t="n">
        <f aca="false">SUM(L6:L52)</f>
        <v>85</v>
      </c>
      <c r="M53" s="55" t="n">
        <f aca="false">SUM(M6:M52)</f>
        <v>32</v>
      </c>
      <c r="P53" s="17" t="s">
        <v>60</v>
      </c>
      <c r="Q53" s="17"/>
      <c r="R53" s="17"/>
      <c r="S53" s="56" t="n">
        <f aca="false">Tabella52791124791618202224262830323436384042444648505254565860626468707274767880828486908892[[#This Row],[Colonna1]]*$Q3</f>
        <v>64</v>
      </c>
      <c r="T53" s="56" t="n">
        <f aca="false">Tabella52791124791618202224262830323436384042444648505254565860626468707274767880828486908892[[#This Row],[Colonna2]]*$Q3</f>
        <v>98</v>
      </c>
      <c r="U53" s="56" t="n">
        <f aca="false">Tabella52791124791618202224262830323436384042444648505254565860626468707274767880828486908892[[#This Row],[Colonna3]]*$Q3</f>
        <v>72</v>
      </c>
      <c r="V53" s="56" t="n">
        <f aca="false">Tabella52791124791618202224262830323436384042444648505254565860626468707274767880828486908892[[#This Row],[Colonna4]]*$Q3</f>
        <v>28.4</v>
      </c>
      <c r="W53" s="56" t="n">
        <f aca="false">Tabella52791124791618202224262830323436384042444648505254565860626468707274767880828486908892[[#This Row],[Colonna5]]*$Q3</f>
        <v>36</v>
      </c>
      <c r="X53" s="56" t="n">
        <f aca="false">Tabella52791124791618202224262830323436384042444648505254565860626468707274767880828486908892[[#This Row],[Colonna6]]*$Q3</f>
        <v>34</v>
      </c>
      <c r="Y53" s="56" t="n">
        <f aca="false">Tabella52791124791618202224262830323436384042444648505254565860626468707274767880828486908892[[#This Row],[Colonna7]]*$Q3</f>
        <v>12.8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700</v>
      </c>
      <c r="H58" s="26" t="n">
        <v>782</v>
      </c>
      <c r="I58" s="26" t="n">
        <v>1390</v>
      </c>
      <c r="J58" s="26" t="n">
        <v>670</v>
      </c>
      <c r="K58" s="26" t="n">
        <v>704</v>
      </c>
      <c r="L58" s="26" t="n">
        <v>500</v>
      </c>
      <c r="M58" s="26" t="n">
        <v>394</v>
      </c>
      <c r="P58" s="23" t="s">
        <v>62</v>
      </c>
      <c r="Q58" s="23"/>
      <c r="R58" s="23"/>
      <c r="S58" s="57" t="n">
        <f aca="false">G58*$Q3</f>
        <v>280</v>
      </c>
      <c r="T58" s="57" t="n">
        <f aca="false">H58*$Q3</f>
        <v>312.8</v>
      </c>
      <c r="U58" s="57" t="n">
        <f aca="false">I58*$Q3</f>
        <v>556</v>
      </c>
      <c r="V58" s="57" t="n">
        <f aca="false">J58*$Q3</f>
        <v>268</v>
      </c>
      <c r="W58" s="57" t="n">
        <f aca="false">K58*$Q3</f>
        <v>281.6</v>
      </c>
      <c r="X58" s="57" t="n">
        <f aca="false">L58*$Q3</f>
        <v>200</v>
      </c>
      <c r="Y58" s="57" t="n">
        <f aca="false">M58*$Q3</f>
        <v>157.6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204</v>
      </c>
      <c r="H62" s="26" t="n">
        <v>250</v>
      </c>
      <c r="I62" s="26" t="n">
        <v>252</v>
      </c>
      <c r="J62" s="26" t="n">
        <v>120</v>
      </c>
      <c r="K62" s="26" t="n">
        <v>207</v>
      </c>
      <c r="L62" s="26" t="n">
        <v>100</v>
      </c>
      <c r="M62" s="26" t="n">
        <v>87</v>
      </c>
      <c r="P62" s="9" t="s">
        <v>66</v>
      </c>
      <c r="Q62" s="9"/>
      <c r="R62" s="9"/>
      <c r="S62" s="57" t="n">
        <f aca="false">G62*$Q3</f>
        <v>81.6</v>
      </c>
      <c r="T62" s="57" t="n">
        <f aca="false">H62*$Q3</f>
        <v>100</v>
      </c>
      <c r="U62" s="57" t="n">
        <f aca="false">I62*$Q3</f>
        <v>100.8</v>
      </c>
      <c r="V62" s="57" t="n">
        <f aca="false">J62*$Q3</f>
        <v>48</v>
      </c>
      <c r="W62" s="57" t="n">
        <f aca="false">K62*$Q3</f>
        <v>82.8</v>
      </c>
      <c r="X62" s="57" t="n">
        <f aca="false">L62*$Q3</f>
        <v>40</v>
      </c>
      <c r="Y62" s="57" t="n">
        <f aca="false">M62*$Q3</f>
        <v>34.8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9</v>
      </c>
      <c r="H63" s="26" t="n">
        <v>38</v>
      </c>
      <c r="I63" s="26" t="n">
        <v>12</v>
      </c>
      <c r="J63" s="26" t="n">
        <v>18</v>
      </c>
      <c r="K63" s="26" t="n">
        <v>12</v>
      </c>
      <c r="L63" s="26" t="n">
        <v>30</v>
      </c>
      <c r="M63" s="26" t="n">
        <v>9</v>
      </c>
      <c r="P63" s="9" t="s">
        <v>67</v>
      </c>
      <c r="Q63" s="9"/>
      <c r="R63" s="9"/>
      <c r="S63" s="57" t="n">
        <f aca="false">G63*$Q3</f>
        <v>3.6</v>
      </c>
      <c r="T63" s="57" t="n">
        <f aca="false">H63*$Q3</f>
        <v>15.2</v>
      </c>
      <c r="U63" s="57" t="n">
        <f aca="false">I63*$Q3</f>
        <v>4.8</v>
      </c>
      <c r="V63" s="57" t="n">
        <f aca="false">J63*$Q3</f>
        <v>7.2</v>
      </c>
      <c r="W63" s="57" t="n">
        <f aca="false">K63*$Q3</f>
        <v>4.8</v>
      </c>
      <c r="X63" s="57" t="n">
        <f aca="false">L63*$Q3</f>
        <v>12</v>
      </c>
      <c r="Y63" s="57" t="n">
        <f aca="false">M63*$Q3</f>
        <v>3.6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33</v>
      </c>
      <c r="H64" s="26" t="n">
        <v>52</v>
      </c>
      <c r="I64" s="26" t="n">
        <v>49</v>
      </c>
      <c r="J64" s="26" t="n">
        <v>22</v>
      </c>
      <c r="K64" s="26" t="n">
        <v>50</v>
      </c>
      <c r="L64" s="26" t="n">
        <v>40</v>
      </c>
      <c r="M64" s="26" t="n">
        <v>19</v>
      </c>
      <c r="P64" s="9" t="s">
        <v>68</v>
      </c>
      <c r="Q64" s="9"/>
      <c r="R64" s="9"/>
      <c r="S64" s="57" t="n">
        <f aca="false">G64*$Q3</f>
        <v>13.2</v>
      </c>
      <c r="T64" s="57" t="n">
        <f aca="false">H64*$Q3</f>
        <v>20.8</v>
      </c>
      <c r="U64" s="57" t="n">
        <f aca="false">I64*$Q3</f>
        <v>19.6</v>
      </c>
      <c r="V64" s="57" t="n">
        <f aca="false">J64*$Q3</f>
        <v>8.8</v>
      </c>
      <c r="W64" s="57" t="n">
        <f aca="false">K64*$Q3</f>
        <v>20</v>
      </c>
      <c r="X64" s="57" t="n">
        <f aca="false">L64*$Q3</f>
        <v>16</v>
      </c>
      <c r="Y64" s="57" t="n">
        <f aca="false">M64*$Q3</f>
        <v>7.6</v>
      </c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64</v>
      </c>
      <c r="H67" s="26" t="n">
        <v>70</v>
      </c>
      <c r="I67" s="26" t="n">
        <v>33</v>
      </c>
      <c r="J67" s="26" t="n">
        <v>15</v>
      </c>
      <c r="K67" s="26" t="n">
        <v>19</v>
      </c>
      <c r="L67" s="26" t="n">
        <v>21</v>
      </c>
      <c r="M67" s="26" t="n">
        <v>17</v>
      </c>
      <c r="P67" s="9" t="s">
        <v>71</v>
      </c>
      <c r="Q67" s="9"/>
      <c r="R67" s="9"/>
      <c r="S67" s="57" t="n">
        <f aca="false">G67*$Q3</f>
        <v>25.6</v>
      </c>
      <c r="T67" s="57" t="n">
        <f aca="false">H67*$Q3</f>
        <v>28</v>
      </c>
      <c r="U67" s="57" t="n">
        <f aca="false">I67*$Q3</f>
        <v>13.2</v>
      </c>
      <c r="V67" s="57" t="n">
        <f aca="false">J67*$Q3</f>
        <v>6</v>
      </c>
      <c r="W67" s="57" t="n">
        <f aca="false">K67*$Q3</f>
        <v>7.6</v>
      </c>
      <c r="X67" s="57" t="n">
        <f aca="false">L67*$Q3</f>
        <v>8.4</v>
      </c>
      <c r="Y67" s="57" t="n">
        <f aca="false">M67*$Q3</f>
        <v>6.8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2</v>
      </c>
      <c r="H68" s="30" t="n">
        <v>5</v>
      </c>
      <c r="I68" s="30" t="n">
        <v>6</v>
      </c>
      <c r="J68" s="30"/>
      <c r="K68" s="30" t="n">
        <v>1</v>
      </c>
      <c r="L68" s="30" t="n">
        <v>2</v>
      </c>
      <c r="M68" s="30" t="n">
        <v>1</v>
      </c>
      <c r="P68" s="9" t="s">
        <v>72</v>
      </c>
      <c r="Q68" s="9"/>
      <c r="R68" s="9"/>
      <c r="S68" s="57" t="n">
        <f aca="false">G68*$Q3</f>
        <v>0.8</v>
      </c>
      <c r="T68" s="57" t="n">
        <f aca="false">H68*$Q3</f>
        <v>2</v>
      </c>
      <c r="U68" s="57" t="n">
        <f aca="false">I68*$Q3</f>
        <v>2.4</v>
      </c>
      <c r="V68" s="57"/>
      <c r="W68" s="57" t="n">
        <f aca="false">K68*$Q3</f>
        <v>0.4</v>
      </c>
      <c r="X68" s="57" t="n">
        <f aca="false">L68*$Q3</f>
        <v>0.8</v>
      </c>
      <c r="Y68" s="57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39</v>
      </c>
      <c r="H69" s="30" t="n">
        <v>170</v>
      </c>
      <c r="I69" s="30" t="n">
        <v>115</v>
      </c>
      <c r="J69" s="30" t="n">
        <v>137</v>
      </c>
      <c r="K69" s="30" t="n">
        <v>220</v>
      </c>
      <c r="L69" s="30" t="n">
        <v>205</v>
      </c>
      <c r="M69" s="30" t="n">
        <v>122</v>
      </c>
      <c r="P69" s="9" t="s">
        <v>73</v>
      </c>
      <c r="Q69" s="9"/>
      <c r="R69" s="9"/>
      <c r="S69" s="57" t="n">
        <f aca="false">G69*$Q3</f>
        <v>15.6</v>
      </c>
      <c r="T69" s="57" t="n">
        <f aca="false">H69*$Q3</f>
        <v>68</v>
      </c>
      <c r="U69" s="57" t="n">
        <f aca="false">I69*$Q3</f>
        <v>46</v>
      </c>
      <c r="V69" s="57" t="n">
        <f aca="false">J69*$Q3</f>
        <v>54.8</v>
      </c>
      <c r="W69" s="57" t="n">
        <f aca="false">K69*$Q3</f>
        <v>88</v>
      </c>
      <c r="X69" s="57" t="n">
        <f aca="false">L69*$Q3</f>
        <v>82</v>
      </c>
      <c r="Y69" s="57" t="n">
        <f aca="false">M69*$Q3</f>
        <v>48.8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1051</v>
      </c>
      <c r="H70" s="60" t="n">
        <f aca="false">SUM(H58:H69)</f>
        <v>1367</v>
      </c>
      <c r="I70" s="60" t="n">
        <f aca="false">SUM(I58:I69)</f>
        <v>1857</v>
      </c>
      <c r="J70" s="60" t="n">
        <f aca="false">SUM(J58:J69)</f>
        <v>982</v>
      </c>
      <c r="K70" s="60" t="n">
        <f aca="false">SUM(K58:K69)</f>
        <v>1213</v>
      </c>
      <c r="L70" s="60" t="n">
        <f aca="false">SUM(L58:L69)</f>
        <v>898</v>
      </c>
      <c r="M70" s="12"/>
      <c r="P70" s="9" t="s">
        <v>60</v>
      </c>
      <c r="Q70" s="9"/>
      <c r="R70" s="9"/>
      <c r="S70" s="61" t="n">
        <f aca="false">G70*$Q3</f>
        <v>420.4</v>
      </c>
      <c r="T70" s="61" t="n">
        <f aca="false">H70*$Q3</f>
        <v>546.8</v>
      </c>
      <c r="U70" s="61" t="n">
        <f aca="false">I70*$Q3</f>
        <v>742.8</v>
      </c>
      <c r="V70" s="61" t="n">
        <f aca="false">J70*$Q3</f>
        <v>392.8</v>
      </c>
      <c r="W70" s="61" t="n">
        <f aca="false">K70*$Q3</f>
        <v>485.2</v>
      </c>
      <c r="X70" s="61" t="n">
        <f aca="false">L70*$Q3</f>
        <v>359.2</v>
      </c>
      <c r="Y70" s="61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94</v>
      </c>
      <c r="I3" s="119" t="s">
        <v>2</v>
      </c>
      <c r="J3" s="4" t="n">
        <v>45201</v>
      </c>
      <c r="K3" s="5" t="n">
        <v>45207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94</v>
      </c>
      <c r="U3" s="119" t="s">
        <v>2</v>
      </c>
      <c r="V3" s="4" t="n">
        <v>45201</v>
      </c>
      <c r="W3" s="5" t="n">
        <v>45207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3</v>
      </c>
      <c r="H7" s="13" t="n">
        <v>6</v>
      </c>
      <c r="I7" s="13" t="n">
        <v>12</v>
      </c>
      <c r="J7" s="13" t="n">
        <v>4</v>
      </c>
      <c r="K7" s="13" t="n">
        <v>1</v>
      </c>
      <c r="L7" s="13"/>
      <c r="M7" s="13" t="n">
        <v>3</v>
      </c>
      <c r="P7" s="12" t="s">
        <v>14</v>
      </c>
      <c r="Q7" s="12"/>
      <c r="R7" s="12"/>
      <c r="S7" s="14" t="n">
        <f aca="false">Tabella5279112479161820222426283032343638404244464850525456586062646870727476788082848690889294[[#This Row],[Colonna1]]*$Q3</f>
        <v>1.2</v>
      </c>
      <c r="T7" s="14" t="n">
        <f aca="false">Tabella5279112479161820222426283032343638404244464850525456586062646870727476788082848690889294[[#This Row],[Colonna2]]*$Q3</f>
        <v>2.4</v>
      </c>
      <c r="U7" s="14" t="n">
        <f aca="false">Tabella5279112479161820222426283032343638404244464850525456586062646870727476788082848690889294[[#This Row],[Colonna3]]*$Q3</f>
        <v>4.8</v>
      </c>
      <c r="V7" s="14" t="n">
        <f aca="false">Tabella5279112479161820222426283032343638404244464850525456586062646870727476788082848690889294[[#This Row],[Colonna4]]*$Q3</f>
        <v>1.6</v>
      </c>
      <c r="W7" s="14" t="n">
        <f aca="false">Tabella5279112479161820222426283032343638404244464850525456586062646870727476788082848690889294[[#This Row],[Colonna5]]*$Q3</f>
        <v>0.4</v>
      </c>
      <c r="X7" s="14"/>
      <c r="Y7" s="14" t="n">
        <f aca="false">Tabella5279112479161820222426283032343638404244464850525456586062646870727476788082848690889294[[#This Row],[Colonna7]]*$Q3</f>
        <v>1.2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4</v>
      </c>
      <c r="H12" s="13" t="n">
        <v>9</v>
      </c>
      <c r="I12" s="13" t="n">
        <v>9</v>
      </c>
      <c r="J12" s="13" t="n">
        <v>3</v>
      </c>
      <c r="K12" s="13" t="n">
        <v>1</v>
      </c>
      <c r="L12" s="13"/>
      <c r="M12" s="13" t="n">
        <v>1</v>
      </c>
      <c r="P12" s="12" t="s">
        <v>19</v>
      </c>
      <c r="Q12" s="12"/>
      <c r="R12" s="12"/>
      <c r="S12" s="14" t="n">
        <f aca="false">Tabella5279112479161820222426283032343638404244464850525456586062646870727476788082848690889294[[#This Row],[Colonna1]]*$Q3</f>
        <v>1.6</v>
      </c>
      <c r="T12" s="14" t="n">
        <f aca="false">Tabella5279112479161820222426283032343638404244464850525456586062646870727476788082848690889294[[#This Row],[Colonna2]]*$Q3</f>
        <v>3.6</v>
      </c>
      <c r="U12" s="14" t="n">
        <f aca="false">Tabella5279112479161820222426283032343638404244464850525456586062646870727476788082848690889294[[#This Row],[Colonna3]]*$Q3</f>
        <v>3.6</v>
      </c>
      <c r="V12" s="14" t="n">
        <f aca="false">Tabella5279112479161820222426283032343638404244464850525456586062646870727476788082848690889294[[#This Row],[Colonna4]]*$Q3</f>
        <v>1.2</v>
      </c>
      <c r="W12" s="14" t="n">
        <f aca="false">Tabella5279112479161820222426283032343638404244464850525456586062646870727476788082848690889294[[#This Row],[Colonna5]]*$Q3</f>
        <v>0.4</v>
      </c>
      <c r="X12" s="14"/>
      <c r="Y12" s="14" t="n">
        <f aca="false">Tabella5279112479161820222426283032343638404244464850525456586062646870727476788082848690889294[[#This Row],[Colonna7]]*$Q3</f>
        <v>0.4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4</v>
      </c>
      <c r="H15" s="13" t="n">
        <v>2</v>
      </c>
      <c r="I15" s="13" t="n">
        <v>3</v>
      </c>
      <c r="J15" s="13"/>
      <c r="K15" s="13"/>
      <c r="L15" s="13"/>
      <c r="M15" s="13"/>
      <c r="P15" s="12" t="s">
        <v>22</v>
      </c>
      <c r="Q15" s="12"/>
      <c r="R15" s="12"/>
      <c r="S15" s="14" t="n">
        <f aca="false">Tabella5279112479161820222426283032343638404244464850525456586062646870727476788082848690889294[[#This Row],[Colonna1]]*$Q3</f>
        <v>1.6</v>
      </c>
      <c r="T15" s="14" t="n">
        <f aca="false">Tabella5279112479161820222426283032343638404244464850525456586062646870727476788082848690889294[[#This Row],[Colonna2]]*$Q3</f>
        <v>0.8</v>
      </c>
      <c r="U15" s="14" t="n">
        <f aca="false">Tabella5279112479161820222426283032343638404244464850525456586062646870727476788082848690889294[[#This Row],[Colonna3]]*$Q3</f>
        <v>1.2</v>
      </c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 t="n">
        <v>13</v>
      </c>
      <c r="H16" s="13" t="n">
        <v>16</v>
      </c>
      <c r="I16" s="13" t="n">
        <v>10</v>
      </c>
      <c r="J16" s="13" t="n">
        <v>6</v>
      </c>
      <c r="K16" s="13" t="n">
        <v>2</v>
      </c>
      <c r="L16" s="13" t="n">
        <v>2</v>
      </c>
      <c r="M16" s="13" t="n">
        <v>2</v>
      </c>
      <c r="P16" s="12" t="s">
        <v>23</v>
      </c>
      <c r="Q16" s="12"/>
      <c r="R16" s="12"/>
      <c r="S16" s="14" t="n">
        <f aca="false">Tabella5279112479161820222426283032343638404244464850525456586062646870727476788082848690889294[[#This Row],[Colonna1]]*$Q3</f>
        <v>5.2</v>
      </c>
      <c r="T16" s="14" t="n">
        <f aca="false">Tabella5279112479161820222426283032343638404244464850525456586062646870727476788082848690889294[[#This Row],[Colonna2]]*$Q3</f>
        <v>6.4</v>
      </c>
      <c r="U16" s="14" t="n">
        <f aca="false">Tabella5279112479161820222426283032343638404244464850525456586062646870727476788082848690889294[[#This Row],[Colonna3]]*$Q3</f>
        <v>4</v>
      </c>
      <c r="V16" s="14" t="n">
        <f aca="false">Tabella5279112479161820222426283032343638404244464850525456586062646870727476788082848690889294[[#This Row],[Colonna4]]*$Q3</f>
        <v>2.4</v>
      </c>
      <c r="W16" s="14" t="n">
        <f aca="false">Tabella5279112479161820222426283032343638404244464850525456586062646870727476788082848690889294[[#This Row],[Colonna5]]*$Q3</f>
        <v>0.8</v>
      </c>
      <c r="X16" s="14" t="n">
        <f aca="false">Tabella5279112479161820222426283032343638404244464850525456586062646870727476788082848690889294[[#This Row],[Colonna6]]*$Q3</f>
        <v>0.8</v>
      </c>
      <c r="Y16" s="14" t="n">
        <f aca="false">Tabella5279112479161820222426283032343638404244464850525456586062646870727476788082848690889294[[#This Row],[Colonna7]]*$Q3</f>
        <v>0.8</v>
      </c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 t="n">
        <v>1</v>
      </c>
      <c r="I22" s="13" t="n">
        <v>1</v>
      </c>
      <c r="J22" s="13" t="n">
        <v>4</v>
      </c>
      <c r="K22" s="13"/>
      <c r="L22" s="13"/>
      <c r="M22" s="13"/>
      <c r="P22" s="12" t="s">
        <v>29</v>
      </c>
      <c r="Q22" s="12"/>
      <c r="R22" s="12"/>
      <c r="S22" s="14"/>
      <c r="T22" s="14" t="n">
        <f aca="false">Tabella5279112479161820222426283032343638404244464850525456586062646870727476788082848690889294[[#This Row],[Colonna2]]*$Q3</f>
        <v>0.4</v>
      </c>
      <c r="U22" s="14" t="n">
        <f aca="false">Tabella5279112479161820222426283032343638404244464850525456586062646870727476788082848690889294[[#This Row],[Colonna3]]*$Q3</f>
        <v>0.4</v>
      </c>
      <c r="V22" s="14" t="n">
        <f aca="false">Tabella5279112479161820222426283032343638404244464850525456586062646870727476788082848690889294[[#This Row],[Colonna4]]*$Q3</f>
        <v>1.6</v>
      </c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 t="n">
        <v>2</v>
      </c>
      <c r="I26" s="13"/>
      <c r="J26" s="13" t="n">
        <v>2</v>
      </c>
      <c r="K26" s="13"/>
      <c r="L26" s="13"/>
      <c r="M26" s="13"/>
      <c r="P26" s="12" t="s">
        <v>33</v>
      </c>
      <c r="Q26" s="12"/>
      <c r="R26" s="12"/>
      <c r="S26" s="14"/>
      <c r="T26" s="14" t="n">
        <f aca="false">Tabella5279112479161820222426283032343638404244464850525456586062646870727476788082848690889294[[#This Row],[Colonna2]]*$Q3</f>
        <v>0.8</v>
      </c>
      <c r="U26" s="14"/>
      <c r="V26" s="14" t="n">
        <f aca="false">Tabella5279112479161820222426283032343638404244464850525456586062646870727476788082848690889294[[#This Row],[Colonna4]]*$Q3</f>
        <v>0.8</v>
      </c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5</v>
      </c>
      <c r="H29" s="13" t="n">
        <v>9</v>
      </c>
      <c r="I29" s="13" t="n">
        <v>6</v>
      </c>
      <c r="J29" s="13" t="n">
        <v>2</v>
      </c>
      <c r="K29" s="13" t="n">
        <v>1</v>
      </c>
      <c r="L29" s="13"/>
      <c r="M29" s="13" t="n">
        <v>1</v>
      </c>
      <c r="P29" s="12" t="s">
        <v>36</v>
      </c>
      <c r="Q29" s="12"/>
      <c r="R29" s="12"/>
      <c r="S29" s="14" t="n">
        <f aca="false">Tabella5279112479161820222426283032343638404244464850525456586062646870727476788082848690889294[[#This Row],[Colonna1]]*$Q3</f>
        <v>2</v>
      </c>
      <c r="T29" s="14" t="n">
        <f aca="false">Tabella5279112479161820222426283032343638404244464850525456586062646870727476788082848690889294[[#This Row],[Colonna2]]*$Q3</f>
        <v>3.6</v>
      </c>
      <c r="U29" s="14" t="n">
        <f aca="false">Tabella5279112479161820222426283032343638404244464850525456586062646870727476788082848690889294[[#This Row],[Colonna3]]*$Q3</f>
        <v>2.4</v>
      </c>
      <c r="V29" s="14" t="n">
        <f aca="false">Tabella5279112479161820222426283032343638404244464850525456586062646870727476788082848690889294[[#This Row],[Colonna4]]*$Q3</f>
        <v>0.8</v>
      </c>
      <c r="W29" s="14" t="n">
        <f aca="false">Tabella5279112479161820222426283032343638404244464850525456586062646870727476788082848690889294[[#This Row],[Colonna5]]*$Q3</f>
        <v>0.4</v>
      </c>
      <c r="X29" s="14"/>
      <c r="Y29" s="14" t="n">
        <f aca="false">Tabella5279112479161820222426283032343638404244464850525456586062646870727476788082848690889294[[#This Row],[Colonna7]]*$Q3</f>
        <v>0.4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 t="n">
        <v>9</v>
      </c>
      <c r="I41" s="13" t="n">
        <v>3</v>
      </c>
      <c r="J41" s="13" t="n">
        <v>1</v>
      </c>
      <c r="K41" s="13" t="n">
        <v>1</v>
      </c>
      <c r="L41" s="13" t="n">
        <v>2</v>
      </c>
      <c r="M41" s="13"/>
      <c r="P41" s="18" t="s">
        <v>48</v>
      </c>
      <c r="Q41" s="18"/>
      <c r="R41" s="18"/>
      <c r="S41" s="14"/>
      <c r="T41" s="14" t="n">
        <f aca="false">Tabella5279112479161820222426283032343638404244464850525456586062646870727476788082848690889294[[#This Row],[Colonna2]]*$Q3</f>
        <v>3.6</v>
      </c>
      <c r="U41" s="14" t="n">
        <f aca="false">Tabella5279112479161820222426283032343638404244464850525456586062646870727476788082848690889294[[#This Row],[Colonna3]]*$Q3</f>
        <v>1.2</v>
      </c>
      <c r="V41" s="14" t="n">
        <f aca="false">Tabella5279112479161820222426283032343638404244464850525456586062646870727476788082848690889294[[#This Row],[Colonna4]]*$Q3</f>
        <v>0.4</v>
      </c>
      <c r="W41" s="14" t="n">
        <f aca="false">Tabella5279112479161820222426283032343638404244464850525456586062646870727476788082848690889294[[#This Row],[Colonna5]]*$Q3</f>
        <v>0.4</v>
      </c>
      <c r="X41" s="14" t="n">
        <f aca="false">Tabella5279112479161820222426283032343638404244464850525456586062646870727476788082848690889294[[#This Row],[Colonna6]]*$Q3</f>
        <v>0.8</v>
      </c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 t="n">
        <v>2</v>
      </c>
      <c r="I42" s="13" t="n">
        <v>1</v>
      </c>
      <c r="J42" s="13" t="n">
        <v>2</v>
      </c>
      <c r="K42" s="13"/>
      <c r="L42" s="13"/>
      <c r="M42" s="13"/>
      <c r="P42" s="9" t="s">
        <v>49</v>
      </c>
      <c r="Q42" s="9"/>
      <c r="R42" s="9"/>
      <c r="S42" s="14"/>
      <c r="T42" s="14" t="n">
        <f aca="false">Tabella5279112479161820222426283032343638404244464850525456586062646870727476788082848690889294[[#This Row],[Colonna2]]*$Q3</f>
        <v>0.8</v>
      </c>
      <c r="U42" s="14" t="n">
        <f aca="false">Tabella5279112479161820222426283032343638404244464850525456586062646870727476788082848690889294[[#This Row],[Colonna3]]*$Q3</f>
        <v>0.4</v>
      </c>
      <c r="V42" s="14" t="n">
        <f aca="false">Tabella5279112479161820222426283032343638404244464850525456586062646870727476788082848690889294[[#This Row],[Colonna4]]*$Q3</f>
        <v>0.8</v>
      </c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6</v>
      </c>
      <c r="H44" s="13" t="n">
        <v>9</v>
      </c>
      <c r="I44" s="13" t="n">
        <v>12</v>
      </c>
      <c r="J44" s="13" t="n">
        <v>3</v>
      </c>
      <c r="K44" s="13" t="n">
        <v>2</v>
      </c>
      <c r="L44" s="13" t="n">
        <v>4</v>
      </c>
      <c r="M44" s="13" t="n">
        <v>3</v>
      </c>
      <c r="P44" s="12" t="s">
        <v>51</v>
      </c>
      <c r="Q44" s="12"/>
      <c r="R44" s="12"/>
      <c r="S44" s="14" t="n">
        <f aca="false">Tabella5279112479161820222426283032343638404244464850525456586062646870727476788082848690889294[[#This Row],[Colonna1]]*$Q3</f>
        <v>2.4</v>
      </c>
      <c r="T44" s="14" t="n">
        <f aca="false">Tabella5279112479161820222426283032343638404244464850525456586062646870727476788082848690889294[[#This Row],[Colonna2]]*$Q3</f>
        <v>3.6</v>
      </c>
      <c r="U44" s="14" t="n">
        <f aca="false">Tabella5279112479161820222426283032343638404244464850525456586062646870727476788082848690889294[[#This Row],[Colonna3]]*$Q3</f>
        <v>4.8</v>
      </c>
      <c r="V44" s="14" t="n">
        <f aca="false">Tabella5279112479161820222426283032343638404244464850525456586062646870727476788082848690889294[[#This Row],[Colonna4]]*$Q3</f>
        <v>1.2</v>
      </c>
      <c r="W44" s="14" t="n">
        <f aca="false">Tabella5279112479161820222426283032343638404244464850525456586062646870727476788082848690889294[[#This Row],[Colonna5]]*$Q3</f>
        <v>0.8</v>
      </c>
      <c r="X44" s="14" t="n">
        <f aca="false">Tabella5279112479161820222426283032343638404244464850525456586062646870727476788082848690889294[[#This Row],[Colonna6]]*$Q3</f>
        <v>1.6</v>
      </c>
      <c r="Y44" s="14" t="n">
        <f aca="false">Tabella5279112479161820222426283032343638404244464850525456586062646870727476788082848690889294[[#This Row],[Colonna7]]*$Q3</f>
        <v>1.2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 t="n">
        <v>1</v>
      </c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 t="n">
        <f aca="false">Tabella5279112479161820222426283032343638404244464850525456586062646870727476788082848690889294[[#This Row],[Colonna3]]*$Q3</f>
        <v>0.4</v>
      </c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19</v>
      </c>
      <c r="H52" s="13" t="n">
        <v>35</v>
      </c>
      <c r="I52" s="13" t="n">
        <v>20</v>
      </c>
      <c r="J52" s="13" t="n">
        <v>19</v>
      </c>
      <c r="K52" s="13" t="n">
        <v>12</v>
      </c>
      <c r="L52" s="13" t="n">
        <v>14</v>
      </c>
      <c r="M52" s="13" t="n">
        <v>2</v>
      </c>
      <c r="P52" s="12" t="s">
        <v>59</v>
      </c>
      <c r="Q52" s="12"/>
      <c r="R52" s="12"/>
      <c r="S52" s="14" t="n">
        <f aca="false">Tabella5279112479161820222426283032343638404244464850525456586062646870727476788082848690889294[[#This Row],[Colonna1]]*$Q3</f>
        <v>7.6</v>
      </c>
      <c r="T52" s="14" t="n">
        <f aca="false">Tabella5279112479161820222426283032343638404244464850525456586062646870727476788082848690889294[[#This Row],[Colonna2]]*$Q3</f>
        <v>14</v>
      </c>
      <c r="U52" s="14" t="n">
        <f aca="false">Tabella5279112479161820222426283032343638404244464850525456586062646870727476788082848690889294[[#This Row],[Colonna3]]*$Q3</f>
        <v>8</v>
      </c>
      <c r="V52" s="14" t="n">
        <f aca="false">Tabella5279112479161820222426283032343638404244464850525456586062646870727476788082848690889294[[#This Row],[Colonna4]]*$Q3</f>
        <v>7.6</v>
      </c>
      <c r="W52" s="14" t="n">
        <f aca="false">Tabella5279112479161820222426283032343638404244464850525456586062646870727476788082848690889294[[#This Row],[Colonna5]]*$Q3</f>
        <v>4.8</v>
      </c>
      <c r="X52" s="14" t="n">
        <f aca="false">Tabella5279112479161820222426283032343638404244464850525456586062646870727476788082848690889294[[#This Row],[Colonna6]]*$Q3</f>
        <v>5.6</v>
      </c>
      <c r="Y52" s="14" t="n">
        <f aca="false">Tabella5279112479161820222426283032343638404244464850525456586062646870727476788082848690889294[[#This Row],[Colonna7]]*$Q3</f>
        <v>0.8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54</v>
      </c>
      <c r="H53" s="55" t="n">
        <f aca="false">SUM(H6:H52)</f>
        <v>100</v>
      </c>
      <c r="I53" s="55" t="n">
        <f aca="false">SUM(I6:I52)</f>
        <v>78</v>
      </c>
      <c r="J53" s="55" t="n">
        <f aca="false">SUM(J6:J52)</f>
        <v>46</v>
      </c>
      <c r="K53" s="55" t="n">
        <f aca="false">SUM(K6:K52)</f>
        <v>20</v>
      </c>
      <c r="L53" s="55" t="n">
        <f aca="false">SUM(L6:L52)</f>
        <v>22</v>
      </c>
      <c r="M53" s="55" t="n">
        <f aca="false">SUM(M6:M52)</f>
        <v>12</v>
      </c>
      <c r="P53" s="17" t="s">
        <v>60</v>
      </c>
      <c r="Q53" s="17"/>
      <c r="R53" s="17"/>
      <c r="S53" s="56" t="n">
        <f aca="false">Tabella5279112479161820222426283032343638404244464850525456586062646870727476788082848690889294[[#This Row],[Colonna1]]*$Q3</f>
        <v>21.6</v>
      </c>
      <c r="T53" s="56" t="n">
        <f aca="false">Tabella5279112479161820222426283032343638404244464850525456586062646870727476788082848690889294[[#This Row],[Colonna2]]*$Q3</f>
        <v>40</v>
      </c>
      <c r="U53" s="56" t="n">
        <f aca="false">Tabella5279112479161820222426283032343638404244464850525456586062646870727476788082848690889294[[#This Row],[Colonna3]]*$Q3</f>
        <v>31.2</v>
      </c>
      <c r="V53" s="56" t="n">
        <f aca="false">Tabella5279112479161820222426283032343638404244464850525456586062646870727476788082848690889294[[#This Row],[Colonna4]]*$Q3</f>
        <v>18.4</v>
      </c>
      <c r="W53" s="56" t="n">
        <f aca="false">Tabella5279112479161820222426283032343638404244464850525456586062646870727476788082848690889294[[#This Row],[Colonna5]]*$Q3</f>
        <v>8</v>
      </c>
      <c r="X53" s="56" t="n">
        <f aca="false">Tabella5279112479161820222426283032343638404244464850525456586062646870727476788082848690889294[[#This Row],[Colonna6]]*$Q3</f>
        <v>8.8</v>
      </c>
      <c r="Y53" s="56" t="n">
        <f aca="false">Tabella5279112479161820222426283032343638404244464850525456586062646870727476788082848690889294[[#This Row],[Colonna7]]*$Q3</f>
        <v>4.8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404</v>
      </c>
      <c r="H58" s="26" t="n">
        <v>547</v>
      </c>
      <c r="I58" s="26" t="n">
        <v>501</v>
      </c>
      <c r="J58" s="26" t="n">
        <v>518</v>
      </c>
      <c r="K58" s="26" t="n">
        <v>251</v>
      </c>
      <c r="L58" s="26" t="n">
        <v>226</v>
      </c>
      <c r="M58" s="26" t="n">
        <v>179</v>
      </c>
      <c r="P58" s="23" t="s">
        <v>62</v>
      </c>
      <c r="Q58" s="23"/>
      <c r="R58" s="23"/>
      <c r="S58" s="57" t="n">
        <f aca="false">G58*$Q3</f>
        <v>161.6</v>
      </c>
      <c r="T58" s="57" t="n">
        <f aca="false">H58*$Q3</f>
        <v>218.8</v>
      </c>
      <c r="U58" s="57" t="n">
        <f aca="false">I58*$Q3</f>
        <v>200.4</v>
      </c>
      <c r="V58" s="57" t="n">
        <f aca="false">J58*$Q3</f>
        <v>207.2</v>
      </c>
      <c r="W58" s="57" t="n">
        <f aca="false">K58*$Q3</f>
        <v>100.4</v>
      </c>
      <c r="X58" s="57" t="n">
        <f aca="false">L58*$Q3</f>
        <v>90.4</v>
      </c>
      <c r="Y58" s="57" t="n">
        <f aca="false">M58*$Q3</f>
        <v>71.6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126</v>
      </c>
      <c r="H62" s="26" t="n">
        <v>135</v>
      </c>
      <c r="I62" s="26" t="n">
        <v>122</v>
      </c>
      <c r="J62" s="26" t="n">
        <v>152</v>
      </c>
      <c r="K62" s="26" t="n">
        <v>70</v>
      </c>
      <c r="L62" s="26" t="n">
        <v>44</v>
      </c>
      <c r="M62" s="26" t="n">
        <v>34</v>
      </c>
      <c r="P62" s="9" t="s">
        <v>66</v>
      </c>
      <c r="Q62" s="9"/>
      <c r="R62" s="9"/>
      <c r="S62" s="57" t="n">
        <f aca="false">G62*$Q3</f>
        <v>50.4</v>
      </c>
      <c r="T62" s="57" t="n">
        <f aca="false">H62*$Q3</f>
        <v>54</v>
      </c>
      <c r="U62" s="57" t="n">
        <f aca="false">I62*$Q3</f>
        <v>48.8</v>
      </c>
      <c r="V62" s="57" t="n">
        <f aca="false">J62*$Q3</f>
        <v>60.8</v>
      </c>
      <c r="W62" s="57" t="n">
        <f aca="false">K62*$Q3</f>
        <v>28</v>
      </c>
      <c r="X62" s="57" t="n">
        <f aca="false">L62*$Q3</f>
        <v>17.6</v>
      </c>
      <c r="Y62" s="57" t="n">
        <f aca="false">M62*$Q3</f>
        <v>13.6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24</v>
      </c>
      <c r="H63" s="26" t="n">
        <v>26</v>
      </c>
      <c r="I63" s="26" t="n">
        <v>19</v>
      </c>
      <c r="J63" s="26" t="n">
        <v>16</v>
      </c>
      <c r="K63" s="26" t="n">
        <v>17</v>
      </c>
      <c r="L63" s="26" t="n">
        <v>6</v>
      </c>
      <c r="M63" s="26" t="n">
        <v>12</v>
      </c>
      <c r="P63" s="9" t="s">
        <v>67</v>
      </c>
      <c r="Q63" s="9"/>
      <c r="R63" s="9"/>
      <c r="S63" s="57" t="n">
        <f aca="false">G63*$Q3</f>
        <v>9.6</v>
      </c>
      <c r="T63" s="57" t="n">
        <f aca="false">H63*$Q3</f>
        <v>10.4</v>
      </c>
      <c r="U63" s="57" t="n">
        <f aca="false">I63*$Q3</f>
        <v>7.6</v>
      </c>
      <c r="V63" s="57" t="n">
        <f aca="false">J63*$Q3</f>
        <v>6.4</v>
      </c>
      <c r="W63" s="57" t="n">
        <f aca="false">K63*$Q3</f>
        <v>6.8</v>
      </c>
      <c r="X63" s="57" t="n">
        <f aca="false">L63*$Q3</f>
        <v>2.4</v>
      </c>
      <c r="Y63" s="57" t="n">
        <f aca="false">M63*$Q3</f>
        <v>4.8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48</v>
      </c>
      <c r="H64" s="26" t="n">
        <v>65</v>
      </c>
      <c r="I64" s="26" t="n">
        <v>35</v>
      </c>
      <c r="J64" s="26" t="n">
        <v>58</v>
      </c>
      <c r="K64" s="26" t="n">
        <v>29</v>
      </c>
      <c r="L64" s="26" t="n">
        <v>25</v>
      </c>
      <c r="M64" s="26" t="n">
        <v>8</v>
      </c>
      <c r="P64" s="9" t="s">
        <v>68</v>
      </c>
      <c r="Q64" s="9"/>
      <c r="R64" s="9"/>
      <c r="S64" s="57" t="n">
        <f aca="false">G64*$Q3</f>
        <v>19.2</v>
      </c>
      <c r="T64" s="57" t="n">
        <f aca="false">H64*$Q3</f>
        <v>26</v>
      </c>
      <c r="U64" s="57" t="n">
        <f aca="false">I64*$Q3</f>
        <v>14</v>
      </c>
      <c r="V64" s="57" t="n">
        <f aca="false">J64*$Q3</f>
        <v>23.2</v>
      </c>
      <c r="W64" s="57" t="n">
        <f aca="false">K64*$Q3</f>
        <v>11.6</v>
      </c>
      <c r="X64" s="57" t="n">
        <f aca="false">L64*$Q3</f>
        <v>10</v>
      </c>
      <c r="Y64" s="57" t="n">
        <f aca="false">M64*$Q3</f>
        <v>3.2</v>
      </c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/>
      <c r="J65" s="26" t="n">
        <v>1</v>
      </c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 t="n">
        <f aca="false">J65*$Q3</f>
        <v>0.4</v>
      </c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24</v>
      </c>
      <c r="H67" s="26" t="n">
        <v>33</v>
      </c>
      <c r="I67" s="26" t="n">
        <v>29</v>
      </c>
      <c r="J67" s="26" t="n">
        <v>16</v>
      </c>
      <c r="K67" s="26" t="n">
        <v>15</v>
      </c>
      <c r="L67" s="26" t="n">
        <v>12</v>
      </c>
      <c r="M67" s="26" t="n">
        <v>10</v>
      </c>
      <c r="P67" s="9" t="s">
        <v>71</v>
      </c>
      <c r="Q67" s="9"/>
      <c r="R67" s="9"/>
      <c r="S67" s="57" t="n">
        <f aca="false">G67*$Q3</f>
        <v>9.6</v>
      </c>
      <c r="T67" s="57" t="n">
        <f aca="false">H67*$Q3</f>
        <v>13.2</v>
      </c>
      <c r="U67" s="57" t="n">
        <f aca="false">I67*$Q3</f>
        <v>11.6</v>
      </c>
      <c r="V67" s="57" t="n">
        <f aca="false">J67*$Q3</f>
        <v>6.4</v>
      </c>
      <c r="W67" s="57" t="n">
        <f aca="false">K67*$Q3</f>
        <v>6</v>
      </c>
      <c r="X67" s="57" t="n">
        <f aca="false">L67*$Q3</f>
        <v>4.8</v>
      </c>
      <c r="Y67" s="57" t="n">
        <f aca="false">M67*$Q3</f>
        <v>4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2</v>
      </c>
      <c r="H68" s="30" t="n">
        <v>4</v>
      </c>
      <c r="I68" s="30" t="n">
        <v>3</v>
      </c>
      <c r="J68" s="30" t="n">
        <v>2</v>
      </c>
      <c r="K68" s="30" t="n">
        <v>3</v>
      </c>
      <c r="L68" s="30"/>
      <c r="M68" s="30"/>
      <c r="P68" s="9" t="s">
        <v>72</v>
      </c>
      <c r="Q68" s="9"/>
      <c r="R68" s="9"/>
      <c r="S68" s="57" t="n">
        <f aca="false">G68*$Q3</f>
        <v>0.8</v>
      </c>
      <c r="T68" s="57" t="n">
        <f aca="false">H68*$Q3</f>
        <v>1.6</v>
      </c>
      <c r="U68" s="57" t="n">
        <f aca="false">I68*$Q3</f>
        <v>1.2</v>
      </c>
      <c r="V68" s="57" t="n">
        <f aca="false">J68*$Q3</f>
        <v>0.8</v>
      </c>
      <c r="W68" s="57" t="n">
        <f aca="false">K68*$Q3</f>
        <v>1.2</v>
      </c>
      <c r="X68" s="57"/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295</v>
      </c>
      <c r="H69" s="30" t="n">
        <v>314</v>
      </c>
      <c r="I69" s="30" t="n">
        <v>194</v>
      </c>
      <c r="J69" s="30" t="n">
        <v>241</v>
      </c>
      <c r="K69" s="30" t="n">
        <v>163</v>
      </c>
      <c r="L69" s="30" t="n">
        <v>205</v>
      </c>
      <c r="M69" s="30" t="n">
        <v>149</v>
      </c>
      <c r="N69" s="137"/>
      <c r="P69" s="9" t="s">
        <v>73</v>
      </c>
      <c r="Q69" s="9"/>
      <c r="R69" s="9"/>
      <c r="S69" s="57" t="n">
        <f aca="false">G69*$Q3</f>
        <v>118</v>
      </c>
      <c r="T69" s="57" t="n">
        <f aca="false">H69*$Q3</f>
        <v>125.6</v>
      </c>
      <c r="U69" s="57" t="n">
        <f aca="false">I69*$Q3</f>
        <v>77.6</v>
      </c>
      <c r="V69" s="57" t="n">
        <f aca="false">J69*$Q3</f>
        <v>96.4</v>
      </c>
      <c r="W69" s="57" t="n">
        <f aca="false">K69*$Q3</f>
        <v>65.2</v>
      </c>
      <c r="X69" s="57" t="n">
        <f aca="false">L69*$Q3</f>
        <v>82</v>
      </c>
      <c r="Y69" s="57" t="n">
        <f aca="false">M69*$Q3</f>
        <v>59.6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923</v>
      </c>
      <c r="H70" s="60" t="n">
        <f aca="false">SUM(H58:H69)</f>
        <v>1124</v>
      </c>
      <c r="I70" s="60" t="n">
        <f aca="false">SUM(I58:I69)</f>
        <v>903</v>
      </c>
      <c r="J70" s="60" t="n">
        <f aca="false">SUM(J58:J69)</f>
        <v>1004</v>
      </c>
      <c r="K70" s="60" t="n">
        <f aca="false">SUM(K58:K69)</f>
        <v>548</v>
      </c>
      <c r="L70" s="60" t="n">
        <f aca="false">SUM(L58:L69)</f>
        <v>518</v>
      </c>
      <c r="M70" s="12" t="n">
        <f aca="false">SUM(M58:M69)</f>
        <v>392</v>
      </c>
      <c r="N70" s="8"/>
      <c r="P70" s="9" t="s">
        <v>60</v>
      </c>
      <c r="Q70" s="9"/>
      <c r="R70" s="9"/>
      <c r="S70" s="61" t="n">
        <f aca="false">G70*$Q3</f>
        <v>369.2</v>
      </c>
      <c r="T70" s="61" t="n">
        <f aca="false">H70*$Q3</f>
        <v>449.6</v>
      </c>
      <c r="U70" s="61" t="n">
        <f aca="false">I70*$Q3</f>
        <v>361.2</v>
      </c>
      <c r="V70" s="61" t="n">
        <f aca="false">J70*$Q3</f>
        <v>401.6</v>
      </c>
      <c r="W70" s="61" t="n">
        <f aca="false">K70*$Q3</f>
        <v>219.2</v>
      </c>
      <c r="X70" s="61" t="n">
        <f aca="false">L70*$Q3</f>
        <v>207.2</v>
      </c>
      <c r="Y70" s="61" t="n">
        <f aca="false">M70*$Q3</f>
        <v>156.8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L40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94</v>
      </c>
      <c r="I3" s="119" t="s">
        <v>2</v>
      </c>
      <c r="J3" s="4" t="n">
        <v>45208</v>
      </c>
      <c r="K3" s="5" t="n">
        <v>45214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94</v>
      </c>
      <c r="U3" s="119" t="s">
        <v>2</v>
      </c>
      <c r="V3" s="4" t="n">
        <v>45208</v>
      </c>
      <c r="W3" s="5" t="n">
        <v>45214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2</v>
      </c>
      <c r="H7" s="13" t="n">
        <v>4</v>
      </c>
      <c r="I7" s="13" t="n">
        <v>7</v>
      </c>
      <c r="J7" s="13"/>
      <c r="K7" s="13" t="n">
        <v>3</v>
      </c>
      <c r="L7" s="13"/>
      <c r="M7" s="13" t="n">
        <v>4</v>
      </c>
      <c r="P7" s="12" t="s">
        <v>14</v>
      </c>
      <c r="Q7" s="12"/>
      <c r="R7" s="12"/>
      <c r="S7" s="14" t="n">
        <f aca="false">Tabella527911247916182022242628303234363840424446485052545658606264687072747678808284869088929496[[#This Row],[Colonna1]]*$Q3</f>
        <v>0.8</v>
      </c>
      <c r="T7" s="14" t="n">
        <f aca="false">Tabella527911247916182022242628303234363840424446485052545658606264687072747678808284869088929496[[#This Row],[Colonna2]]*$Q3</f>
        <v>1.6</v>
      </c>
      <c r="U7" s="14" t="n">
        <f aca="false">Tabella527911247916182022242628303234363840424446485052545658606264687072747678808284869088929496[[#This Row],[Colonna3]]*$Q3</f>
        <v>2.8</v>
      </c>
      <c r="V7" s="14"/>
      <c r="W7" s="14" t="n">
        <f aca="false">Tabella527911247916182022242628303234363840424446485052545658606264687072747678808284869088929496[[#This Row],[Colonna5]]*$Q3</f>
        <v>1.2</v>
      </c>
      <c r="X7" s="14"/>
      <c r="Y7" s="14" t="n">
        <f aca="false">Tabella527911247916182022242628303234363840424446485052545658606264687072747678808284869088929496[[#This Row],[Colonna7]]*$Q3</f>
        <v>1.6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5</v>
      </c>
      <c r="H12" s="13" t="n">
        <v>3</v>
      </c>
      <c r="I12" s="13" t="n">
        <v>4</v>
      </c>
      <c r="J12" s="13" t="n">
        <v>3</v>
      </c>
      <c r="K12" s="13" t="n">
        <v>1</v>
      </c>
      <c r="L12" s="13"/>
      <c r="M12" s="13" t="n">
        <v>16</v>
      </c>
      <c r="P12" s="12" t="s">
        <v>19</v>
      </c>
      <c r="Q12" s="12"/>
      <c r="R12" s="12"/>
      <c r="S12" s="14" t="n">
        <f aca="false">Tabella527911247916182022242628303234363840424446485052545658606264687072747678808284869088929496[[#This Row],[Colonna1]]*$Q3</f>
        <v>2</v>
      </c>
      <c r="T12" s="14" t="n">
        <f aca="false">Tabella527911247916182022242628303234363840424446485052545658606264687072747678808284869088929496[[#This Row],[Colonna2]]*$Q3</f>
        <v>1.2</v>
      </c>
      <c r="U12" s="14" t="n">
        <f aca="false">Tabella527911247916182022242628303234363840424446485052545658606264687072747678808284869088929496[[#This Row],[Colonna3]]*$Q3</f>
        <v>1.6</v>
      </c>
      <c r="V12" s="14" t="n">
        <f aca="false">Tabella527911247916182022242628303234363840424446485052545658606264687072747678808284869088929496[[#This Row],[Colonna4]]*$Q3</f>
        <v>1.2</v>
      </c>
      <c r="W12" s="14" t="n">
        <f aca="false">Tabella527911247916182022242628303234363840424446485052545658606264687072747678808284869088929496[[#This Row],[Colonna5]]*$Q3</f>
        <v>0.4</v>
      </c>
      <c r="X12" s="14"/>
      <c r="Y12" s="14" t="n">
        <f aca="false">Tabella527911247916182022242628303234363840424446485052545658606264687072747678808284869088929496[[#This Row],[Colonna7]]*$Q3</f>
        <v>6.4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 t="n">
        <v>1</v>
      </c>
      <c r="L15" s="13"/>
      <c r="M15" s="13" t="n">
        <v>2</v>
      </c>
      <c r="P15" s="12" t="s">
        <v>22</v>
      </c>
      <c r="Q15" s="12"/>
      <c r="R15" s="12"/>
      <c r="S15" s="14"/>
      <c r="T15" s="14"/>
      <c r="U15" s="14"/>
      <c r="V15" s="14"/>
      <c r="W15" s="14" t="n">
        <f aca="false">Tabella527911247916182022242628303234363840424446485052545658606264687072747678808284869088929496[[#This Row],[Colonna5]]*$Q3</f>
        <v>0.4</v>
      </c>
      <c r="X15" s="14"/>
      <c r="Y15" s="14" t="n">
        <f aca="false">Tabella527911247916182022242628303234363840424446485052545658606264687072747678808284869088929496[[#This Row],[Colonna7]]*$Q3</f>
        <v>0.8</v>
      </c>
    </row>
    <row r="16" customFormat="false" ht="15" hidden="false" customHeight="false" outlineLevel="0" collapsed="false">
      <c r="D16" s="12" t="s">
        <v>23</v>
      </c>
      <c r="E16" s="12"/>
      <c r="F16" s="12"/>
      <c r="G16" s="13" t="n">
        <v>2</v>
      </c>
      <c r="H16" s="13" t="n">
        <v>3</v>
      </c>
      <c r="I16" s="13"/>
      <c r="J16" s="13" t="n">
        <v>1</v>
      </c>
      <c r="K16" s="13"/>
      <c r="L16" s="13" t="n">
        <v>2</v>
      </c>
      <c r="M16" s="13" t="n">
        <v>2</v>
      </c>
      <c r="P16" s="12" t="s">
        <v>23</v>
      </c>
      <c r="Q16" s="12"/>
      <c r="R16" s="12"/>
      <c r="S16" s="14" t="n">
        <f aca="false">Tabella527911247916182022242628303234363840424446485052545658606264687072747678808284869088929496[[#This Row],[Colonna1]]*$Q3</f>
        <v>0.8</v>
      </c>
      <c r="T16" s="14" t="n">
        <f aca="false">Tabella527911247916182022242628303234363840424446485052545658606264687072747678808284869088929496[[#This Row],[Colonna2]]*$Q3</f>
        <v>1.2</v>
      </c>
      <c r="U16" s="14"/>
      <c r="V16" s="14" t="n">
        <f aca="false">Tabella527911247916182022242628303234363840424446485052545658606264687072747678808284869088929496[[#This Row],[Colonna4]]*$Q3</f>
        <v>0.4</v>
      </c>
      <c r="W16" s="14"/>
      <c r="X16" s="14" t="n">
        <f aca="false">Tabella527911247916182022242628303234363840424446485052545658606264687072747678808284869088929496[[#This Row],[Colonna6]]*$Q3</f>
        <v>0.8</v>
      </c>
      <c r="Y16" s="14" t="n">
        <f aca="false">Tabella527911247916182022242628303234363840424446485052545658606264687072747678808284869088929496[[#This Row],[Colonna7]]*$Q3</f>
        <v>0.8</v>
      </c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</v>
      </c>
      <c r="H22" s="13"/>
      <c r="I22" s="13" t="n">
        <v>1</v>
      </c>
      <c r="J22" s="13"/>
      <c r="K22" s="13"/>
      <c r="L22" s="13" t="n">
        <v>1</v>
      </c>
      <c r="M22" s="13" t="n">
        <v>4</v>
      </c>
      <c r="P22" s="12" t="s">
        <v>29</v>
      </c>
      <c r="Q22" s="12"/>
      <c r="R22" s="12"/>
      <c r="S22" s="14" t="n">
        <f aca="false">Tabella527911247916182022242628303234363840424446485052545658606264687072747678808284869088929496[[#This Row],[Colonna1]]*$Q3</f>
        <v>0.4</v>
      </c>
      <c r="T22" s="14"/>
      <c r="U22" s="14" t="n">
        <f aca="false">Tabella527911247916182022242628303234363840424446485052545658606264687072747678808284869088929496[[#This Row],[Colonna3]]*$Q3</f>
        <v>0.4</v>
      </c>
      <c r="V22" s="14"/>
      <c r="W22" s="14"/>
      <c r="X22" s="14" t="n">
        <f aca="false">Tabella527911247916182022242628303234363840424446485052545658606264687072747678808284869088929496[[#This Row],[Colonna6]]*$Q3</f>
        <v>0.4</v>
      </c>
      <c r="Y22" s="14" t="n">
        <f aca="false">Tabella527911247916182022242628303234363840424446485052545658606264687072747678808284869088929496[[#This Row],[Colonna7]]*$Q3</f>
        <v>1.6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 t="n">
        <v>1</v>
      </c>
      <c r="I26" s="13"/>
      <c r="J26" s="13"/>
      <c r="K26" s="13" t="n">
        <v>1</v>
      </c>
      <c r="L26" s="13"/>
      <c r="M26" s="13" t="n">
        <v>1</v>
      </c>
      <c r="P26" s="12" t="s">
        <v>33</v>
      </c>
      <c r="Q26" s="12"/>
      <c r="R26" s="12"/>
      <c r="S26" s="14"/>
      <c r="T26" s="14" t="n">
        <f aca="false">Tabella527911247916182022242628303234363840424446485052545658606264687072747678808284869088929496[[#This Row],[Colonna2]]*$Q3</f>
        <v>0.4</v>
      </c>
      <c r="U26" s="14"/>
      <c r="V26" s="14"/>
      <c r="W26" s="14" t="n">
        <f aca="false">Tabella527911247916182022242628303234363840424446485052545658606264687072747678808284869088929496[[#This Row],[Colonna5]]*$Q3</f>
        <v>0.4</v>
      </c>
      <c r="X26" s="14"/>
      <c r="Y26" s="14" t="n">
        <f aca="false">Tabella527911247916182022242628303234363840424446485052545658606264687072747678808284869088929496[[#This Row],[Colonna7]]*$Q3</f>
        <v>0.4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</v>
      </c>
      <c r="H29" s="13"/>
      <c r="I29" s="13" t="n">
        <v>2</v>
      </c>
      <c r="J29" s="13" t="n">
        <v>4</v>
      </c>
      <c r="K29" s="13" t="n">
        <v>2</v>
      </c>
      <c r="L29" s="13" t="n">
        <v>1</v>
      </c>
      <c r="M29" s="13" t="n">
        <v>2</v>
      </c>
      <c r="P29" s="12" t="s">
        <v>36</v>
      </c>
      <c r="Q29" s="12"/>
      <c r="R29" s="12"/>
      <c r="S29" s="14" t="n">
        <f aca="false">Tabella527911247916182022242628303234363840424446485052545658606264687072747678808284869088929496[[#This Row],[Colonna1]]*$Q3</f>
        <v>0.4</v>
      </c>
      <c r="T29" s="14"/>
      <c r="U29" s="14" t="n">
        <f aca="false">Tabella527911247916182022242628303234363840424446485052545658606264687072747678808284869088929496[[#This Row],[Colonna3]]*$Q3</f>
        <v>0.8</v>
      </c>
      <c r="V29" s="14" t="n">
        <f aca="false">Tabella527911247916182022242628303234363840424446485052545658606264687072747678808284869088929496[[#This Row],[Colonna4]]*$Q3</f>
        <v>1.6</v>
      </c>
      <c r="W29" s="14" t="n">
        <f aca="false">Tabella527911247916182022242628303234363840424446485052545658606264687072747678808284869088929496[[#This Row],[Colonna5]]*$Q3</f>
        <v>0.8</v>
      </c>
      <c r="X29" s="14" t="n">
        <f aca="false">Tabella527911247916182022242628303234363840424446485052545658606264687072747678808284869088929496[[#This Row],[Colonna6]]*$Q3</f>
        <v>0.4</v>
      </c>
      <c r="Y29" s="14" t="n">
        <f aca="false">Tabella527911247916182022242628303234363840424446485052545658606264687072747678808284869088929496[[#This Row],[Colonna7]]*$Q3</f>
        <v>0.8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56</v>
      </c>
      <c r="H41" s="13" t="n">
        <v>3</v>
      </c>
      <c r="I41" s="13" t="n">
        <v>1</v>
      </c>
      <c r="J41" s="13" t="n">
        <v>14</v>
      </c>
      <c r="K41" s="13" t="n">
        <v>29</v>
      </c>
      <c r="L41" s="13" t="n">
        <v>26</v>
      </c>
      <c r="M41" s="13" t="n">
        <v>176</v>
      </c>
      <c r="P41" s="18" t="s">
        <v>48</v>
      </c>
      <c r="Q41" s="18"/>
      <c r="R41" s="18"/>
      <c r="S41" s="14" t="n">
        <f aca="false">Tabella527911247916182022242628303234363840424446485052545658606264687072747678808284869088929496[[#This Row],[Colonna1]]*$Q3</f>
        <v>22.4</v>
      </c>
      <c r="T41" s="14" t="n">
        <f aca="false">Tabella527911247916182022242628303234363840424446485052545658606264687072747678808284869088929496[[#This Row],[Colonna2]]*$Q3</f>
        <v>1.2</v>
      </c>
      <c r="U41" s="14" t="n">
        <f aca="false">Tabella527911247916182022242628303234363840424446485052545658606264687072747678808284869088929496[[#This Row],[Colonna3]]*$Q3</f>
        <v>0.4</v>
      </c>
      <c r="V41" s="14" t="n">
        <f aca="false">Tabella527911247916182022242628303234363840424446485052545658606264687072747678808284869088929496[[#This Row],[Colonna4]]*$Q3</f>
        <v>5.6</v>
      </c>
      <c r="W41" s="14" t="n">
        <f aca="false">Tabella527911247916182022242628303234363840424446485052545658606264687072747678808284869088929496[[#This Row],[Colonna5]]*$Q3</f>
        <v>11.6</v>
      </c>
      <c r="X41" s="14" t="n">
        <f aca="false">Tabella527911247916182022242628303234363840424446485052545658606264687072747678808284869088929496[[#This Row],[Colonna6]]*$Q3</f>
        <v>10.4</v>
      </c>
      <c r="Y41" s="14" t="n">
        <f aca="false">Tabella527911247916182022242628303234363840424446485052545658606264687072747678808284869088929496[[#This Row],[Colonna7]]*$Q3</f>
        <v>70.4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7</v>
      </c>
      <c r="H44" s="13" t="n">
        <v>4</v>
      </c>
      <c r="I44" s="13" t="n">
        <v>12</v>
      </c>
      <c r="J44" s="13" t="n">
        <v>10</v>
      </c>
      <c r="K44" s="13" t="n">
        <v>8</v>
      </c>
      <c r="L44" s="13" t="n">
        <v>5</v>
      </c>
      <c r="M44" s="13" t="n">
        <v>13</v>
      </c>
      <c r="P44" s="12" t="s">
        <v>51</v>
      </c>
      <c r="Q44" s="12"/>
      <c r="R44" s="12"/>
      <c r="S44" s="14" t="n">
        <f aca="false">Tabella527911247916182022242628303234363840424446485052545658606264687072747678808284869088929496[[#This Row],[Colonna1]]*$Q3</f>
        <v>2.8</v>
      </c>
      <c r="T44" s="14" t="n">
        <f aca="false">Tabella527911247916182022242628303234363840424446485052545658606264687072747678808284869088929496[[#This Row],[Colonna2]]*$Q3</f>
        <v>1.6</v>
      </c>
      <c r="U44" s="14" t="n">
        <f aca="false">Tabella527911247916182022242628303234363840424446485052545658606264687072747678808284869088929496[[#This Row],[Colonna3]]*$Q3</f>
        <v>4.8</v>
      </c>
      <c r="V44" s="14" t="n">
        <f aca="false">Tabella527911247916182022242628303234363840424446485052545658606264687072747678808284869088929496[[#This Row],[Colonna4]]*$Q3</f>
        <v>4</v>
      </c>
      <c r="W44" s="14" t="n">
        <f aca="false">Tabella527911247916182022242628303234363840424446485052545658606264687072747678808284869088929496[[#This Row],[Colonna5]]*$Q3</f>
        <v>3.2</v>
      </c>
      <c r="X44" s="14" t="n">
        <f aca="false">Tabella527911247916182022242628303234363840424446485052545658606264687072747678808284869088929496[[#This Row],[Colonna6]]*$Q3</f>
        <v>2</v>
      </c>
      <c r="Y44" s="14" t="n">
        <f aca="false">Tabella527911247916182022242628303234363840424446485052545658606264687072747678808284869088929496[[#This Row],[Colonna7]]*$Q3</f>
        <v>5.2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 t="n">
        <v>1</v>
      </c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 t="n">
        <f aca="false">Tabella527911247916182022242628303234363840424446485052545658606264687072747678808284869088929496[[#This Row],[Colonna7]]*$Q3</f>
        <v>0.4</v>
      </c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9</v>
      </c>
      <c r="H52" s="13" t="n">
        <v>5</v>
      </c>
      <c r="I52" s="13" t="n">
        <v>11</v>
      </c>
      <c r="J52" s="13" t="n">
        <v>13</v>
      </c>
      <c r="K52" s="13" t="n">
        <v>7</v>
      </c>
      <c r="L52" s="13" t="n">
        <v>5</v>
      </c>
      <c r="M52" s="13" t="n">
        <v>5</v>
      </c>
      <c r="P52" s="12" t="s">
        <v>59</v>
      </c>
      <c r="Q52" s="12"/>
      <c r="R52" s="12"/>
      <c r="S52" s="14" t="n">
        <f aca="false">Tabella527911247916182022242628303234363840424446485052545658606264687072747678808284869088929496[[#This Row],[Colonna1]]*$Q3</f>
        <v>3.6</v>
      </c>
      <c r="T52" s="14" t="n">
        <f aca="false">Tabella527911247916182022242628303234363840424446485052545658606264687072747678808284869088929496[[#This Row],[Colonna2]]*$Q3</f>
        <v>2</v>
      </c>
      <c r="U52" s="14" t="n">
        <f aca="false">Tabella527911247916182022242628303234363840424446485052545658606264687072747678808284869088929496[[#This Row],[Colonna3]]*$Q3</f>
        <v>4.4</v>
      </c>
      <c r="V52" s="14" t="n">
        <f aca="false">Tabella527911247916182022242628303234363840424446485052545658606264687072747678808284869088929496[[#This Row],[Colonna4]]*$Q3</f>
        <v>5.2</v>
      </c>
      <c r="W52" s="14" t="n">
        <f aca="false">Tabella527911247916182022242628303234363840424446485052545658606264687072747678808284869088929496[[#This Row],[Colonna5]]*$Q3</f>
        <v>2.8</v>
      </c>
      <c r="X52" s="14" t="n">
        <f aca="false">Tabella527911247916182022242628303234363840424446485052545658606264687072747678808284869088929496[[#This Row],[Colonna6]]*$Q3</f>
        <v>2</v>
      </c>
      <c r="Y52" s="14" t="n">
        <f aca="false">Tabella527911247916182022242628303234363840424446485052545658606264687072747678808284869088929496[[#This Row],[Colonna7]]*$Q3</f>
        <v>2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83</v>
      </c>
      <c r="H53" s="55" t="n">
        <f aca="false">SUM(H6:H52)</f>
        <v>23</v>
      </c>
      <c r="I53" s="55" t="n">
        <f aca="false">SUM(I6:I52)</f>
        <v>38</v>
      </c>
      <c r="J53" s="55" t="n">
        <f aca="false">SUM(J6:J52)</f>
        <v>45</v>
      </c>
      <c r="K53" s="55" t="n">
        <f aca="false">SUM(K6:K52)</f>
        <v>52</v>
      </c>
      <c r="L53" s="55" t="n">
        <f aca="false">SUM(L6:L52)</f>
        <v>40</v>
      </c>
      <c r="M53" s="55" t="n">
        <f aca="false">SUM(M6:M52)</f>
        <v>226</v>
      </c>
      <c r="P53" s="17" t="s">
        <v>60</v>
      </c>
      <c r="Q53" s="17"/>
      <c r="R53" s="17"/>
      <c r="S53" s="56" t="n">
        <f aca="false">Tabella527911247916182022242628303234363840424446485052545658606264687072747678808284869088929496[[#This Row],[Colonna1]]*$Q3</f>
        <v>33.2</v>
      </c>
      <c r="T53" s="56" t="n">
        <f aca="false">Tabella527911247916182022242628303234363840424446485052545658606264687072747678808284869088929496[[#This Row],[Colonna2]]*$Q3</f>
        <v>9.2</v>
      </c>
      <c r="U53" s="56" t="n">
        <f aca="false">Tabella527911247916182022242628303234363840424446485052545658606264687072747678808284869088929496[[#This Row],[Colonna3]]*$Q3</f>
        <v>15.2</v>
      </c>
      <c r="V53" s="56" t="n">
        <f aca="false">Tabella527911247916182022242628303234363840424446485052545658606264687072747678808284869088929496[[#This Row],[Colonna4]]*$Q3</f>
        <v>18</v>
      </c>
      <c r="W53" s="56" t="n">
        <f aca="false">Tabella527911247916182022242628303234363840424446485052545658606264687072747678808284869088929496[[#This Row],[Colonna5]]*$Q3</f>
        <v>20.8</v>
      </c>
      <c r="X53" s="56" t="n">
        <f aca="false">Tabella527911247916182022242628303234363840424446485052545658606264687072747678808284869088929496[[#This Row],[Colonna6]]*$Q3</f>
        <v>16</v>
      </c>
      <c r="Y53" s="56" t="n">
        <f aca="false">Tabella527911247916182022242628303234363840424446485052545658606264687072747678808284869088929496[[#This Row],[Colonna7]]*$Q3</f>
        <v>90.4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168</v>
      </c>
      <c r="H58" s="26" t="n">
        <v>252</v>
      </c>
      <c r="I58" s="26" t="n">
        <v>254</v>
      </c>
      <c r="J58" s="26" t="n">
        <v>188</v>
      </c>
      <c r="K58" s="26" t="n">
        <v>62</v>
      </c>
      <c r="L58" s="26" t="n">
        <v>82</v>
      </c>
      <c r="M58" s="26" t="n">
        <v>350</v>
      </c>
      <c r="P58" s="23" t="s">
        <v>62</v>
      </c>
      <c r="Q58" s="23"/>
      <c r="R58" s="23"/>
      <c r="S58" s="57" t="n">
        <f aca="false">G58*$Q3</f>
        <v>67.2</v>
      </c>
      <c r="T58" s="57" t="n">
        <f aca="false">H58*$Q3</f>
        <v>100.8</v>
      </c>
      <c r="U58" s="57" t="n">
        <f aca="false">I58*$Q3</f>
        <v>101.6</v>
      </c>
      <c r="V58" s="57" t="n">
        <f aca="false">J58*$Q3</f>
        <v>75.2</v>
      </c>
      <c r="W58" s="57" t="n">
        <f aca="false">K58*$Q3</f>
        <v>24.8</v>
      </c>
      <c r="X58" s="57" t="n">
        <f aca="false">L58*$Q3</f>
        <v>32.8</v>
      </c>
      <c r="Y58" s="57" t="n">
        <f aca="false">M58*$Q3</f>
        <v>140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41</v>
      </c>
      <c r="H62" s="26" t="n">
        <v>84</v>
      </c>
      <c r="I62" s="26" t="n">
        <v>82</v>
      </c>
      <c r="J62" s="26" t="n">
        <v>63</v>
      </c>
      <c r="K62" s="26" t="n">
        <v>24</v>
      </c>
      <c r="L62" s="26" t="n">
        <v>25</v>
      </c>
      <c r="M62" s="26" t="n">
        <v>78</v>
      </c>
      <c r="P62" s="9" t="s">
        <v>66</v>
      </c>
      <c r="Q62" s="9"/>
      <c r="R62" s="9"/>
      <c r="S62" s="57" t="n">
        <f aca="false">G62*$Q3</f>
        <v>16.4</v>
      </c>
      <c r="T62" s="57" t="n">
        <f aca="false">H62*$Q3</f>
        <v>33.6</v>
      </c>
      <c r="U62" s="57" t="n">
        <f aca="false">I62*$Q3</f>
        <v>32.8</v>
      </c>
      <c r="V62" s="57" t="n">
        <f aca="false">J62*$Q3</f>
        <v>25.2</v>
      </c>
      <c r="W62" s="57" t="n">
        <f aca="false">K62*$Q3</f>
        <v>9.6</v>
      </c>
      <c r="X62" s="57" t="n">
        <f aca="false">L62*$Q3</f>
        <v>10</v>
      </c>
      <c r="Y62" s="57" t="n">
        <f aca="false">M62*$Q3</f>
        <v>31.2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13</v>
      </c>
      <c r="H63" s="13" t="n">
        <v>12</v>
      </c>
      <c r="I63" s="26" t="n">
        <v>22</v>
      </c>
      <c r="J63" s="26" t="n">
        <v>17</v>
      </c>
      <c r="K63" s="26" t="n">
        <v>6</v>
      </c>
      <c r="L63" s="26" t="n">
        <v>10</v>
      </c>
      <c r="M63" s="26" t="n">
        <v>20</v>
      </c>
      <c r="P63" s="9" t="s">
        <v>67</v>
      </c>
      <c r="Q63" s="9"/>
      <c r="R63" s="9"/>
      <c r="S63" s="57" t="n">
        <f aca="false">G63*$Q3</f>
        <v>5.2</v>
      </c>
      <c r="T63" s="57" t="n">
        <f aca="false">H63*$Q3</f>
        <v>4.8</v>
      </c>
      <c r="U63" s="57" t="n">
        <f aca="false">I63*$Q3</f>
        <v>8.8</v>
      </c>
      <c r="V63" s="57" t="n">
        <f aca="false">J63*$Q3</f>
        <v>6.8</v>
      </c>
      <c r="W63" s="57" t="n">
        <f aca="false">K63*$Q3</f>
        <v>2.4</v>
      </c>
      <c r="X63" s="57" t="n">
        <f aca="false">L63*$Q3</f>
        <v>4</v>
      </c>
      <c r="Y63" s="57" t="n">
        <f aca="false">M63*$Q3</f>
        <v>8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15</v>
      </c>
      <c r="H64" s="26" t="n">
        <v>27</v>
      </c>
      <c r="I64" s="26" t="n">
        <v>17</v>
      </c>
      <c r="J64" s="26" t="n">
        <v>20</v>
      </c>
      <c r="K64" s="26" t="n">
        <v>12</v>
      </c>
      <c r="L64" s="26" t="n">
        <v>8</v>
      </c>
      <c r="M64" s="26" t="n">
        <v>22</v>
      </c>
      <c r="P64" s="9" t="s">
        <v>68</v>
      </c>
      <c r="Q64" s="9"/>
      <c r="R64" s="9"/>
      <c r="S64" s="57" t="n">
        <f aca="false">G64*$Q3</f>
        <v>6</v>
      </c>
      <c r="T64" s="57" t="n">
        <f aca="false">H64*$Q3</f>
        <v>10.8</v>
      </c>
      <c r="U64" s="57" t="n">
        <f aca="false">I64*$Q3</f>
        <v>6.8</v>
      </c>
      <c r="V64" s="57" t="n">
        <f aca="false">J64*$Q3</f>
        <v>8</v>
      </c>
      <c r="W64" s="57" t="n">
        <f aca="false">K64*$Q3</f>
        <v>4.8</v>
      </c>
      <c r="X64" s="57" t="n">
        <f aca="false">L64*$Q3</f>
        <v>3.2</v>
      </c>
      <c r="Y64" s="57" t="n">
        <f aca="false">M64*$Q3</f>
        <v>8.8</v>
      </c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21</v>
      </c>
      <c r="H67" s="26" t="n">
        <v>12</v>
      </c>
      <c r="I67" s="26" t="n">
        <v>13</v>
      </c>
      <c r="J67" s="26" t="n">
        <v>13</v>
      </c>
      <c r="K67" s="26" t="n">
        <v>6</v>
      </c>
      <c r="L67" s="26" t="n">
        <v>3</v>
      </c>
      <c r="M67" s="26" t="n">
        <v>9</v>
      </c>
      <c r="P67" s="9" t="s">
        <v>71</v>
      </c>
      <c r="Q67" s="9"/>
      <c r="R67" s="9"/>
      <c r="S67" s="57" t="n">
        <f aca="false">G67*$Q3</f>
        <v>8.4</v>
      </c>
      <c r="T67" s="57" t="n">
        <f aca="false">H67*$Q3</f>
        <v>4.8</v>
      </c>
      <c r="U67" s="57" t="n">
        <f aca="false">I67*$Q3</f>
        <v>5.2</v>
      </c>
      <c r="V67" s="57" t="n">
        <f aca="false">J67*$Q3</f>
        <v>5.2</v>
      </c>
      <c r="W67" s="57" t="n">
        <f aca="false">K67*$Q3</f>
        <v>2.4</v>
      </c>
      <c r="X67" s="57" t="n">
        <f aca="false">L67*$Q3</f>
        <v>1.2</v>
      </c>
      <c r="Y67" s="57" t="n">
        <f aca="false">M67*$Q3</f>
        <v>3.6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6</v>
      </c>
      <c r="H68" s="30" t="n">
        <v>1</v>
      </c>
      <c r="I68" s="30" t="n">
        <v>1</v>
      </c>
      <c r="J68" s="30" t="n">
        <v>6</v>
      </c>
      <c r="K68" s="30" t="n">
        <v>6</v>
      </c>
      <c r="L68" s="30" t="n">
        <v>7</v>
      </c>
      <c r="M68" s="30" t="n">
        <v>24</v>
      </c>
      <c r="P68" s="9" t="s">
        <v>72</v>
      </c>
      <c r="Q68" s="9"/>
      <c r="R68" s="9"/>
      <c r="S68" s="57" t="n">
        <f aca="false">G68*$Q3</f>
        <v>2.4</v>
      </c>
      <c r="T68" s="57" t="n">
        <f aca="false">H68*$Q3</f>
        <v>0.4</v>
      </c>
      <c r="U68" s="57" t="n">
        <f aca="false">I68*$Q3</f>
        <v>0.4</v>
      </c>
      <c r="V68" s="57" t="n">
        <f aca="false">J68*$Q3</f>
        <v>2.4</v>
      </c>
      <c r="W68" s="57" t="n">
        <f aca="false">K68*$Q3</f>
        <v>2.4</v>
      </c>
      <c r="X68" s="57" t="n">
        <f aca="false">L68*$Q3</f>
        <v>2.8</v>
      </c>
      <c r="Y68" s="57" t="n">
        <f aca="false">M68*$Q3</f>
        <v>9.6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47</v>
      </c>
      <c r="H69" s="30" t="n">
        <v>170</v>
      </c>
      <c r="I69" s="30" t="n">
        <v>118</v>
      </c>
      <c r="J69" s="30" t="n">
        <v>60</v>
      </c>
      <c r="K69" s="30" t="n">
        <v>22</v>
      </c>
      <c r="L69" s="30" t="n">
        <v>21</v>
      </c>
      <c r="M69" s="30" t="n">
        <v>38</v>
      </c>
      <c r="P69" s="9" t="s">
        <v>73</v>
      </c>
      <c r="Q69" s="9"/>
      <c r="R69" s="9"/>
      <c r="S69" s="57" t="n">
        <f aca="false">G69*$Q3</f>
        <v>18.8</v>
      </c>
      <c r="T69" s="57" t="n">
        <f aca="false">H69*$Q3</f>
        <v>68</v>
      </c>
      <c r="U69" s="57" t="n">
        <f aca="false">I69*$Q3</f>
        <v>47.2</v>
      </c>
      <c r="V69" s="57" t="n">
        <f aca="false">J69*$Q3</f>
        <v>24</v>
      </c>
      <c r="W69" s="57" t="n">
        <f aca="false">K69*$Q3</f>
        <v>8.8</v>
      </c>
      <c r="X69" s="57" t="n">
        <f aca="false">L69*$Q3</f>
        <v>8.4</v>
      </c>
      <c r="Y69" s="57" t="n">
        <f aca="false">M69*$Q3</f>
        <v>15.2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311</v>
      </c>
      <c r="H70" s="60" t="n">
        <f aca="false">SUM(H58:H69)</f>
        <v>558</v>
      </c>
      <c r="I70" s="60" t="n">
        <f aca="false">SUM(I58:I69)</f>
        <v>507</v>
      </c>
      <c r="J70" s="60" t="n">
        <f aca="false">SUM(J58:J69)</f>
        <v>367</v>
      </c>
      <c r="K70" s="60" t="n">
        <f aca="false">SUM(K58:K69)</f>
        <v>138</v>
      </c>
      <c r="L70" s="60" t="n">
        <f aca="false">SUM(L58:L69)</f>
        <v>156</v>
      </c>
      <c r="M70" s="60" t="n">
        <f aca="false">SUM(M58:M69)</f>
        <v>541</v>
      </c>
      <c r="P70" s="9" t="s">
        <v>60</v>
      </c>
      <c r="Q70" s="9"/>
      <c r="R70" s="9"/>
      <c r="S70" s="61" t="n">
        <f aca="false">G70*$Q3</f>
        <v>124.4</v>
      </c>
      <c r="T70" s="61" t="n">
        <f aca="false">H70*$Q3</f>
        <v>223.2</v>
      </c>
      <c r="U70" s="61" t="n">
        <f aca="false">I70*$Q3</f>
        <v>202.8</v>
      </c>
      <c r="V70" s="61" t="n">
        <f aca="false">J70*$Q3</f>
        <v>146.8</v>
      </c>
      <c r="W70" s="61" t="n">
        <f aca="false">K70*$Q3</f>
        <v>55.2</v>
      </c>
      <c r="X70" s="61" t="n">
        <f aca="false">L70*$Q3</f>
        <v>62.4</v>
      </c>
      <c r="Y70" s="61" t="n">
        <f aca="false">M70*$Q3</f>
        <v>216.4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M31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94</v>
      </c>
      <c r="I3" s="119" t="s">
        <v>2</v>
      </c>
      <c r="J3" s="4" t="n">
        <v>45215</v>
      </c>
      <c r="K3" s="5" t="n">
        <v>45221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94</v>
      </c>
      <c r="U3" s="119" t="s">
        <v>2</v>
      </c>
      <c r="V3" s="4" t="n">
        <v>45215</v>
      </c>
      <c r="W3" s="5" t="n">
        <v>45221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5</v>
      </c>
      <c r="H7" s="13" t="n">
        <v>2</v>
      </c>
      <c r="I7" s="13" t="n">
        <v>1</v>
      </c>
      <c r="J7" s="13" t="n">
        <v>2</v>
      </c>
      <c r="K7" s="13" t="n">
        <v>1</v>
      </c>
      <c r="L7" s="13"/>
      <c r="M7" s="13"/>
      <c r="P7" s="12" t="s">
        <v>14</v>
      </c>
      <c r="Q7" s="12"/>
      <c r="R7" s="12"/>
      <c r="S7" s="14" t="n">
        <f aca="false">Tabella52791124791618202224262830323436384042444648505254565860626468707274767880828486908892949698[[#This Row],[Colonna1]]*$Q3</f>
        <v>2</v>
      </c>
      <c r="T7" s="14" t="n">
        <f aca="false">Tabella52791124791618202224262830323436384042444648505254565860626468707274767880828486908892949698[[#This Row],[Colonna2]]*$Q3</f>
        <v>0.8</v>
      </c>
      <c r="U7" s="14" t="n">
        <f aca="false">Tabella52791124791618202224262830323436384042444648505254565860626468707274767880828486908892949698[[#This Row],[Colonna3]]*$Q3</f>
        <v>0.4</v>
      </c>
      <c r="V7" s="14" t="n">
        <f aca="false">Tabella52791124791618202224262830323436384042444648505254565860626468707274767880828486908892949698[[#This Row],[Colonna4]]*$Q3</f>
        <v>0.8</v>
      </c>
      <c r="W7" s="14" t="n">
        <f aca="false">Tabella52791124791618202224262830323436384042444648505254565860626468707274767880828486908892949698[[#This Row],[Colonna5]]*$Q3</f>
        <v>0.4</v>
      </c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1</v>
      </c>
      <c r="H12" s="13" t="n">
        <v>2</v>
      </c>
      <c r="I12" s="13"/>
      <c r="J12" s="13"/>
      <c r="K12" s="13"/>
      <c r="L12" s="13"/>
      <c r="M12" s="13"/>
      <c r="P12" s="12" t="s">
        <v>19</v>
      </c>
      <c r="Q12" s="12"/>
      <c r="R12" s="12"/>
      <c r="S12" s="14" t="n">
        <f aca="false">Tabella52791124791618202224262830323436384042444648505254565860626468707274767880828486908892949698[[#This Row],[Colonna1]]*$Q3</f>
        <v>0.4</v>
      </c>
      <c r="T12" s="14" t="n">
        <f aca="false">Tabella52791124791618202224262830323436384042444648505254565860626468707274767880828486908892949698[[#This Row],[Colonna2]]*$Q3</f>
        <v>0.8</v>
      </c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 t="n">
        <v>1</v>
      </c>
      <c r="I15" s="13"/>
      <c r="J15" s="13"/>
      <c r="K15" s="13"/>
      <c r="L15" s="13" t="n">
        <v>1</v>
      </c>
      <c r="M15" s="13" t="n">
        <v>1</v>
      </c>
      <c r="P15" s="12" t="s">
        <v>22</v>
      </c>
      <c r="Q15" s="12"/>
      <c r="R15" s="12"/>
      <c r="S15" s="14"/>
      <c r="T15" s="14" t="n">
        <f aca="false">Tabella52791124791618202224262830323436384042444648505254565860626468707274767880828486908892949698[[#This Row],[Colonna2]]*$Q3</f>
        <v>0.4</v>
      </c>
      <c r="U15" s="14"/>
      <c r="V15" s="14"/>
      <c r="W15" s="14"/>
      <c r="X15" s="14" t="n">
        <f aca="false">Tabella52791124791618202224262830323436384042444648505254565860626468707274767880828486908892949698[[#This Row],[Colonna6]]*$Q3</f>
        <v>0.4</v>
      </c>
      <c r="Y15" s="14" t="n">
        <f aca="false">Tabella52791124791618202224262830323436384042444648505254565860626468707274767880828486908892949698[[#This Row],[Colonna7]]*$Q3</f>
        <v>0.4</v>
      </c>
    </row>
    <row r="16" customFormat="false" ht="15" hidden="false" customHeight="false" outlineLevel="0" collapsed="false">
      <c r="D16" s="12" t="s">
        <v>23</v>
      </c>
      <c r="E16" s="12"/>
      <c r="F16" s="12"/>
      <c r="G16" s="13" t="n">
        <v>1</v>
      </c>
      <c r="H16" s="13" t="n">
        <v>1</v>
      </c>
      <c r="I16" s="13"/>
      <c r="J16" s="13"/>
      <c r="K16" s="13"/>
      <c r="L16" s="13"/>
      <c r="M16" s="13"/>
      <c r="P16" s="12" t="s">
        <v>23</v>
      </c>
      <c r="Q16" s="12"/>
      <c r="R16" s="12"/>
      <c r="S16" s="14" t="n">
        <f aca="false">Tabella52791124791618202224262830323436384042444648505254565860626468707274767880828486908892949698[[#This Row],[Colonna1]]*$Q3</f>
        <v>0.4</v>
      </c>
      <c r="T16" s="14" t="n">
        <f aca="false">Tabella52791124791618202224262830323436384042444648505254565860626468707274767880828486908892949698[[#This Row],[Colonna2]]*$Q3</f>
        <v>0.4</v>
      </c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 t="n">
        <v>2</v>
      </c>
      <c r="K22" s="13"/>
      <c r="L22" s="13"/>
      <c r="M22" s="13"/>
      <c r="P22" s="12" t="s">
        <v>29</v>
      </c>
      <c r="Q22" s="12"/>
      <c r="R22" s="12"/>
      <c r="S22" s="14"/>
      <c r="T22" s="14"/>
      <c r="U22" s="14"/>
      <c r="V22" s="14" t="n">
        <f aca="false">Tabella52791124791618202224262830323436384042444648505254565860626468707274767880828486908892949698[[#This Row],[Colonna4]]*$Q3</f>
        <v>0.8</v>
      </c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 t="n">
        <v>1</v>
      </c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 t="n">
        <f aca="false">Tabella52791124791618202224262830323436384042444648505254565860626468707274767880828486908892949698[[#This Row],[Colonna5]]*$Q3</f>
        <v>0.4</v>
      </c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3</v>
      </c>
      <c r="H29" s="13"/>
      <c r="I29" s="13"/>
      <c r="J29" s="13"/>
      <c r="K29" s="13"/>
      <c r="L29" s="13"/>
      <c r="M29" s="13" t="n">
        <v>1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Tabella52791124791618202224262830323436384042444648505254565860626468707274767880828486908892949698[[#This Row],[Colonna1]]*$Q3</f>
        <v>1.2</v>
      </c>
      <c r="T29" s="14"/>
      <c r="U29" s="14"/>
      <c r="V29" s="14"/>
      <c r="W29" s="14"/>
      <c r="X29" s="14"/>
      <c r="Y29" s="14" t="n">
        <f aca="false">Tabella52791124791618202224262830323436384042444648505254565860626468707274767880828486908892949698[[#This Row],[Colonna7]]*$Q3</f>
        <v>0.4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35</v>
      </c>
      <c r="H41" s="13" t="n">
        <v>4</v>
      </c>
      <c r="I41" s="13" t="n">
        <v>3</v>
      </c>
      <c r="J41" s="13" t="n">
        <v>5</v>
      </c>
      <c r="K41" s="13" t="n">
        <v>11</v>
      </c>
      <c r="L41" s="13" t="n">
        <v>13</v>
      </c>
      <c r="M41" s="13" t="n">
        <v>16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Tabella52791124791618202224262830323436384042444648505254565860626468707274767880828486908892949698[[#This Row],[Colonna1]]*$Q3</f>
        <v>14</v>
      </c>
      <c r="T41" s="14" t="n">
        <f aca="false">Tabella52791124791618202224262830323436384042444648505254565860626468707274767880828486908892949698[[#This Row],[Colonna2]]*$Q3</f>
        <v>1.6</v>
      </c>
      <c r="U41" s="14" t="n">
        <f aca="false">Tabella52791124791618202224262830323436384042444648505254565860626468707274767880828486908892949698[[#This Row],[Colonna3]]*$Q3</f>
        <v>1.2</v>
      </c>
      <c r="V41" s="14" t="n">
        <f aca="false">Tabella52791124791618202224262830323436384042444648505254565860626468707274767880828486908892949698[[#This Row],[Colonna4]]*$Q3</f>
        <v>2</v>
      </c>
      <c r="W41" s="14" t="n">
        <f aca="false">Tabella52791124791618202224262830323436384042444648505254565860626468707274767880828486908892949698[[#This Row],[Colonna5]]*$Q3</f>
        <v>4.4</v>
      </c>
      <c r="X41" s="14" t="n">
        <f aca="false">Tabella52791124791618202224262830323436384042444648505254565860626468707274767880828486908892949698[[#This Row],[Colonna6]]*$Q3</f>
        <v>5.2</v>
      </c>
      <c r="Y41" s="14" t="n">
        <f aca="false">Tabella52791124791618202224262830323436384042444648505254565860626468707274767880828486908892949698[[#This Row],[Colonna7]]*$Q3</f>
        <v>6.4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7</v>
      </c>
      <c r="H44" s="13" t="n">
        <v>8</v>
      </c>
      <c r="I44" s="13" t="n">
        <v>1</v>
      </c>
      <c r="J44" s="13"/>
      <c r="K44" s="13" t="n">
        <v>3</v>
      </c>
      <c r="L44" s="13" t="n">
        <v>2</v>
      </c>
      <c r="M44" s="13" t="n">
        <v>2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Tabella52791124791618202224262830323436384042444648505254565860626468707274767880828486908892949698[[#This Row],[Colonna1]]*$Q3</f>
        <v>2.8</v>
      </c>
      <c r="T44" s="14" t="n">
        <f aca="false">Tabella52791124791618202224262830323436384042444648505254565860626468707274767880828486908892949698[[#This Row],[Colonna2]]*$Q3</f>
        <v>3.2</v>
      </c>
      <c r="U44" s="14" t="n">
        <f aca="false">Tabella52791124791618202224262830323436384042444648505254565860626468707274767880828486908892949698[[#This Row],[Colonna3]]*$Q3</f>
        <v>0.4</v>
      </c>
      <c r="V44" s="14"/>
      <c r="W44" s="14" t="n">
        <f aca="false">Tabella52791124791618202224262830323436384042444648505254565860626468707274767880828486908892949698[[#This Row],[Colonna5]]*$Q3</f>
        <v>1.2</v>
      </c>
      <c r="X44" s="14" t="n">
        <f aca="false">Tabella52791124791618202224262830323436384042444648505254565860626468707274767880828486908892949698[[#This Row],[Colonna6]]*$Q3</f>
        <v>0.8</v>
      </c>
      <c r="Y44" s="14" t="n">
        <f aca="false">Tabella52791124791618202224262830323436384042444648505254565860626468707274767880828486908892949698[[#This Row],[Colonna7]]*$Q3</f>
        <v>0.8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1</v>
      </c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 t="n">
        <f aca="false">Tabella52791124791618202224262830323436384042444648505254565860626468707274767880828486908892949698[[#This Row],[Colonna1]]*$Q3</f>
        <v>0.4</v>
      </c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9</v>
      </c>
      <c r="H52" s="13" t="n">
        <v>1</v>
      </c>
      <c r="I52" s="13" t="n">
        <v>1</v>
      </c>
      <c r="J52" s="13"/>
      <c r="K52" s="13"/>
      <c r="L52" s="13" t="n">
        <v>4</v>
      </c>
      <c r="M52" s="13" t="n">
        <v>4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Tabella52791124791618202224262830323436384042444648505254565860626468707274767880828486908892949698[[#This Row],[Colonna1]]*$Q3</f>
        <v>3.6</v>
      </c>
      <c r="T52" s="14" t="n">
        <f aca="false">Tabella52791124791618202224262830323436384042444648505254565860626468707274767880828486908892949698[[#This Row],[Colonna2]]*$Q3</f>
        <v>0.4</v>
      </c>
      <c r="U52" s="14" t="n">
        <f aca="false">Tabella52791124791618202224262830323436384042444648505254565860626468707274767880828486908892949698[[#This Row],[Colonna3]]*$Q3</f>
        <v>0.4</v>
      </c>
      <c r="V52" s="14"/>
      <c r="W52" s="14"/>
      <c r="X52" s="14" t="n">
        <f aca="false">Tabella52791124791618202224262830323436384042444648505254565860626468707274767880828486908892949698[[#This Row],[Colonna6]]*$Q3</f>
        <v>1.6</v>
      </c>
      <c r="Y52" s="14" t="n">
        <f aca="false">Tabella52791124791618202224262830323436384042444648505254565860626468707274767880828486908892949698[[#This Row],[Colonna7]]*$Q3</f>
        <v>1.6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62</v>
      </c>
      <c r="H53" s="55" t="n">
        <f aca="false">SUM(H6:H52)</f>
        <v>19</v>
      </c>
      <c r="I53" s="55" t="n">
        <f aca="false">SUM(I6:I52)</f>
        <v>6</v>
      </c>
      <c r="J53" s="55" t="n">
        <f aca="false">SUM(J6:J52)</f>
        <v>9</v>
      </c>
      <c r="K53" s="55" t="n">
        <f aca="false">SUM(K6:K52)</f>
        <v>16</v>
      </c>
      <c r="L53" s="55" t="n">
        <f aca="false">SUM(L6:L52)</f>
        <v>20</v>
      </c>
      <c r="M53" s="55" t="n">
        <f aca="false">SUM(M6:M52)</f>
        <v>24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Tabella52791124791618202224262830323436384042444648505254565860626468707274767880828486908892949698[[#This Row],[Colonna1]]*$Q3</f>
        <v>24.8</v>
      </c>
      <c r="T53" s="56" t="n">
        <f aca="false">Tabella52791124791618202224262830323436384042444648505254565860626468707274767880828486908892949698[[#This Row],[Colonna2]]*$Q3</f>
        <v>7.6</v>
      </c>
      <c r="U53" s="56" t="n">
        <f aca="false">Tabella52791124791618202224262830323436384042444648505254565860626468707274767880828486908892949698[[#This Row],[Colonna3]]*$Q3</f>
        <v>2.4</v>
      </c>
      <c r="V53" s="56" t="n">
        <f aca="false">Tabella52791124791618202224262830323436384042444648505254565860626468707274767880828486908892949698[[#This Row],[Colonna4]]*$Q3</f>
        <v>3.6</v>
      </c>
      <c r="W53" s="56" t="n">
        <f aca="false">Tabella52791124791618202224262830323436384042444648505254565860626468707274767880828486908892949698[[#This Row],[Colonna5]]*$Q3</f>
        <v>6.4</v>
      </c>
      <c r="X53" s="56" t="n">
        <f aca="false">Tabella52791124791618202224262830323436384042444648505254565860626468707274767880828486908892949698[[#This Row],[Colonna6]]*$Q3</f>
        <v>8</v>
      </c>
      <c r="Y53" s="56" t="n">
        <f aca="false">Tabella52791124791618202224262830323436384042444648505254565860626468707274767880828486908892949698[[#This Row],[Colonna7]]*$Q3</f>
        <v>9.6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340</v>
      </c>
      <c r="H58" s="26" t="n">
        <v>256</v>
      </c>
      <c r="I58" s="26" t="n">
        <v>142</v>
      </c>
      <c r="J58" s="26" t="n">
        <v>12</v>
      </c>
      <c r="K58" s="26" t="n">
        <v>28</v>
      </c>
      <c r="L58" s="26" t="n">
        <v>43</v>
      </c>
      <c r="M58" s="26" t="n">
        <v>65</v>
      </c>
      <c r="P58" s="23" t="s">
        <v>62</v>
      </c>
      <c r="Q58" s="23"/>
      <c r="R58" s="23"/>
      <c r="S58" s="57" t="n">
        <f aca="false">G58*$Q3</f>
        <v>136</v>
      </c>
      <c r="T58" s="57" t="n">
        <f aca="false">H58*$Q3</f>
        <v>102.4</v>
      </c>
      <c r="U58" s="57" t="n">
        <f aca="false">I58*$Q3</f>
        <v>56.8</v>
      </c>
      <c r="V58" s="57" t="n">
        <f aca="false">J58*$Q3</f>
        <v>4.8</v>
      </c>
      <c r="W58" s="57" t="n">
        <f aca="false">K58*$Q3</f>
        <v>11.2</v>
      </c>
      <c r="X58" s="57" t="n">
        <f aca="false">L58*$Q3</f>
        <v>17.2</v>
      </c>
      <c r="Y58" s="57" t="n">
        <f aca="false">M58*$Q3</f>
        <v>26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111</v>
      </c>
      <c r="H62" s="26" t="n">
        <v>108</v>
      </c>
      <c r="I62" s="26" t="n">
        <v>23</v>
      </c>
      <c r="J62" s="26" t="n">
        <v>3</v>
      </c>
      <c r="K62" s="26"/>
      <c r="L62" s="26" t="n">
        <v>4</v>
      </c>
      <c r="M62" s="26" t="n">
        <v>11</v>
      </c>
      <c r="P62" s="9" t="s">
        <v>66</v>
      </c>
      <c r="Q62" s="9"/>
      <c r="R62" s="9"/>
      <c r="S62" s="57" t="n">
        <f aca="false">G62*$Q3</f>
        <v>44.4</v>
      </c>
      <c r="T62" s="57" t="n">
        <f aca="false">H62*$Q3</f>
        <v>43.2</v>
      </c>
      <c r="U62" s="57" t="n">
        <f aca="false">I62*$Q3</f>
        <v>9.2</v>
      </c>
      <c r="V62" s="57" t="n">
        <f aca="false">J62*$Q3</f>
        <v>1.2</v>
      </c>
      <c r="W62" s="57"/>
      <c r="X62" s="57" t="n">
        <f aca="false">L62*$Q3</f>
        <v>1.6</v>
      </c>
      <c r="Y62" s="57" t="n">
        <f aca="false">M62*$Q3</f>
        <v>4.4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23</v>
      </c>
      <c r="H63" s="13" t="n">
        <v>25</v>
      </c>
      <c r="I63" s="26" t="n">
        <v>7</v>
      </c>
      <c r="J63" s="26"/>
      <c r="K63" s="26"/>
      <c r="L63" s="26" t="n">
        <v>5</v>
      </c>
      <c r="M63" s="26" t="n">
        <v>3</v>
      </c>
      <c r="P63" s="9" t="s">
        <v>67</v>
      </c>
      <c r="Q63" s="9"/>
      <c r="R63" s="9"/>
      <c r="S63" s="57" t="n">
        <f aca="false">G63*$Q3</f>
        <v>9.2</v>
      </c>
      <c r="T63" s="57" t="n">
        <f aca="false">H63*$Q3</f>
        <v>10</v>
      </c>
      <c r="U63" s="57" t="n">
        <f aca="false">I63*$Q3</f>
        <v>2.8</v>
      </c>
      <c r="V63" s="57"/>
      <c r="W63" s="57" t="n">
        <f aca="false">K63*$Q3</f>
        <v>0</v>
      </c>
      <c r="X63" s="57" t="n">
        <f aca="false">L63*$Q3</f>
        <v>2</v>
      </c>
      <c r="Y63" s="57" t="n">
        <f aca="false">M63*$Q3</f>
        <v>1.2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40</v>
      </c>
      <c r="H64" s="26" t="n">
        <v>32</v>
      </c>
      <c r="I64" s="26" t="n">
        <v>6</v>
      </c>
      <c r="J64" s="26"/>
      <c r="K64" s="26" t="n">
        <v>6</v>
      </c>
      <c r="L64" s="26"/>
      <c r="M64" s="26" t="n">
        <v>3</v>
      </c>
      <c r="P64" s="9" t="s">
        <v>68</v>
      </c>
      <c r="Q64" s="9"/>
      <c r="R64" s="9"/>
      <c r="S64" s="57" t="n">
        <f aca="false">G64*$Q3</f>
        <v>16</v>
      </c>
      <c r="T64" s="57" t="n">
        <f aca="false">H64*$Q3</f>
        <v>12.8</v>
      </c>
      <c r="U64" s="57" t="n">
        <f aca="false">I64*$Q3</f>
        <v>2.4</v>
      </c>
      <c r="V64" s="57"/>
      <c r="W64" s="57" t="n">
        <f aca="false">K64*$Q3</f>
        <v>2.4</v>
      </c>
      <c r="X64" s="57"/>
      <c r="Y64" s="57" t="n">
        <f aca="false">M64*$Q3</f>
        <v>1.2</v>
      </c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 t="n">
        <v>1</v>
      </c>
      <c r="J65" s="26"/>
      <c r="K65" s="26" t="n">
        <v>3</v>
      </c>
      <c r="L65" s="26"/>
      <c r="M65" s="26"/>
      <c r="P65" s="9" t="s">
        <v>69</v>
      </c>
      <c r="Q65" s="9"/>
      <c r="R65" s="9"/>
      <c r="S65" s="57"/>
      <c r="T65" s="57"/>
      <c r="U65" s="57" t="n">
        <f aca="false">I65*$Q3</f>
        <v>0.4</v>
      </c>
      <c r="V65" s="57"/>
      <c r="W65" s="57" t="n">
        <f aca="false">K65*$Q3</f>
        <v>1.2</v>
      </c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6</v>
      </c>
      <c r="H67" s="26" t="n">
        <v>7</v>
      </c>
      <c r="I67" s="26" t="n">
        <v>3</v>
      </c>
      <c r="J67" s="26"/>
      <c r="K67" s="26" t="n">
        <v>5</v>
      </c>
      <c r="L67" s="26" t="n">
        <v>9</v>
      </c>
      <c r="M67" s="26" t="n">
        <v>15</v>
      </c>
      <c r="P67" s="9" t="s">
        <v>71</v>
      </c>
      <c r="Q67" s="9"/>
      <c r="R67" s="9"/>
      <c r="S67" s="57" t="n">
        <f aca="false">G67*$Q3</f>
        <v>2.4</v>
      </c>
      <c r="T67" s="57" t="n">
        <f aca="false">H67*$Q3</f>
        <v>2.8</v>
      </c>
      <c r="U67" s="57" t="n">
        <f aca="false">I67*$Q3</f>
        <v>1.2</v>
      </c>
      <c r="V67" s="57"/>
      <c r="W67" s="57" t="n">
        <f aca="false">K67*$Q3</f>
        <v>2</v>
      </c>
      <c r="X67" s="57" t="n">
        <f aca="false">L67*$Q3</f>
        <v>3.6</v>
      </c>
      <c r="Y67" s="57" t="n">
        <f aca="false">M67*$Q3</f>
        <v>6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9</v>
      </c>
      <c r="H68" s="30" t="n">
        <v>5</v>
      </c>
      <c r="I68" s="30" t="n">
        <v>4</v>
      </c>
      <c r="J68" s="30"/>
      <c r="K68" s="30" t="n">
        <v>1</v>
      </c>
      <c r="L68" s="30" t="n">
        <v>3</v>
      </c>
      <c r="M68" s="30"/>
      <c r="P68" s="9" t="s">
        <v>72</v>
      </c>
      <c r="Q68" s="9"/>
      <c r="R68" s="9"/>
      <c r="S68" s="57" t="n">
        <f aca="false">G68*$Q3</f>
        <v>3.6</v>
      </c>
      <c r="T68" s="57" t="n">
        <f aca="false">H68*$Q3</f>
        <v>2</v>
      </c>
      <c r="U68" s="57" t="n">
        <f aca="false">I68*$Q3</f>
        <v>1.6</v>
      </c>
      <c r="V68" s="57"/>
      <c r="W68" s="57" t="n">
        <f aca="false">K68*$Q3</f>
        <v>0.4</v>
      </c>
      <c r="X68" s="57" t="n">
        <f aca="false">L68*$Q3</f>
        <v>1.2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44</v>
      </c>
      <c r="H69" s="30" t="n">
        <v>93</v>
      </c>
      <c r="I69" s="30" t="n">
        <v>37</v>
      </c>
      <c r="J69" s="30"/>
      <c r="K69" s="30" t="n">
        <v>4</v>
      </c>
      <c r="L69" s="30" t="n">
        <v>1</v>
      </c>
      <c r="M69" s="30"/>
      <c r="P69" s="9" t="s">
        <v>73</v>
      </c>
      <c r="Q69" s="9"/>
      <c r="R69" s="9"/>
      <c r="S69" s="57" t="n">
        <f aca="false">G69*$Q3</f>
        <v>17.6</v>
      </c>
      <c r="T69" s="57" t="n">
        <f aca="false">H69*$Q3</f>
        <v>37.2</v>
      </c>
      <c r="U69" s="57" t="n">
        <f aca="false">I69*$Q3</f>
        <v>14.8</v>
      </c>
      <c r="V69" s="57"/>
      <c r="W69" s="57" t="n">
        <f aca="false">K69*$Q3</f>
        <v>1.6</v>
      </c>
      <c r="X69" s="57" t="n">
        <f aca="false">L69*$Q3</f>
        <v>0.4</v>
      </c>
      <c r="Y69" s="5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573</v>
      </c>
      <c r="H70" s="60" t="n">
        <f aca="false">SUM(H58:H69)</f>
        <v>526</v>
      </c>
      <c r="I70" s="60" t="n">
        <f aca="false">SUM(I58:I69)</f>
        <v>223</v>
      </c>
      <c r="J70" s="60" t="n">
        <f aca="false">SUM(J58:J69)</f>
        <v>15</v>
      </c>
      <c r="K70" s="60" t="n">
        <f aca="false">SUM(K58:K69)</f>
        <v>47</v>
      </c>
      <c r="L70" s="60" t="n">
        <f aca="false">SUM(L58:L69)</f>
        <v>65</v>
      </c>
      <c r="M70" s="60" t="n">
        <f aca="false">SUM(M58:M69)</f>
        <v>97</v>
      </c>
      <c r="P70" s="9" t="s">
        <v>60</v>
      </c>
      <c r="Q70" s="9"/>
      <c r="R70" s="9"/>
      <c r="S70" s="61" t="n">
        <f aca="false">G70*$Q3</f>
        <v>229.2</v>
      </c>
      <c r="T70" s="61" t="n">
        <f aca="false">H70*$Q3</f>
        <v>210.4</v>
      </c>
      <c r="U70" s="61" t="n">
        <f aca="false">I70*$Q3</f>
        <v>89.2</v>
      </c>
      <c r="V70" s="61" t="n">
        <f aca="false">J70*$Q3</f>
        <v>6</v>
      </c>
      <c r="W70" s="61" t="n">
        <f aca="false">K70*$Q3</f>
        <v>18.8</v>
      </c>
      <c r="X70" s="61" t="n">
        <f aca="false">L70*$Q3</f>
        <v>26</v>
      </c>
      <c r="Y70" s="61" t="n">
        <f aca="false">M70*$Q3</f>
        <v>38.8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M40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94</v>
      </c>
      <c r="I3" s="119" t="s">
        <v>2</v>
      </c>
      <c r="J3" s="4" t="n">
        <v>45222</v>
      </c>
      <c r="K3" s="5" t="n">
        <v>45228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94</v>
      </c>
      <c r="U3" s="119" t="s">
        <v>2</v>
      </c>
      <c r="V3" s="4" t="n">
        <v>45215</v>
      </c>
      <c r="W3" s="5" t="n">
        <v>45221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7</v>
      </c>
      <c r="H7" s="13"/>
      <c r="I7" s="13"/>
      <c r="J7" s="13"/>
      <c r="K7" s="13" t="n">
        <v>1</v>
      </c>
      <c r="L7" s="13"/>
      <c r="M7" s="13"/>
      <c r="P7" s="12" t="s">
        <v>14</v>
      </c>
      <c r="Q7" s="12"/>
      <c r="R7" s="12"/>
      <c r="S7" s="14" t="n">
        <f aca="false">Tabella52791124791618202224262830323436384042444648505254565860626468707274767880828486908892949698100[[#This Row],[Colonna1]]*$Q3</f>
        <v>2.8</v>
      </c>
      <c r="T7" s="14"/>
      <c r="U7" s="14"/>
      <c r="V7" s="14"/>
      <c r="W7" s="14" t="n">
        <f aca="false">Tabella52791124791618202224262830323436384042444648505254565860626468707274767880828486908892949698100[[#This Row],[Colonna5]]*$Q3</f>
        <v>0.4</v>
      </c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 t="n">
        <v>1</v>
      </c>
      <c r="J22" s="13" t="n">
        <v>2</v>
      </c>
      <c r="K22" s="13"/>
      <c r="L22" s="13"/>
      <c r="M22" s="13"/>
      <c r="P22" s="12" t="s">
        <v>29</v>
      </c>
      <c r="Q22" s="12"/>
      <c r="R22" s="12"/>
      <c r="S22" s="14"/>
      <c r="T22" s="14"/>
      <c r="U22" s="14"/>
      <c r="V22" s="14" t="n">
        <f aca="false">Tabella52791124791618202224262830323436384042444648505254565860626468707274767880828486908892949698100[[#This Row],[Colonna4]]*$Q3</f>
        <v>0.8</v>
      </c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 t="n">
        <v>2</v>
      </c>
      <c r="K29" s="13" t="n">
        <v>2</v>
      </c>
      <c r="L29" s="13"/>
      <c r="M29" s="13"/>
      <c r="P29" s="12" t="s">
        <v>36</v>
      </c>
      <c r="Q29" s="12"/>
      <c r="R29" s="12"/>
      <c r="S29" s="14"/>
      <c r="T29" s="14"/>
      <c r="U29" s="14"/>
      <c r="V29" s="14" t="n">
        <f aca="false">Tabella52791124791618202224262830323436384042444648505254565860626468707274767880828486908892949698100[[#This Row],[Colonna4]]*$Q3</f>
        <v>0.8</v>
      </c>
      <c r="W29" s="14" t="n">
        <f aca="false">Tabella52791124791618202224262830323436384042444648505254565860626468707274767880828486908892949698100[[#This Row],[Colonna5]]*$Q3</f>
        <v>0.8</v>
      </c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14</v>
      </c>
      <c r="H41" s="13"/>
      <c r="I41" s="13" t="n">
        <v>4</v>
      </c>
      <c r="J41" s="13"/>
      <c r="K41" s="13" t="n">
        <v>7</v>
      </c>
      <c r="L41" s="13" t="n">
        <v>5</v>
      </c>
      <c r="M41" s="13" t="n">
        <v>1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Tabella52791124791618202224262830323436384042444648505254565860626468707274767880828486908892949698100[[#This Row],[Colonna1]]*$Q3</f>
        <v>5.6</v>
      </c>
      <c r="T41" s="14"/>
      <c r="U41" s="14" t="n">
        <f aca="false">Tabella52791124791618202224262830323436384042444648505254565860626468707274767880828486908892949698100[[#This Row],[Colonna3]]*$Q3</f>
        <v>1.6</v>
      </c>
      <c r="V41" s="14"/>
      <c r="W41" s="14" t="n">
        <f aca="false">Tabella52791124791618202224262830323436384042444648505254565860626468707274767880828486908892949698100[[#This Row],[Colonna5]]*$Q3</f>
        <v>2.8</v>
      </c>
      <c r="X41" s="14" t="n">
        <f aca="false">Tabella52791124791618202224262830323436384042444648505254565860626468707274767880828486908892949698100[[#This Row],[Colonna6]]*$Q3</f>
        <v>2</v>
      </c>
      <c r="Y41" s="14" t="n">
        <f aca="false">Tabella52791124791618202224262830323436384042444648505254565860626468707274767880828486908892949698100[[#This Row],[Colonna7]]*$Q3</f>
        <v>0.4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5</v>
      </c>
      <c r="H44" s="13" t="n">
        <v>2</v>
      </c>
      <c r="I44" s="13" t="n">
        <v>1</v>
      </c>
      <c r="J44" s="13" t="n">
        <v>1</v>
      </c>
      <c r="K44" s="13" t="n">
        <v>2</v>
      </c>
      <c r="L44" s="13"/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Tabella52791124791618202224262830323436384042444648505254565860626468707274767880828486908892949698100[[#This Row],[Colonna1]]*$Q3</f>
        <v>2</v>
      </c>
      <c r="T44" s="14" t="n">
        <f aca="false">Tabella52791124791618202224262830323436384042444648505254565860626468707274767880828486908892949698100[[#This Row],[Colonna2]]*$Q3</f>
        <v>0.8</v>
      </c>
      <c r="U44" s="14" t="n">
        <f aca="false">Tabella52791124791618202224262830323436384042444648505254565860626468707274767880828486908892949698100[[#This Row],[Colonna3]]*$Q3</f>
        <v>0.4</v>
      </c>
      <c r="V44" s="14" t="n">
        <f aca="false">Tabella52791124791618202224262830323436384042444648505254565860626468707274767880828486908892949698100[[#This Row],[Colonna4]]*$Q3</f>
        <v>0.4</v>
      </c>
      <c r="W44" s="14" t="n">
        <f aca="false">Tabella52791124791618202224262830323436384042444648505254565860626468707274767880828486908892949698100[[#This Row],[Colonna5]]*$Q3</f>
        <v>0.8</v>
      </c>
      <c r="X44" s="14"/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1</v>
      </c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 t="n">
        <f aca="false">Tabella52791124791618202224262830323436384042444648505254565860626468707274767880828486908892949698100[[#This Row],[Colonna1]]*$Q3</f>
        <v>0.4</v>
      </c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</v>
      </c>
      <c r="H52" s="13"/>
      <c r="I52" s="13" t="n">
        <v>1</v>
      </c>
      <c r="J52" s="13" t="n">
        <v>2</v>
      </c>
      <c r="K52" s="13" t="n">
        <v>1</v>
      </c>
      <c r="L52" s="13" t="n">
        <v>3</v>
      </c>
      <c r="M52" s="13" t="n">
        <v>1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Tabella52791124791618202224262830323436384042444648505254565860626468707274767880828486908892949698100[[#This Row],[Colonna1]]*$Q3</f>
        <v>0.8</v>
      </c>
      <c r="T52" s="14"/>
      <c r="U52" s="14" t="n">
        <f aca="false">Tabella52791124791618202224262830323436384042444648505254565860626468707274767880828486908892949698100[[#This Row],[Colonna3]]*$Q3</f>
        <v>0.4</v>
      </c>
      <c r="V52" s="14" t="n">
        <f aca="false">Tabella52791124791618202224262830323436384042444648505254565860626468707274767880828486908892949698100[[#This Row],[Colonna4]]*$Q3</f>
        <v>0.8</v>
      </c>
      <c r="W52" s="14" t="n">
        <f aca="false">Tabella52791124791618202224262830323436384042444648505254565860626468707274767880828486908892949698100[[#This Row],[Colonna5]]*$Q3</f>
        <v>0.4</v>
      </c>
      <c r="X52" s="14" t="n">
        <f aca="false">Tabella52791124791618202224262830323436384042444648505254565860626468707274767880828486908892949698100[[#This Row],[Colonna6]]*$Q3</f>
        <v>1.2</v>
      </c>
      <c r="Y52" s="14" t="n">
        <f aca="false">Tabella52791124791618202224262830323436384042444648505254565860626468707274767880828486908892949698100[[#This Row],[Colonna7]]*$Q3</f>
        <v>0.4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29</v>
      </c>
      <c r="H53" s="55" t="n">
        <f aca="false">SUM(H6:H52)</f>
        <v>2</v>
      </c>
      <c r="I53" s="55" t="n">
        <f aca="false">SUM(I6:I52)</f>
        <v>7</v>
      </c>
      <c r="J53" s="55" t="n">
        <f aca="false">SUM(J6:J52)</f>
        <v>7</v>
      </c>
      <c r="K53" s="55" t="n">
        <f aca="false">SUM(K6:K52)</f>
        <v>13</v>
      </c>
      <c r="L53" s="55" t="n">
        <f aca="false">SUM(L6:L52)</f>
        <v>8</v>
      </c>
      <c r="M53" s="55" t="n">
        <f aca="false">SUM(M6:M52)</f>
        <v>2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Tabella52791124791618202224262830323436384042444648505254565860626468707274767880828486908892949698100[[#This Row],[Colonna1]]*$Q3</f>
        <v>11.6</v>
      </c>
      <c r="T53" s="56" t="n">
        <f aca="false">Tabella52791124791618202224262830323436384042444648505254565860626468707274767880828486908892949698100[[#This Row],[Colonna2]]*$Q3</f>
        <v>0.8</v>
      </c>
      <c r="U53" s="56" t="n">
        <f aca="false">Tabella52791124791618202224262830323436384042444648505254565860626468707274767880828486908892949698100[[#This Row],[Colonna3]]*$Q3</f>
        <v>2.8</v>
      </c>
      <c r="V53" s="56" t="n">
        <f aca="false">Tabella52791124791618202224262830323436384042444648505254565860626468707274767880828486908892949698100[[#This Row],[Colonna4]]*$Q3</f>
        <v>2.8</v>
      </c>
      <c r="W53" s="56" t="n">
        <f aca="false">Tabella52791124791618202224262830323436384042444648505254565860626468707274767880828486908892949698100[[#This Row],[Colonna5]]*$Q3</f>
        <v>5.2</v>
      </c>
      <c r="X53" s="56" t="n">
        <f aca="false">Tabella52791124791618202224262830323436384042444648505254565860626468707274767880828486908892949698100[[#This Row],[Colonna6]]*$Q3</f>
        <v>3.2</v>
      </c>
      <c r="Y53" s="56" t="n">
        <f aca="false">Tabella52791124791618202224262830323436384042444648505254565860626468707274767880828486908892949698100[[#This Row],[Colonna7]]*$Q3</f>
        <v>0.8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300</v>
      </c>
      <c r="H58" s="26" t="n">
        <v>19</v>
      </c>
      <c r="I58" s="26" t="n">
        <v>65</v>
      </c>
      <c r="J58" s="26" t="n">
        <v>150</v>
      </c>
      <c r="K58" s="26" t="n">
        <v>209</v>
      </c>
      <c r="L58" s="26" t="n">
        <v>115</v>
      </c>
      <c r="M58" s="26" t="n">
        <v>84</v>
      </c>
      <c r="P58" s="23" t="s">
        <v>62</v>
      </c>
      <c r="Q58" s="23"/>
      <c r="R58" s="23"/>
      <c r="S58" s="57" t="n">
        <f aca="false">G58*$Q3</f>
        <v>120</v>
      </c>
      <c r="T58" s="57" t="n">
        <f aca="false">H58*$Q3</f>
        <v>7.6</v>
      </c>
      <c r="U58" s="57" t="n">
        <f aca="false">I58*$Q3</f>
        <v>26</v>
      </c>
      <c r="V58" s="57" t="n">
        <f aca="false">J58*$Q3</f>
        <v>60</v>
      </c>
      <c r="W58" s="57" t="n">
        <f aca="false">K58*$Q3</f>
        <v>83.6</v>
      </c>
      <c r="X58" s="57" t="n">
        <f aca="false">L58*$Q3</f>
        <v>46</v>
      </c>
      <c r="Y58" s="57" t="n">
        <f aca="false">M58*$Q3</f>
        <v>33.6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80</v>
      </c>
      <c r="H62" s="26" t="n">
        <v>8</v>
      </c>
      <c r="I62" s="26" t="n">
        <v>3</v>
      </c>
      <c r="J62" s="26" t="n">
        <v>20</v>
      </c>
      <c r="K62" s="26" t="n">
        <v>38</v>
      </c>
      <c r="L62" s="26" t="n">
        <v>14</v>
      </c>
      <c r="M62" s="26" t="n">
        <v>33</v>
      </c>
      <c r="P62" s="9" t="s">
        <v>66</v>
      </c>
      <c r="Q62" s="9"/>
      <c r="R62" s="9"/>
      <c r="S62" s="57" t="n">
        <f aca="false">G62*$Q3</f>
        <v>32</v>
      </c>
      <c r="T62" s="57" t="n">
        <f aca="false">H62*$Q3</f>
        <v>3.2</v>
      </c>
      <c r="U62" s="57" t="n">
        <f aca="false">I62*$Q3</f>
        <v>1.2</v>
      </c>
      <c r="V62" s="57" t="n">
        <f aca="false">J62*$Q3</f>
        <v>8</v>
      </c>
      <c r="W62" s="57" t="n">
        <f aca="false">K62*$Q3</f>
        <v>15.2</v>
      </c>
      <c r="X62" s="57" t="n">
        <f aca="false">L62*$Q3</f>
        <v>5.6</v>
      </c>
      <c r="Y62" s="57" t="n">
        <f aca="false">M62*$Q3</f>
        <v>13.2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19</v>
      </c>
      <c r="H63" s="13" t="n">
        <v>3</v>
      </c>
      <c r="I63" s="26" t="n">
        <v>2</v>
      </c>
      <c r="J63" s="26" t="n">
        <v>4</v>
      </c>
      <c r="K63" s="26" t="n">
        <v>8</v>
      </c>
      <c r="L63" s="26" t="n">
        <v>2</v>
      </c>
      <c r="M63" s="26" t="n">
        <v>5</v>
      </c>
      <c r="P63" s="9" t="s">
        <v>67</v>
      </c>
      <c r="Q63" s="9"/>
      <c r="R63" s="9"/>
      <c r="S63" s="57" t="n">
        <f aca="false">G63*$Q3</f>
        <v>7.6</v>
      </c>
      <c r="T63" s="57" t="n">
        <f aca="false">H63*$Q3</f>
        <v>1.2</v>
      </c>
      <c r="U63" s="57" t="n">
        <f aca="false">I63*$Q3</f>
        <v>0.8</v>
      </c>
      <c r="V63" s="57" t="n">
        <f aca="false">J63*$Q3</f>
        <v>1.6</v>
      </c>
      <c r="W63" s="57" t="n">
        <f aca="false">K63*$Q3</f>
        <v>3.2</v>
      </c>
      <c r="X63" s="57" t="n">
        <f aca="false">L63*$Q3</f>
        <v>0.8</v>
      </c>
      <c r="Y63" s="57" t="n">
        <f aca="false">M63*$Q3</f>
        <v>2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5</v>
      </c>
      <c r="H64" s="26"/>
      <c r="I64" s="26" t="n">
        <v>1</v>
      </c>
      <c r="J64" s="26" t="n">
        <v>2</v>
      </c>
      <c r="K64" s="26" t="n">
        <v>2</v>
      </c>
      <c r="L64" s="26" t="n">
        <v>7</v>
      </c>
      <c r="M64" s="26" t="n">
        <v>2</v>
      </c>
      <c r="P64" s="9" t="s">
        <v>68</v>
      </c>
      <c r="Q64" s="9"/>
      <c r="R64" s="9"/>
      <c r="S64" s="57" t="n">
        <f aca="false">G64*$Q3</f>
        <v>2</v>
      </c>
      <c r="T64" s="57"/>
      <c r="U64" s="57" t="n">
        <f aca="false">I64*$Q3</f>
        <v>0.4</v>
      </c>
      <c r="V64" s="57" t="n">
        <f aca="false">J64*$Q3</f>
        <v>0.8</v>
      </c>
      <c r="W64" s="57" t="n">
        <f aca="false">K64*$Q3</f>
        <v>0.8</v>
      </c>
      <c r="X64" s="57" t="n">
        <f aca="false">L64*$Q3</f>
        <v>2.8</v>
      </c>
      <c r="Y64" s="57" t="n">
        <f aca="false">M64*$Q3</f>
        <v>0.8</v>
      </c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 t="n">
        <v>1</v>
      </c>
      <c r="I65" s="26"/>
      <c r="J65" s="26" t="n">
        <v>1</v>
      </c>
      <c r="K65" s="26"/>
      <c r="L65" s="26"/>
      <c r="M65" s="26"/>
      <c r="P65" s="9" t="s">
        <v>69</v>
      </c>
      <c r="Q65" s="9"/>
      <c r="R65" s="9"/>
      <c r="S65" s="57"/>
      <c r="T65" s="57" t="n">
        <f aca="false">H65*$Q3</f>
        <v>0.4</v>
      </c>
      <c r="U65" s="57"/>
      <c r="V65" s="57" t="n">
        <f aca="false">J65*$Q3</f>
        <v>0.4</v>
      </c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21</v>
      </c>
      <c r="H67" s="26" t="n">
        <v>4</v>
      </c>
      <c r="I67" s="26" t="n">
        <v>42</v>
      </c>
      <c r="J67" s="26" t="n">
        <v>60</v>
      </c>
      <c r="K67" s="26" t="n">
        <v>31</v>
      </c>
      <c r="L67" s="26" t="n">
        <v>2</v>
      </c>
      <c r="M67" s="26" t="n">
        <v>5</v>
      </c>
      <c r="P67" s="9" t="s">
        <v>71</v>
      </c>
      <c r="Q67" s="9"/>
      <c r="R67" s="9"/>
      <c r="S67" s="57" t="n">
        <f aca="false">G67*$Q3</f>
        <v>8.4</v>
      </c>
      <c r="T67" s="57" t="n">
        <f aca="false">H67*$Q3</f>
        <v>1.6</v>
      </c>
      <c r="U67" s="57" t="n">
        <f aca="false">I67*$Q3</f>
        <v>16.8</v>
      </c>
      <c r="V67" s="57" t="n">
        <f aca="false">J67*$Q3</f>
        <v>24</v>
      </c>
      <c r="W67" s="57" t="n">
        <f aca="false">K67*$Q3</f>
        <v>12.4</v>
      </c>
      <c r="X67" s="57" t="n">
        <f aca="false">L67*$Q3</f>
        <v>0.8</v>
      </c>
      <c r="Y67" s="57" t="n">
        <f aca="false">M67*$Q3</f>
        <v>2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5</v>
      </c>
      <c r="H68" s="30" t="n">
        <v>3</v>
      </c>
      <c r="I68" s="30" t="n">
        <v>1</v>
      </c>
      <c r="J68" s="30" t="n">
        <v>3</v>
      </c>
      <c r="K68" s="30" t="n">
        <v>6</v>
      </c>
      <c r="L68" s="30" t="n">
        <v>7</v>
      </c>
      <c r="M68" s="30" t="n">
        <v>1</v>
      </c>
      <c r="P68" s="9" t="s">
        <v>72</v>
      </c>
      <c r="Q68" s="9"/>
      <c r="R68" s="9"/>
      <c r="S68" s="57" t="n">
        <f aca="false">G68*$Q3</f>
        <v>2</v>
      </c>
      <c r="T68" s="57" t="n">
        <f aca="false">H68*$Q3</f>
        <v>1.2</v>
      </c>
      <c r="U68" s="57" t="n">
        <f aca="false">I68*$Q3</f>
        <v>0.4</v>
      </c>
      <c r="V68" s="57" t="n">
        <f aca="false">J68*$Q3</f>
        <v>1.2</v>
      </c>
      <c r="W68" s="57" t="n">
        <f aca="false">K68*$Q3</f>
        <v>2.4</v>
      </c>
      <c r="X68" s="57" t="n">
        <f aca="false">L68*$Q3</f>
        <v>2.8</v>
      </c>
      <c r="Y68" s="57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9</v>
      </c>
      <c r="H69" s="30"/>
      <c r="I69" s="30" t="n">
        <v>1</v>
      </c>
      <c r="J69" s="30" t="n">
        <v>3</v>
      </c>
      <c r="K69" s="30" t="n">
        <v>2</v>
      </c>
      <c r="L69" s="30" t="n">
        <v>8</v>
      </c>
      <c r="M69" s="30" t="n">
        <v>5</v>
      </c>
      <c r="P69" s="9" t="s">
        <v>73</v>
      </c>
      <c r="Q69" s="9"/>
      <c r="R69" s="9"/>
      <c r="S69" s="57" t="n">
        <f aca="false">G69*$Q3</f>
        <v>3.6</v>
      </c>
      <c r="T69" s="57"/>
      <c r="U69" s="57" t="n">
        <f aca="false">I69*$Q3</f>
        <v>0.4</v>
      </c>
      <c r="V69" s="57" t="n">
        <f aca="false">J69*$Q3</f>
        <v>1.2</v>
      </c>
      <c r="W69" s="57" t="n">
        <f aca="false">K69*$Q3</f>
        <v>0.8</v>
      </c>
      <c r="X69" s="57" t="n">
        <f aca="false">L69*$Q3</f>
        <v>3.2</v>
      </c>
      <c r="Y69" s="57" t="n">
        <f aca="false">M69*$Q3</f>
        <v>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439</v>
      </c>
      <c r="H70" s="60" t="n">
        <f aca="false">SUM(H58:H69)</f>
        <v>38</v>
      </c>
      <c r="I70" s="60" t="n">
        <f aca="false">SUM(I58:I69)</f>
        <v>115</v>
      </c>
      <c r="J70" s="60" t="n">
        <f aca="false">SUM(J58:J69)</f>
        <v>243</v>
      </c>
      <c r="K70" s="60" t="n">
        <f aca="false">SUM(K58:K69)</f>
        <v>296</v>
      </c>
      <c r="L70" s="60" t="n">
        <f aca="false">SUM(L58:L69)</f>
        <v>155</v>
      </c>
      <c r="M70" s="60" t="n">
        <f aca="false">SUM(M58:M69)</f>
        <v>135</v>
      </c>
      <c r="P70" s="9" t="s">
        <v>60</v>
      </c>
      <c r="Q70" s="9"/>
      <c r="R70" s="9"/>
      <c r="S70" s="61" t="n">
        <f aca="false">G70*$Q3</f>
        <v>175.6</v>
      </c>
      <c r="T70" s="61" t="n">
        <f aca="false">H70*$Q3</f>
        <v>15.2</v>
      </c>
      <c r="U70" s="61" t="n">
        <f aca="false">I70*$Q3</f>
        <v>46</v>
      </c>
      <c r="V70" s="61" t="n">
        <f aca="false">J70*$Q3</f>
        <v>97.2</v>
      </c>
      <c r="W70" s="61" t="n">
        <f aca="false">K70*$Q3</f>
        <v>118.4</v>
      </c>
      <c r="X70" s="61" t="n">
        <f aca="false">L70*$Q3</f>
        <v>62</v>
      </c>
      <c r="Y70" s="61" t="n">
        <f aca="false">M70*$Q3</f>
        <v>54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37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95</v>
      </c>
      <c r="I3" s="119" t="s">
        <v>2</v>
      </c>
      <c r="J3" s="4" t="n">
        <v>45229</v>
      </c>
      <c r="K3" s="5" t="n">
        <v>45235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95</v>
      </c>
      <c r="U3" s="119" t="s">
        <v>2</v>
      </c>
      <c r="V3" s="4" t="n">
        <v>45229</v>
      </c>
      <c r="W3" s="5" t="n">
        <v>45235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</v>
      </c>
      <c r="H7" s="13"/>
      <c r="I7" s="13"/>
      <c r="J7" s="13"/>
      <c r="K7" s="13" t="n">
        <v>2</v>
      </c>
      <c r="L7" s="13" t="n">
        <v>2</v>
      </c>
      <c r="M7" s="13" t="n">
        <v>2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Tabella52791124791618202224262830323436384042444648505254565860626468707274767880828486908892949698100102[[#This Row],[Colonna1]]*$Q3</f>
        <v>0.4</v>
      </c>
      <c r="T7" s="14"/>
      <c r="U7" s="14"/>
      <c r="V7" s="14"/>
      <c r="W7" s="14" t="n">
        <f aca="false">Tabella52791124791618202224262830323436384042444648505254565860626468707274767880828486908892949698100102[[#This Row],[Colonna5]]*$Q3</f>
        <v>0.8</v>
      </c>
      <c r="X7" s="14" t="n">
        <f aca="false">Tabella52791124791618202224262830323436384042444648505254565860626468707274767880828486908892949698100102[[#This Row],[Colonna6]]*$Q3</f>
        <v>0.8</v>
      </c>
      <c r="Y7" s="14" t="n">
        <f aca="false">Tabella52791124791618202224262830323436384042444648505254565860626468707274767880828486908892949698100102[[#This Row],[Colonna7]]*$Q3</f>
        <v>0.8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 t="n">
        <v>3</v>
      </c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 t="n">
        <f aca="false">Tabella52791124791618202224262830323436384042444648505254565860626468707274767880828486908892949698100102[[#This Row],[Colonna1]]*$Q3</f>
        <v>1.2</v>
      </c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 t="n">
        <v>3</v>
      </c>
      <c r="I22" s="13"/>
      <c r="J22" s="13" t="n">
        <v>1</v>
      </c>
      <c r="K22" s="13" t="n">
        <v>3</v>
      </c>
      <c r="L22" s="13" t="n">
        <v>5</v>
      </c>
      <c r="M22" s="13" t="n">
        <v>1</v>
      </c>
      <c r="P22" s="12" t="s">
        <v>29</v>
      </c>
      <c r="Q22" s="12"/>
      <c r="R22" s="12"/>
      <c r="S22" s="14"/>
      <c r="T22" s="14" t="n">
        <f aca="false">Tabella52791124791618202224262830323436384042444648505254565860626468707274767880828486908892949698100102[[#This Row],[Colonna2]]*$Q3</f>
        <v>1.2</v>
      </c>
      <c r="U22" s="14"/>
      <c r="V22" s="14" t="n">
        <f aca="false">Tabella52791124791618202224262830323436384042444648505254565860626468707274767880828486908892949698100102[[#This Row],[Colonna4]]*$Q3</f>
        <v>0.4</v>
      </c>
      <c r="W22" s="14" t="n">
        <f aca="false">Tabella52791124791618202224262830323436384042444648505254565860626468707274767880828486908892949698100102[[#This Row],[Colonna5]]*$Q3</f>
        <v>1.2</v>
      </c>
      <c r="X22" s="14" t="n">
        <f aca="false">Tabella52791124791618202224262830323436384042444648505254565860626468707274767880828486908892949698100102[[#This Row],[Colonna6]]*$Q3</f>
        <v>2</v>
      </c>
      <c r="Y22" s="14" t="n">
        <f aca="false">Tabella52791124791618202224262830323436384042444648505254565860626468707274767880828486908892949698100102[[#This Row],[Colonna7]]*$Q3</f>
        <v>0.4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4</v>
      </c>
      <c r="H41" s="13" t="n">
        <v>1</v>
      </c>
      <c r="I41" s="13"/>
      <c r="J41" s="13" t="n">
        <v>1</v>
      </c>
      <c r="K41" s="13" t="n">
        <v>3</v>
      </c>
      <c r="L41" s="13"/>
      <c r="M41" s="13" t="n">
        <v>1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Tabella52791124791618202224262830323436384042444648505254565860626468707274767880828486908892949698100102[[#This Row],[Colonna1]]*$Q3</f>
        <v>1.6</v>
      </c>
      <c r="T41" s="14" t="n">
        <f aca="false">Tabella52791124791618202224262830323436384042444648505254565860626468707274767880828486908892949698100102[[#This Row],[Colonna2]]*$Q3</f>
        <v>0.4</v>
      </c>
      <c r="U41" s="14"/>
      <c r="V41" s="14" t="n">
        <f aca="false">Tabella52791124791618202224262830323436384042444648505254565860626468707274767880828486908892949698100102[[#This Row],[Colonna4]]*$Q3</f>
        <v>0.4</v>
      </c>
      <c r="W41" s="14" t="n">
        <f aca="false">Tabella52791124791618202224262830323436384042444648505254565860626468707274767880828486908892949698100102[[#This Row],[Colonna5]]*$Q3</f>
        <v>1.2</v>
      </c>
      <c r="X41" s="14"/>
      <c r="Y41" s="14" t="n">
        <f aca="false">Tabella52791124791618202224262830323436384042444648505254565860626468707274767880828486908892949698100102[[#This Row],[Colonna7]]*$Q3</f>
        <v>0.4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3</v>
      </c>
      <c r="H44" s="13" t="n">
        <v>5</v>
      </c>
      <c r="I44" s="13"/>
      <c r="J44" s="13" t="n">
        <v>4</v>
      </c>
      <c r="K44" s="13" t="n">
        <v>5</v>
      </c>
      <c r="L44" s="13" t="n">
        <v>3</v>
      </c>
      <c r="M44" s="13" t="n">
        <v>2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Tabella52791124791618202224262830323436384042444648505254565860626468707274767880828486908892949698100102[[#This Row],[Colonna1]]*$Q3</f>
        <v>1.2</v>
      </c>
      <c r="T44" s="14" t="n">
        <f aca="false">Tabella52791124791618202224262830323436384042444648505254565860626468707274767880828486908892949698100102[[#This Row],[Colonna2]]*$Q3</f>
        <v>2</v>
      </c>
      <c r="U44" s="14"/>
      <c r="V44" s="14" t="n">
        <f aca="false">Tabella52791124791618202224262830323436384042444648505254565860626468707274767880828486908892949698100102[[#This Row],[Colonna4]]*$Q3</f>
        <v>1.6</v>
      </c>
      <c r="W44" s="14" t="n">
        <f aca="false">Tabella52791124791618202224262830323436384042444648505254565860626468707274767880828486908892949698100102[[#This Row],[Colonna5]]*$Q3</f>
        <v>2</v>
      </c>
      <c r="X44" s="14" t="n">
        <f aca="false">Tabella52791124791618202224262830323436384042444648505254565860626468707274767880828486908892949698100102[[#This Row],[Colonna6]]*$Q3</f>
        <v>1.2</v>
      </c>
      <c r="Y44" s="14" t="n">
        <f aca="false">Tabella52791124791618202224262830323436384042444648505254565860626468707274767880828486908892949698100102[[#This Row],[Colonna7]]*$Q3</f>
        <v>0.8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 t="n">
        <v>1</v>
      </c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 t="n">
        <f aca="false">Tabella52791124791618202224262830323436384042444648505254565860626468707274767880828486908892949698100102[[#This Row],[Colonna5]]*$Q3</f>
        <v>0.4</v>
      </c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</v>
      </c>
      <c r="H52" s="13"/>
      <c r="I52" s="13"/>
      <c r="J52" s="13"/>
      <c r="K52" s="13" t="n">
        <v>4</v>
      </c>
      <c r="L52" s="13"/>
      <c r="M52" s="13" t="n">
        <v>1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Tabella52791124791618202224262830323436384042444648505254565860626468707274767880828486908892949698100102[[#This Row],[Colonna1]]*$Q3</f>
        <v>0.8</v>
      </c>
      <c r="T52" s="14"/>
      <c r="U52" s="14"/>
      <c r="V52" s="14"/>
      <c r="W52" s="14" t="n">
        <f aca="false">Tabella52791124791618202224262830323436384042444648505254565860626468707274767880828486908892949698100102[[#This Row],[Colonna5]]*$Q3</f>
        <v>1.6</v>
      </c>
      <c r="X52" s="14"/>
      <c r="Y52" s="14" t="n">
        <f aca="false">Tabella52791124791618202224262830323436384042444648505254565860626468707274767880828486908892949698100102[[#This Row],[Colonna7]]*$Q3</f>
        <v>0.4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13</v>
      </c>
      <c r="H53" s="55" t="n">
        <f aca="false">SUM(H6:H52)</f>
        <v>9</v>
      </c>
      <c r="I53" s="55" t="n">
        <f aca="false">SUM(I6:I52)</f>
        <v>0</v>
      </c>
      <c r="J53" s="55" t="n">
        <f aca="false">SUM(J6:J52)</f>
        <v>6</v>
      </c>
      <c r="K53" s="55" t="n">
        <f aca="false">SUM(K6:K52)</f>
        <v>18</v>
      </c>
      <c r="L53" s="55" t="n">
        <f aca="false">SUM(L6:L52)</f>
        <v>10</v>
      </c>
      <c r="M53" s="55" t="n">
        <f aca="false">SUM(M6:M52)</f>
        <v>7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Tabella52791124791618202224262830323436384042444648505254565860626468707274767880828486908892949698100102[[#This Row],[Colonna1]]*$Q3</f>
        <v>5.2</v>
      </c>
      <c r="T53" s="56" t="n">
        <f aca="false">Tabella52791124791618202224262830323436384042444648505254565860626468707274767880828486908892949698100102[[#This Row],[Colonna2]]*$Q3</f>
        <v>3.6</v>
      </c>
      <c r="U53" s="56" t="n">
        <f aca="false">Tabella52791124791618202224262830323436384042444648505254565860626468707274767880828486908892949698100102[[#This Row],[Colonna3]]*$Q3</f>
        <v>0</v>
      </c>
      <c r="V53" s="56" t="n">
        <f aca="false">Tabella52791124791618202224262830323436384042444648505254565860626468707274767880828486908892949698100102[[#This Row],[Colonna4]]*$Q3</f>
        <v>2.4</v>
      </c>
      <c r="W53" s="56" t="n">
        <f aca="false">Tabella52791124791618202224262830323436384042444648505254565860626468707274767880828486908892949698100102[[#This Row],[Colonna5]]*$Q3</f>
        <v>7.2</v>
      </c>
      <c r="X53" s="56" t="n">
        <f aca="false">Tabella52791124791618202224262830323436384042444648505254565860626468707274767880828486908892949698100102[[#This Row],[Colonna6]]*$Q3</f>
        <v>4</v>
      </c>
      <c r="Y53" s="56" t="n">
        <f aca="false">Tabella52791124791618202224262830323436384042444648505254565860626468707274767880828486908892949698100102[[#This Row],[Colonna7]]*$Q3</f>
        <v>2.8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17</v>
      </c>
      <c r="H58" s="26" t="n">
        <v>9</v>
      </c>
      <c r="I58" s="26" t="n">
        <v>13</v>
      </c>
      <c r="J58" s="26" t="n">
        <v>13</v>
      </c>
      <c r="K58" s="26" t="n">
        <v>29</v>
      </c>
      <c r="L58" s="26" t="n">
        <v>33</v>
      </c>
      <c r="M58" s="26" t="n">
        <v>31</v>
      </c>
      <c r="P58" s="23" t="s">
        <v>62</v>
      </c>
      <c r="Q58" s="23"/>
      <c r="R58" s="23"/>
      <c r="S58" s="57" t="n">
        <f aca="false">G58*$Q3</f>
        <v>6.8</v>
      </c>
      <c r="T58" s="57" t="n">
        <f aca="false">H58*$Q3</f>
        <v>3.6</v>
      </c>
      <c r="U58" s="57" t="n">
        <f aca="false">I58*$Q3</f>
        <v>5.2</v>
      </c>
      <c r="V58" s="57" t="n">
        <f aca="false">J58*$Q3</f>
        <v>5.2</v>
      </c>
      <c r="W58" s="57" t="n">
        <f aca="false">K58*$Q3</f>
        <v>11.6</v>
      </c>
      <c r="X58" s="57" t="n">
        <f aca="false">L58*$Q3</f>
        <v>13.2</v>
      </c>
      <c r="Y58" s="57" t="n">
        <f aca="false">M58*$Q3</f>
        <v>12.4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11</v>
      </c>
      <c r="H62" s="26" t="n">
        <v>6</v>
      </c>
      <c r="I62" s="26" t="n">
        <v>2</v>
      </c>
      <c r="J62" s="26" t="n">
        <v>6</v>
      </c>
      <c r="K62" s="26" t="n">
        <v>4</v>
      </c>
      <c r="L62" s="26" t="n">
        <v>19</v>
      </c>
      <c r="M62" s="26" t="n">
        <v>9</v>
      </c>
      <c r="P62" s="9" t="s">
        <v>66</v>
      </c>
      <c r="Q62" s="9"/>
      <c r="R62" s="9"/>
      <c r="S62" s="57" t="n">
        <f aca="false">G62*$Q3</f>
        <v>4.4</v>
      </c>
      <c r="T62" s="57" t="n">
        <f aca="false">H62*$Q3</f>
        <v>2.4</v>
      </c>
      <c r="U62" s="57" t="n">
        <f aca="false">I62*$Q3</f>
        <v>0.8</v>
      </c>
      <c r="V62" s="57" t="n">
        <f aca="false">J62*$Q3</f>
        <v>2.4</v>
      </c>
      <c r="W62" s="57" t="n">
        <f aca="false">K62*$Q3</f>
        <v>1.6</v>
      </c>
      <c r="X62" s="57" t="n">
        <f aca="false">L62*$Q3</f>
        <v>7.6</v>
      </c>
      <c r="Y62" s="57" t="n">
        <f aca="false">M62*$Q3</f>
        <v>3.6</v>
      </c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13"/>
      <c r="I63" s="26"/>
      <c r="J63" s="26"/>
      <c r="K63" s="26"/>
      <c r="L63" s="26" t="n">
        <v>2</v>
      </c>
      <c r="M63" s="26"/>
      <c r="P63" s="9" t="s">
        <v>67</v>
      </c>
      <c r="Q63" s="9"/>
      <c r="R63" s="9"/>
      <c r="S63" s="57"/>
      <c r="T63" s="57"/>
      <c r="U63" s="57"/>
      <c r="V63" s="57"/>
      <c r="W63" s="57"/>
      <c r="X63" s="57" t="n">
        <f aca="false">L63*$Q3</f>
        <v>0.8</v>
      </c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1</v>
      </c>
      <c r="H64" s="26" t="n">
        <v>1</v>
      </c>
      <c r="I64" s="26" t="n">
        <v>2</v>
      </c>
      <c r="J64" s="26" t="n">
        <v>5</v>
      </c>
      <c r="K64" s="26" t="n">
        <v>1</v>
      </c>
      <c r="L64" s="26" t="n">
        <v>5</v>
      </c>
      <c r="M64" s="26" t="n">
        <v>2</v>
      </c>
      <c r="P64" s="9" t="s">
        <v>68</v>
      </c>
      <c r="Q64" s="9"/>
      <c r="R64" s="9"/>
      <c r="S64" s="57" t="n">
        <f aca="false">G64*$Q3</f>
        <v>0.4</v>
      </c>
      <c r="T64" s="57" t="n">
        <f aca="false">H64*$Q3</f>
        <v>0.4</v>
      </c>
      <c r="U64" s="57" t="n">
        <f aca="false">I64*$Q3</f>
        <v>0.8</v>
      </c>
      <c r="V64" s="57" t="n">
        <f aca="false">J64*$Q3</f>
        <v>2</v>
      </c>
      <c r="W64" s="57" t="n">
        <f aca="false">K64*$Q3</f>
        <v>0.4</v>
      </c>
      <c r="X64" s="57" t="n">
        <f aca="false">L64*$Q3</f>
        <v>2</v>
      </c>
      <c r="Y64" s="57" t="n">
        <f aca="false">M64*$Q3</f>
        <v>0.8</v>
      </c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4</v>
      </c>
      <c r="H65" s="26" t="n">
        <v>1</v>
      </c>
      <c r="I65" s="26"/>
      <c r="J65" s="26" t="n">
        <v>1</v>
      </c>
      <c r="K65" s="26" t="n">
        <v>1</v>
      </c>
      <c r="L65" s="26"/>
      <c r="M65" s="26" t="n">
        <v>1</v>
      </c>
      <c r="P65" s="9" t="s">
        <v>69</v>
      </c>
      <c r="Q65" s="9"/>
      <c r="R65" s="9"/>
      <c r="S65" s="57" t="n">
        <f aca="false">G65*$Q3</f>
        <v>1.6</v>
      </c>
      <c r="T65" s="57" t="n">
        <f aca="false">H65*$Q3</f>
        <v>0.4</v>
      </c>
      <c r="U65" s="57"/>
      <c r="V65" s="57" t="n">
        <f aca="false">J65*$Q3</f>
        <v>0.4</v>
      </c>
      <c r="W65" s="57" t="n">
        <f aca="false">K65*$Q3</f>
        <v>0.4</v>
      </c>
      <c r="X65" s="57"/>
      <c r="Y65" s="57" t="n">
        <f aca="false">M65*$Q3</f>
        <v>0.4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1</v>
      </c>
      <c r="H67" s="26"/>
      <c r="I67" s="26"/>
      <c r="J67" s="26" t="n">
        <v>1</v>
      </c>
      <c r="K67" s="26" t="n">
        <v>3</v>
      </c>
      <c r="L67" s="26" t="n">
        <v>1</v>
      </c>
      <c r="M67" s="26" t="n">
        <v>3</v>
      </c>
      <c r="P67" s="9" t="s">
        <v>71</v>
      </c>
      <c r="Q67" s="9"/>
      <c r="R67" s="9"/>
      <c r="S67" s="57" t="n">
        <f aca="false">G67*$Q3</f>
        <v>0.4</v>
      </c>
      <c r="T67" s="57"/>
      <c r="U67" s="57"/>
      <c r="V67" s="57" t="n">
        <f aca="false">J67*$Q3</f>
        <v>0.4</v>
      </c>
      <c r="W67" s="57" t="n">
        <f aca="false">K67*$Q3</f>
        <v>1.2</v>
      </c>
      <c r="X67" s="57" t="n">
        <f aca="false">L67*$Q3</f>
        <v>0.4</v>
      </c>
      <c r="Y67" s="57" t="n">
        <f aca="false">M67*$Q3</f>
        <v>1.2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2</v>
      </c>
      <c r="H68" s="30" t="n">
        <v>2</v>
      </c>
      <c r="I68" s="30"/>
      <c r="J68" s="30" t="n">
        <v>1</v>
      </c>
      <c r="K68" s="30" t="n">
        <v>11</v>
      </c>
      <c r="L68" s="30" t="n">
        <v>4</v>
      </c>
      <c r="M68" s="30" t="n">
        <v>5</v>
      </c>
      <c r="P68" s="9" t="s">
        <v>72</v>
      </c>
      <c r="Q68" s="9"/>
      <c r="R68" s="9"/>
      <c r="S68" s="57" t="n">
        <f aca="false">G68*$Q3</f>
        <v>0.8</v>
      </c>
      <c r="T68" s="57" t="n">
        <f aca="false">H68*$Q3</f>
        <v>0.8</v>
      </c>
      <c r="U68" s="57"/>
      <c r="V68" s="57" t="n">
        <f aca="false">J68*$Q3</f>
        <v>0.4</v>
      </c>
      <c r="W68" s="57" t="n">
        <f aca="false">K68*$Q3</f>
        <v>4.4</v>
      </c>
      <c r="X68" s="57" t="n">
        <f aca="false">L68*$Q3</f>
        <v>1.6</v>
      </c>
      <c r="Y68" s="57" t="n">
        <f aca="false">M68*$Q3</f>
        <v>2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</v>
      </c>
      <c r="H69" s="30" t="n">
        <v>1</v>
      </c>
      <c r="I69" s="30" t="n">
        <v>1</v>
      </c>
      <c r="J69" s="30"/>
      <c r="K69" s="30" t="n">
        <v>2</v>
      </c>
      <c r="L69" s="30" t="n">
        <v>3</v>
      </c>
      <c r="M69" s="30"/>
      <c r="P69" s="9" t="s">
        <v>73</v>
      </c>
      <c r="Q69" s="9"/>
      <c r="R69" s="9"/>
      <c r="S69" s="57" t="n">
        <f aca="false">G69*$Q3</f>
        <v>0.4</v>
      </c>
      <c r="T69" s="57" t="n">
        <f aca="false">H69*$Q3</f>
        <v>0.4</v>
      </c>
      <c r="U69" s="57" t="n">
        <f aca="false">I69*$Q3</f>
        <v>0.4</v>
      </c>
      <c r="V69" s="57"/>
      <c r="W69" s="57" t="n">
        <f aca="false">K69*$Q3</f>
        <v>0.8</v>
      </c>
      <c r="X69" s="57" t="n">
        <f aca="false">L69*$Q3</f>
        <v>1.2</v>
      </c>
      <c r="Y69" s="5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37</v>
      </c>
      <c r="H70" s="60" t="n">
        <f aca="false">SUM(H58:H69)</f>
        <v>20</v>
      </c>
      <c r="I70" s="60" t="n">
        <f aca="false">SUM(I58:I69)</f>
        <v>18</v>
      </c>
      <c r="J70" s="60" t="n">
        <f aca="false">SUM(J58:J69)</f>
        <v>27</v>
      </c>
      <c r="K70" s="60" t="n">
        <f aca="false">SUM(K58:K69)</f>
        <v>51</v>
      </c>
      <c r="L70" s="60" t="n">
        <f aca="false">SUM(L58:L69)</f>
        <v>67</v>
      </c>
      <c r="M70" s="60" t="n">
        <f aca="false">SUM(M58:M69)</f>
        <v>51</v>
      </c>
      <c r="P70" s="9" t="s">
        <v>60</v>
      </c>
      <c r="Q70" s="9"/>
      <c r="R70" s="9"/>
      <c r="S70" s="61" t="n">
        <f aca="false">G70*$Q3</f>
        <v>14.8</v>
      </c>
      <c r="T70" s="61" t="n">
        <f aca="false">H70*$Q3</f>
        <v>8</v>
      </c>
      <c r="U70" s="61" t="n">
        <f aca="false">I70*$Q3</f>
        <v>7.2</v>
      </c>
      <c r="V70" s="61" t="n">
        <f aca="false">J70*$Q3</f>
        <v>10.8</v>
      </c>
      <c r="W70" s="61" t="n">
        <f aca="false">K70*$Q3</f>
        <v>20.4</v>
      </c>
      <c r="X70" s="61" t="n">
        <f aca="false">L70*$Q3</f>
        <v>26.8</v>
      </c>
      <c r="Y70" s="61" t="n">
        <f aca="false">M70*$Q3</f>
        <v>20.4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L31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96</v>
      </c>
      <c r="I3" s="119" t="s">
        <v>2</v>
      </c>
      <c r="J3" s="4" t="n">
        <v>45229</v>
      </c>
      <c r="K3" s="5" t="n">
        <v>45235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96</v>
      </c>
      <c r="U3" s="119" t="s">
        <v>2</v>
      </c>
      <c r="V3" s="4" t="n">
        <v>45229</v>
      </c>
      <c r="W3" s="5" t="n">
        <v>45235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7</v>
      </c>
      <c r="H7" s="13" t="n">
        <v>2</v>
      </c>
      <c r="I7" s="13" t="n">
        <v>1</v>
      </c>
      <c r="J7" s="13" t="n">
        <v>1</v>
      </c>
      <c r="K7" s="13"/>
      <c r="L7" s="13"/>
      <c r="M7" s="13" t="n">
        <v>1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Tabella52791124791618202224262830323436384042444648505254565860626468707274767880828486908892949698100102104[[#This Row],[Colonna1]]*$Q3</f>
        <v>2.8</v>
      </c>
      <c r="T7" s="14" t="n">
        <f aca="false">Tabella52791124791618202224262830323436384042444648505254565860626468707274767880828486908892949698100102104[[#This Row],[Colonna2]]*$Q3</f>
        <v>0.8</v>
      </c>
      <c r="U7" s="14" t="n">
        <f aca="false">Tabella52791124791618202224262830323436384042444648505254565860626468707274767880828486908892949698100102104[[#This Row],[Colonna3]]*$Q3</f>
        <v>0.4</v>
      </c>
      <c r="V7" s="14" t="n">
        <f aca="false">Tabella52791124791618202224262830323436384042444648505254565860626468707274767880828486908892949698100102104[[#This Row],[Colonna4]]*$Q3</f>
        <v>0.4</v>
      </c>
      <c r="W7" s="14"/>
      <c r="X7" s="14"/>
      <c r="Y7" s="14" t="n">
        <f aca="false">Tabella52791124791618202224262830323436384042444648505254565860626468707274767880828486908892949698100102104[[#This Row],[Colonna7]]*$Q3</f>
        <v>0.4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1</v>
      </c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 t="n">
        <f aca="false">Tabella52791124791618202224262830323436384042444648505254565860626468707274767880828486908892949698100102104[[#This Row],[Colonna1]]*$Q3</f>
        <v>0.4</v>
      </c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1</v>
      </c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 t="n">
        <f aca="false">Tabella52791124791618202224262830323436384042444648505254565860626468707274767880828486908892949698100102104[[#This Row],[Colonna1]]*$Q3</f>
        <v>0.4</v>
      </c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 t="n">
        <v>1</v>
      </c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 t="n">
        <f aca="false">Tabella52791124791618202224262830323436384042444648505254565860626468707274767880828486908892949698100102104[[#This Row],[Colonna1]]*$Q3</f>
        <v>0.4</v>
      </c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5</v>
      </c>
      <c r="H22" s="13" t="n">
        <v>3</v>
      </c>
      <c r="I22" s="13" t="n">
        <v>2</v>
      </c>
      <c r="J22" s="13"/>
      <c r="K22" s="13"/>
      <c r="L22" s="13"/>
      <c r="M22" s="13" t="n">
        <v>5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Tabella52791124791618202224262830323436384042444648505254565860626468707274767880828486908892949698100102104[[#This Row],[Colonna1]]*$Q3</f>
        <v>2</v>
      </c>
      <c r="T22" s="14" t="n">
        <f aca="false">Tabella52791124791618202224262830323436384042444648505254565860626468707274767880828486908892949698100102104[[#This Row],[Colonna2]]*$Q3</f>
        <v>1.2</v>
      </c>
      <c r="U22" s="14" t="n">
        <f aca="false">Tabella52791124791618202224262830323436384042444648505254565860626468707274767880828486908892949698100102104[[#This Row],[Colonna3]]*$Q3</f>
        <v>0.8</v>
      </c>
      <c r="V22" s="14"/>
      <c r="W22" s="14"/>
      <c r="X22" s="14"/>
      <c r="Y22" s="14" t="n">
        <f aca="false">Tabella52791124791618202224262830323436384042444648505254565860626468707274767880828486908892949698100102104[[#This Row],[Colonna7]]*$Q3</f>
        <v>2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 t="n">
        <v>1</v>
      </c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 t="n">
        <f aca="false">Tabella52791124791618202224262830323436384042444648505254565860626468707274767880828486908892949698100102104[[#This Row],[Colonna3]]*$Q3</f>
        <v>0.4</v>
      </c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6</v>
      </c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Tabella52791124791618202224262830323436384042444648505254565860626468707274767880828486908892949698100102104[[#This Row],[Colonna1]]*$Q3</f>
        <v>2.4</v>
      </c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</v>
      </c>
      <c r="H44" s="13" t="n">
        <v>2</v>
      </c>
      <c r="I44" s="13" t="n">
        <v>3</v>
      </c>
      <c r="J44" s="13"/>
      <c r="K44" s="13"/>
      <c r="L44" s="13" t="n">
        <v>1</v>
      </c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Tabella52791124791618202224262830323436384042444648505254565860626468707274767880828486908892949698100102104[[#This Row],[Colonna1]]*$Q3</f>
        <v>0.4</v>
      </c>
      <c r="T44" s="14" t="n">
        <f aca="false">Tabella52791124791618202224262830323436384042444648505254565860626468707274767880828486908892949698100102104[[#This Row],[Colonna2]]*$Q3</f>
        <v>0.8</v>
      </c>
      <c r="U44" s="14" t="n">
        <f aca="false">Tabella52791124791618202224262830323436384042444648505254565860626468707274767880828486908892949698100102104[[#This Row],[Colonna3]]*$Q3</f>
        <v>1.2</v>
      </c>
      <c r="V44" s="14"/>
      <c r="W44" s="14"/>
      <c r="X44" s="14" t="n">
        <f aca="false">Tabella52791124791618202224262830323436384042444648505254565860626468707274767880828486908892949698100102104[[#This Row],[Colonna6]]*$Q3</f>
        <v>0.4</v>
      </c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1</v>
      </c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</v>
      </c>
      <c r="H52" s="13" t="n">
        <v>2</v>
      </c>
      <c r="I52" s="13"/>
      <c r="J52" s="13"/>
      <c r="K52" s="13"/>
      <c r="L52" s="13"/>
      <c r="M52" s="13"/>
      <c r="P52" s="12" t="s">
        <v>59</v>
      </c>
      <c r="Q52" s="12"/>
      <c r="R52" s="12"/>
      <c r="S52" s="14" t="n">
        <f aca="false">Tabella52791124791618202224262830323436384042444648505254565860626468707274767880828486908892949698100102104[[#This Row],[Colonna1]]*$Q3</f>
        <v>0.4</v>
      </c>
      <c r="T52" s="14" t="n">
        <f aca="false">Tabella52791124791618202224262830323436384042444648505254565860626468707274767880828486908892949698100102104[[#This Row],[Colonna2]]*$Q3</f>
        <v>0.8</v>
      </c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24</v>
      </c>
      <c r="H53" s="55" t="n">
        <f aca="false">SUM(H6:H52)</f>
        <v>9</v>
      </c>
      <c r="I53" s="55" t="n">
        <f aca="false">SUM(I6:I52)</f>
        <v>7</v>
      </c>
      <c r="J53" s="55" t="n">
        <f aca="false">SUM(J6:J52)</f>
        <v>1</v>
      </c>
      <c r="K53" s="55" t="n">
        <f aca="false">SUM(K6:K52)</f>
        <v>0</v>
      </c>
      <c r="L53" s="55" t="n">
        <f aca="false">SUM(L6:L52)</f>
        <v>1</v>
      </c>
      <c r="M53" s="55" t="n">
        <f aca="false">SUM(M6:M52)</f>
        <v>6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Tabella52791124791618202224262830323436384042444648505254565860626468707274767880828486908892949698100102104[[#This Row],[Colonna1]]*$Q3</f>
        <v>9.6</v>
      </c>
      <c r="T53" s="56" t="n">
        <f aca="false">Tabella52791124791618202224262830323436384042444648505254565860626468707274767880828486908892949698100102104[[#This Row],[Colonna2]]*$Q3</f>
        <v>3.6</v>
      </c>
      <c r="U53" s="56" t="n">
        <f aca="false">Tabella52791124791618202224262830323436384042444648505254565860626468707274767880828486908892949698100102104[[#This Row],[Colonna3]]*$Q3</f>
        <v>2.8</v>
      </c>
      <c r="V53" s="56" t="n">
        <f aca="false">Tabella52791124791618202224262830323436384042444648505254565860626468707274767880828486908892949698100102104[[#This Row],[Colonna4]]*$Q3</f>
        <v>0.4</v>
      </c>
      <c r="W53" s="56" t="n">
        <f aca="false">Tabella52791124791618202224262830323436384042444648505254565860626468707274767880828486908892949698100102104[[#This Row],[Colonna5]]*$Q3</f>
        <v>0</v>
      </c>
      <c r="X53" s="56" t="n">
        <f aca="false">Tabella52791124791618202224262830323436384042444648505254565860626468707274767880828486908892949698100102104[[#This Row],[Colonna6]]*$Q3</f>
        <v>0.4</v>
      </c>
      <c r="Y53" s="56" t="n">
        <f aca="false">Tabella52791124791618202224262830323436384042444648505254565860626468707274767880828486908892949698100102104[[#This Row],[Colonna7]]*$Q3</f>
        <v>2.4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47</v>
      </c>
      <c r="H58" s="26" t="n">
        <v>57</v>
      </c>
      <c r="I58" s="26" t="n">
        <v>58</v>
      </c>
      <c r="J58" s="26" t="n">
        <v>17</v>
      </c>
      <c r="K58" s="26" t="n">
        <v>20</v>
      </c>
      <c r="L58" s="26" t="n">
        <v>27</v>
      </c>
      <c r="M58" s="26" t="n">
        <v>21</v>
      </c>
      <c r="P58" s="23" t="s">
        <v>62</v>
      </c>
      <c r="Q58" s="23"/>
      <c r="R58" s="23"/>
      <c r="S58" s="57" t="n">
        <f aca="false">G58*$Q3</f>
        <v>18.8</v>
      </c>
      <c r="T58" s="57" t="n">
        <f aca="false">H58*$Q3</f>
        <v>22.8</v>
      </c>
      <c r="U58" s="57" t="n">
        <f aca="false">I58*$Q3</f>
        <v>23.2</v>
      </c>
      <c r="V58" s="57" t="n">
        <f aca="false">J58*$Q3</f>
        <v>6.8</v>
      </c>
      <c r="W58" s="57" t="n">
        <f aca="false">K58*$Q3</f>
        <v>8</v>
      </c>
      <c r="X58" s="57" t="n">
        <f aca="false">L58*$Q3</f>
        <v>10.8</v>
      </c>
      <c r="Y58" s="57" t="n">
        <f aca="false">M58*$Q3</f>
        <v>8.4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18</v>
      </c>
      <c r="H62" s="26" t="n">
        <v>10</v>
      </c>
      <c r="I62" s="26" t="n">
        <v>20</v>
      </c>
      <c r="J62" s="26" t="n">
        <v>5</v>
      </c>
      <c r="K62" s="26" t="n">
        <v>5</v>
      </c>
      <c r="L62" s="26" t="n">
        <v>3</v>
      </c>
      <c r="M62" s="26" t="n">
        <v>7</v>
      </c>
      <c r="P62" s="9" t="s">
        <v>66</v>
      </c>
      <c r="Q62" s="9"/>
      <c r="R62" s="9"/>
      <c r="S62" s="57" t="n">
        <f aca="false">G62*$Q3</f>
        <v>7.2</v>
      </c>
      <c r="T62" s="57" t="n">
        <f aca="false">H62*$Q3</f>
        <v>4</v>
      </c>
      <c r="U62" s="57" t="n">
        <f aca="false">I62*$Q3</f>
        <v>8</v>
      </c>
      <c r="V62" s="57" t="n">
        <f aca="false">J62*$Q3</f>
        <v>2</v>
      </c>
      <c r="W62" s="57" t="n">
        <f aca="false">K62*$Q3</f>
        <v>2</v>
      </c>
      <c r="X62" s="57" t="n">
        <f aca="false">L62*$Q3</f>
        <v>1.2</v>
      </c>
      <c r="Y62" s="57" t="n">
        <f aca="false">M62*$Q3</f>
        <v>2.8</v>
      </c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13" t="n">
        <v>2</v>
      </c>
      <c r="I63" s="26" t="n">
        <v>3</v>
      </c>
      <c r="J63" s="26" t="n">
        <v>1</v>
      </c>
      <c r="K63" s="26"/>
      <c r="L63" s="26"/>
      <c r="M63" s="26"/>
      <c r="P63" s="9" t="s">
        <v>67</v>
      </c>
      <c r="Q63" s="9"/>
      <c r="R63" s="9"/>
      <c r="S63" s="57"/>
      <c r="T63" s="57" t="n">
        <f aca="false">H63*$Q3</f>
        <v>0.8</v>
      </c>
      <c r="U63" s="57" t="n">
        <f aca="false">I63*$Q3</f>
        <v>1.2</v>
      </c>
      <c r="V63" s="57" t="n">
        <f aca="false">J63*$Q3</f>
        <v>0.4</v>
      </c>
      <c r="W63" s="57"/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7</v>
      </c>
      <c r="H64" s="26" t="n">
        <v>2</v>
      </c>
      <c r="I64" s="26" t="n">
        <v>3</v>
      </c>
      <c r="J64" s="26"/>
      <c r="K64" s="26"/>
      <c r="L64" s="26" t="n">
        <v>1</v>
      </c>
      <c r="M64" s="26" t="n">
        <v>1</v>
      </c>
      <c r="P64" s="9" t="s">
        <v>68</v>
      </c>
      <c r="Q64" s="9"/>
      <c r="R64" s="9"/>
      <c r="S64" s="57" t="n">
        <f aca="false">G64*$Q3</f>
        <v>2.8</v>
      </c>
      <c r="T64" s="57" t="n">
        <f aca="false">H64*$Q3</f>
        <v>0.8</v>
      </c>
      <c r="U64" s="57" t="n">
        <f aca="false">I64*$Q3</f>
        <v>1.2</v>
      </c>
      <c r="V64" s="57"/>
      <c r="W64" s="57"/>
      <c r="X64" s="57" t="n">
        <f aca="false">L64*$Q3</f>
        <v>0.4</v>
      </c>
      <c r="Y64" s="57" t="n">
        <f aca="false">M64*$Q3</f>
        <v>0.4</v>
      </c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1</v>
      </c>
      <c r="H65" s="26"/>
      <c r="I65" s="26" t="n">
        <v>1</v>
      </c>
      <c r="J65" s="26"/>
      <c r="K65" s="26"/>
      <c r="L65" s="26"/>
      <c r="M65" s="26"/>
      <c r="P65" s="9" t="s">
        <v>69</v>
      </c>
      <c r="Q65" s="9"/>
      <c r="R65" s="9"/>
      <c r="S65" s="57" t="n">
        <f aca="false">G65*$Q3</f>
        <v>0.4</v>
      </c>
      <c r="T65" s="57"/>
      <c r="U65" s="57" t="n">
        <f aca="false">I65*$Q3</f>
        <v>0.4</v>
      </c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1</v>
      </c>
      <c r="H67" s="26" t="n">
        <v>11</v>
      </c>
      <c r="I67" s="26" t="n">
        <v>6</v>
      </c>
      <c r="J67" s="26" t="n">
        <v>4</v>
      </c>
      <c r="K67" s="26" t="n">
        <v>3</v>
      </c>
      <c r="L67" s="26" t="n">
        <v>1</v>
      </c>
      <c r="M67" s="26" t="n">
        <v>3</v>
      </c>
      <c r="P67" s="9" t="s">
        <v>71</v>
      </c>
      <c r="Q67" s="9"/>
      <c r="R67" s="9"/>
      <c r="S67" s="57" t="n">
        <f aca="false">G67*$Q3</f>
        <v>0.4</v>
      </c>
      <c r="T67" s="57" t="n">
        <f aca="false">H67*$Q3</f>
        <v>4.4</v>
      </c>
      <c r="U67" s="57" t="n">
        <f aca="false">I67*$Q3</f>
        <v>2.4</v>
      </c>
      <c r="V67" s="57" t="n">
        <f aca="false">J67*$Q3</f>
        <v>1.6</v>
      </c>
      <c r="W67" s="57" t="n">
        <f aca="false">K67*$Q3</f>
        <v>1.2</v>
      </c>
      <c r="X67" s="57" t="n">
        <f aca="false">L67*$Q3</f>
        <v>0.4</v>
      </c>
      <c r="Y67" s="57" t="n">
        <f aca="false">M67*$Q3</f>
        <v>1.2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9</v>
      </c>
      <c r="H68" s="30" t="n">
        <v>7</v>
      </c>
      <c r="I68" s="30" t="n">
        <v>3</v>
      </c>
      <c r="J68" s="30" t="n">
        <v>2</v>
      </c>
      <c r="K68" s="30" t="n">
        <v>2</v>
      </c>
      <c r="L68" s="30" t="n">
        <v>1</v>
      </c>
      <c r="M68" s="30" t="n">
        <v>1</v>
      </c>
      <c r="P68" s="9" t="s">
        <v>72</v>
      </c>
      <c r="Q68" s="9"/>
      <c r="R68" s="9"/>
      <c r="S68" s="57" t="n">
        <f aca="false">G68*$Q3</f>
        <v>3.6</v>
      </c>
      <c r="T68" s="57" t="n">
        <f aca="false">H68*$Q3</f>
        <v>2.8</v>
      </c>
      <c r="U68" s="57" t="n">
        <f aca="false">I68*$Q3</f>
        <v>1.2</v>
      </c>
      <c r="V68" s="57" t="n">
        <f aca="false">J68*$Q3</f>
        <v>0.8</v>
      </c>
      <c r="W68" s="57" t="n">
        <f aca="false">K68*$Q3</f>
        <v>0.8</v>
      </c>
      <c r="X68" s="57" t="n">
        <f aca="false">L68*$Q3</f>
        <v>0.4</v>
      </c>
      <c r="Y68" s="57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4</v>
      </c>
      <c r="H69" s="30" t="n">
        <v>5</v>
      </c>
      <c r="I69" s="30" t="n">
        <v>9</v>
      </c>
      <c r="J69" s="30" t="n">
        <v>2</v>
      </c>
      <c r="K69" s="30"/>
      <c r="L69" s="30"/>
      <c r="M69" s="30" t="n">
        <v>1</v>
      </c>
      <c r="P69" s="9" t="s">
        <v>73</v>
      </c>
      <c r="Q69" s="9"/>
      <c r="R69" s="9"/>
      <c r="S69" s="57" t="n">
        <f aca="false">G69*$Q3</f>
        <v>1.6</v>
      </c>
      <c r="T69" s="57" t="n">
        <f aca="false">H69*$Q3</f>
        <v>2</v>
      </c>
      <c r="U69" s="57" t="n">
        <f aca="false">I69*$Q3</f>
        <v>3.6</v>
      </c>
      <c r="V69" s="57" t="n">
        <f aca="false">J69*$Q3</f>
        <v>0.8</v>
      </c>
      <c r="W69" s="57"/>
      <c r="X69" s="57"/>
      <c r="Y69" s="57" t="n">
        <f aca="false">M69*$Q3</f>
        <v>0.4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87</v>
      </c>
      <c r="H70" s="60" t="n">
        <f aca="false">SUM(H58:H69)</f>
        <v>94</v>
      </c>
      <c r="I70" s="60" t="n">
        <f aca="false">SUM(I58:I69)</f>
        <v>103</v>
      </c>
      <c r="J70" s="60" t="n">
        <f aca="false">SUM(J58:J69)</f>
        <v>31</v>
      </c>
      <c r="K70" s="60" t="n">
        <f aca="false">SUM(K58:K69)</f>
        <v>30</v>
      </c>
      <c r="L70" s="60" t="n">
        <f aca="false">SUM(L58:L69)</f>
        <v>33</v>
      </c>
      <c r="M70" s="60" t="n">
        <f aca="false">SUM(M58:M69)</f>
        <v>34</v>
      </c>
      <c r="P70" s="9" t="s">
        <v>60</v>
      </c>
      <c r="Q70" s="9"/>
      <c r="R70" s="9"/>
      <c r="S70" s="61" t="n">
        <f aca="false">G70*$Q3</f>
        <v>34.8</v>
      </c>
      <c r="T70" s="61" t="n">
        <f aca="false">H70*$Q3</f>
        <v>37.6</v>
      </c>
      <c r="U70" s="61" t="n">
        <f aca="false">I70*$Q3</f>
        <v>41.2</v>
      </c>
      <c r="V70" s="61" t="n">
        <f aca="false">J70*$Q3</f>
        <v>12.4</v>
      </c>
      <c r="W70" s="61" t="n">
        <f aca="false">K70*$Q3</f>
        <v>12</v>
      </c>
      <c r="X70" s="61" t="n">
        <f aca="false">L70*$Q3</f>
        <v>13.2</v>
      </c>
      <c r="Y70" s="61" t="n">
        <f aca="false">M70*$Q3</f>
        <v>13.6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Z83"/>
  <sheetViews>
    <sheetView showFormulas="false" showGridLines="true" showRowColHeaders="true" showZeros="true" rightToLeft="false" tabSelected="false" showOutlineSymbols="true" defaultGridColor="true" view="normal" topLeftCell="L28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96</v>
      </c>
      <c r="I3" s="119" t="s">
        <v>2</v>
      </c>
      <c r="J3" s="4" t="n">
        <v>45243</v>
      </c>
      <c r="K3" s="5" t="n">
        <v>45249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96</v>
      </c>
      <c r="U3" s="119" t="s">
        <v>2</v>
      </c>
      <c r="V3" s="4" t="n">
        <v>45243</v>
      </c>
      <c r="W3" s="5" t="n">
        <v>45249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 t="n">
        <v>1</v>
      </c>
      <c r="I7" s="13" t="n">
        <v>1</v>
      </c>
      <c r="J7" s="13"/>
      <c r="K7" s="13" t="n">
        <v>1</v>
      </c>
      <c r="L7" s="13"/>
      <c r="M7" s="13"/>
      <c r="P7" s="12" t="s">
        <v>14</v>
      </c>
      <c r="Q7" s="12"/>
      <c r="R7" s="12"/>
      <c r="S7" s="14"/>
      <c r="T7" s="14" t="n">
        <f aca="false">Tabella52791124791618202224262830323436384042444648505254565860626468707274767880828486908892949698100102104106[[#This Row],[Colonna2]]*$Q3</f>
        <v>0.4</v>
      </c>
      <c r="U7" s="14" t="n">
        <f aca="false">Tabella52791124791618202224262830323436384042444648505254565860626468707274767880828486908892949698100102104106[[#This Row],[Colonna3]]*$Q3</f>
        <v>0.4</v>
      </c>
      <c r="V7" s="14"/>
      <c r="W7" s="14" t="n">
        <f aca="false">Tabella52791124791618202224262830323436384042444648505254565860626468707274767880828486908892949698100102104106[[#This Row],[Colonna5]]*$Q3</f>
        <v>0.4</v>
      </c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 t="n">
        <v>1</v>
      </c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 t="n">
        <f aca="false">Tabella52791124791618202224262830323436384042444648505254565860626468707274767880828486908892949698100102104106[[#This Row],[Colonna3]]*$Q3</f>
        <v>0.4</v>
      </c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 t="n">
        <v>1</v>
      </c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 t="n">
        <f aca="false">Tabella52791124791618202224262830323436384042444648505254565860626468707274767880828486908892949698100102104106[[#This Row],[Colonna3]]*$Q3</f>
        <v>0.4</v>
      </c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 t="n">
        <v>8</v>
      </c>
      <c r="I22" s="13" t="n">
        <v>7</v>
      </c>
      <c r="J22" s="13" t="n">
        <v>2</v>
      </c>
      <c r="K22" s="13"/>
      <c r="L22" s="13"/>
      <c r="M22" s="13" t="n">
        <v>6</v>
      </c>
      <c r="P22" s="12" t="s">
        <v>29</v>
      </c>
      <c r="Q22" s="12"/>
      <c r="R22" s="12"/>
      <c r="S22" s="14"/>
      <c r="T22" s="14" t="n">
        <f aca="false">Tabella52791124791618202224262830323436384042444648505254565860626468707274767880828486908892949698100102104106[[#This Row],[Colonna2]]*$Q3</f>
        <v>3.2</v>
      </c>
      <c r="U22" s="14" t="n">
        <f aca="false">Tabella52791124791618202224262830323436384042444648505254565860626468707274767880828486908892949698100102104106[[#This Row],[Colonna3]]*$Q3</f>
        <v>2.8</v>
      </c>
      <c r="V22" s="14" t="n">
        <f aca="false">Tabella52791124791618202224262830323436384042444648505254565860626468707274767880828486908892949698100102104106[[#This Row],[Colonna4]]*$Q3</f>
        <v>0.8</v>
      </c>
      <c r="W22" s="14"/>
      <c r="X22" s="14"/>
      <c r="Y22" s="14" t="n">
        <f aca="false">Tabella52791124791618202224262830323436384042444648505254565860626468707274767880828486908892949698100102104106[[#This Row],[Colonna7]]*$Q3</f>
        <v>2.4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 t="n">
        <v>1</v>
      </c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 t="n">
        <f aca="false">Tabella52791124791618202224262830323436384042444648505254565860626468707274767880828486908892949698100102104106[[#This Row],[Colonna2]]*$Q3</f>
        <v>0.4</v>
      </c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 t="n">
        <v>1</v>
      </c>
      <c r="I41" s="13" t="n">
        <v>8</v>
      </c>
      <c r="J41" s="13" t="n">
        <v>1</v>
      </c>
      <c r="K41" s="13" t="n">
        <v>6</v>
      </c>
      <c r="L41" s="13" t="n">
        <v>2</v>
      </c>
      <c r="M41" s="13"/>
      <c r="P41" s="18" t="s">
        <v>48</v>
      </c>
      <c r="Q41" s="18"/>
      <c r="R41" s="18"/>
      <c r="S41" s="14"/>
      <c r="T41" s="14" t="n">
        <f aca="false">Tabella52791124791618202224262830323436384042444648505254565860626468707274767880828486908892949698100102104106[[#This Row],[Colonna2]]*$Q3</f>
        <v>0.4</v>
      </c>
      <c r="U41" s="14" t="n">
        <f aca="false">Tabella52791124791618202224262830323436384042444648505254565860626468707274767880828486908892949698100102104106[[#This Row],[Colonna3]]*$Q3</f>
        <v>3.2</v>
      </c>
      <c r="V41" s="14" t="n">
        <f aca="false">Tabella52791124791618202224262830323436384042444648505254565860626468707274767880828486908892949698100102104106[[#This Row],[Colonna4]]*$Q3</f>
        <v>0.4</v>
      </c>
      <c r="W41" s="14" t="n">
        <f aca="false">Tabella52791124791618202224262830323436384042444648505254565860626468707274767880828486908892949698100102104106[[#This Row],[Colonna5]]*$Q3</f>
        <v>2.4</v>
      </c>
      <c r="X41" s="14" t="n">
        <f aca="false">Tabella52791124791618202224262830323436384042444648505254565860626468707274767880828486908892949698100102104106[[#This Row],[Colonna6]]*$Q3</f>
        <v>0.8</v>
      </c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</v>
      </c>
      <c r="H44" s="13" t="n">
        <v>1</v>
      </c>
      <c r="I44" s="13" t="n">
        <v>6</v>
      </c>
      <c r="J44" s="13" t="n">
        <v>2</v>
      </c>
      <c r="K44" s="13" t="n">
        <v>6</v>
      </c>
      <c r="L44" s="13" t="n">
        <v>2</v>
      </c>
      <c r="M44" s="13" t="n">
        <v>6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Tabella52791124791618202224262830323436384042444648505254565860626468707274767880828486908892949698100102104106[[#This Row],[Colonna1]]*$Q3</f>
        <v>0.4</v>
      </c>
      <c r="T44" s="14" t="n">
        <f aca="false">Tabella52791124791618202224262830323436384042444648505254565860626468707274767880828486908892949698100102104106[[#This Row],[Colonna2]]*$Q3</f>
        <v>0.4</v>
      </c>
      <c r="U44" s="14" t="n">
        <f aca="false">Tabella52791124791618202224262830323436384042444648505254565860626468707274767880828486908892949698100102104106[[#This Row],[Colonna3]]*$Q3</f>
        <v>2.4</v>
      </c>
      <c r="V44" s="14" t="n">
        <f aca="false">Tabella52791124791618202224262830323436384042444648505254565860626468707274767880828486908892949698100102104106[[#This Row],[Colonna4]]*$Q3</f>
        <v>0.8</v>
      </c>
      <c r="W44" s="14" t="n">
        <f aca="false">Tabella52791124791618202224262830323436384042444648505254565860626468707274767880828486908892949698100102104106[[#This Row],[Colonna5]]*$Q3</f>
        <v>2.4</v>
      </c>
      <c r="X44" s="14" t="n">
        <f aca="false">Tabella52791124791618202224262830323436384042444648505254565860626468707274767880828486908892949698100102104106[[#This Row],[Colonna6]]*$Q3</f>
        <v>0.8</v>
      </c>
      <c r="Y44" s="14" t="n">
        <f aca="false">Tabella52791124791618202224262830323436384042444648505254565860626468707274767880828486908892949698100102104106[[#This Row],[Colonna7]]*$Q3</f>
        <v>2.4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 t="n">
        <v>2</v>
      </c>
      <c r="I52" s="13" t="n">
        <v>4</v>
      </c>
      <c r="J52" s="13" t="n">
        <v>3</v>
      </c>
      <c r="K52" s="13" t="n">
        <v>1</v>
      </c>
      <c r="L52" s="13" t="n">
        <v>4</v>
      </c>
      <c r="M52" s="13"/>
      <c r="P52" s="12" t="s">
        <v>59</v>
      </c>
      <c r="Q52" s="12"/>
      <c r="R52" s="12"/>
      <c r="S52" s="14"/>
      <c r="T52" s="14" t="n">
        <f aca="false">Tabella52791124791618202224262830323436384042444648505254565860626468707274767880828486908892949698100102104106[[#This Row],[Colonna2]]*$Q3</f>
        <v>0.8</v>
      </c>
      <c r="U52" s="14" t="n">
        <f aca="false">Tabella52791124791618202224262830323436384042444648505254565860626468707274767880828486908892949698100102104106[[#This Row],[Colonna3]]*$Q3</f>
        <v>1.6</v>
      </c>
      <c r="V52" s="14" t="n">
        <f aca="false">Tabella52791124791618202224262830323436384042444648505254565860626468707274767880828486908892949698100102104106[[#This Row],[Colonna4]]*$Q3</f>
        <v>1.2</v>
      </c>
      <c r="W52" s="14" t="n">
        <f aca="false">Tabella52791124791618202224262830323436384042444648505254565860626468707274767880828486908892949698100102104106[[#This Row],[Colonna5]]*$Q3</f>
        <v>0.4</v>
      </c>
      <c r="X52" s="14" t="n">
        <f aca="false">Tabella52791124791618202224262830323436384042444648505254565860626468707274767880828486908892949698100102104106[[#This Row],[Colonna6]]*$Q3</f>
        <v>1.6</v>
      </c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</v>
      </c>
      <c r="H53" s="55" t="n">
        <f aca="false">SUM(H6:H52)</f>
        <v>14</v>
      </c>
      <c r="I53" s="55" t="n">
        <f aca="false">SUM(I6:I52)</f>
        <v>28</v>
      </c>
      <c r="J53" s="55" t="n">
        <f aca="false">SUM(J6:J52)</f>
        <v>8</v>
      </c>
      <c r="K53" s="55" t="n">
        <f aca="false">SUM(K6:K52)</f>
        <v>14</v>
      </c>
      <c r="L53" s="55" t="n">
        <f aca="false">SUM(L6:L52)</f>
        <v>8</v>
      </c>
      <c r="M53" s="55" t="n">
        <f aca="false">SUM(M6:M52)</f>
        <v>12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Tabella52791124791618202224262830323436384042444648505254565860626468707274767880828486908892949698100102104106[[#This Row],[Colonna1]]*$Q3</f>
        <v>0.4</v>
      </c>
      <c r="T53" s="56" t="n">
        <f aca="false">Tabella52791124791618202224262830323436384042444648505254565860626468707274767880828486908892949698100102104106[[#This Row],[Colonna2]]*$Q3</f>
        <v>5.6</v>
      </c>
      <c r="U53" s="56" t="n">
        <f aca="false">Tabella52791124791618202224262830323436384042444648505254565860626468707274767880828486908892949698100102104106[[#This Row],[Colonna3]]*$Q3</f>
        <v>11.2</v>
      </c>
      <c r="V53" s="56" t="n">
        <f aca="false">Tabella52791124791618202224262830323436384042444648505254565860626468707274767880828486908892949698100102104106[[#This Row],[Colonna4]]*$Q3</f>
        <v>3.2</v>
      </c>
      <c r="W53" s="56" t="n">
        <f aca="false">Tabella52791124791618202224262830323436384042444648505254565860626468707274767880828486908892949698100102104106[[#This Row],[Colonna5]]*$Q3</f>
        <v>5.6</v>
      </c>
      <c r="X53" s="56" t="n">
        <f aca="false">Tabella52791124791618202224262830323436384042444648505254565860626468707274767880828486908892949698100102104106[[#This Row],[Colonna6]]*$Q3</f>
        <v>3.2</v>
      </c>
      <c r="Y53" s="56" t="n">
        <f aca="false">Tabella52791124791618202224262830323436384042444648505254565860626468707274767880828486908892949698100102104106[[#This Row],[Colonna7]]*$Q3</f>
        <v>4.8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35</v>
      </c>
      <c r="H58" s="26" t="n">
        <v>95</v>
      </c>
      <c r="I58" s="26" t="n">
        <v>119</v>
      </c>
      <c r="J58" s="26" t="n">
        <v>85</v>
      </c>
      <c r="K58" s="26" t="n">
        <v>70</v>
      </c>
      <c r="L58" s="26" t="n">
        <v>42</v>
      </c>
      <c r="M58" s="26" t="n">
        <v>32</v>
      </c>
      <c r="P58" s="23" t="s">
        <v>62</v>
      </c>
      <c r="Q58" s="23"/>
      <c r="R58" s="23"/>
      <c r="S58" s="57" t="n">
        <f aca="false">G58*$Q3</f>
        <v>14</v>
      </c>
      <c r="T58" s="57" t="n">
        <f aca="false">H58*$Q3</f>
        <v>38</v>
      </c>
      <c r="U58" s="57" t="n">
        <f aca="false">I58*$Q3</f>
        <v>47.6</v>
      </c>
      <c r="V58" s="57" t="n">
        <f aca="false">J58*$Q3</f>
        <v>34</v>
      </c>
      <c r="W58" s="57" t="n">
        <f aca="false">K58*$Q3</f>
        <v>28</v>
      </c>
      <c r="X58" s="57" t="n">
        <f aca="false">L58*$Q3</f>
        <v>16.8</v>
      </c>
      <c r="Y58" s="57" t="n">
        <f aca="false">M58*$Q3</f>
        <v>12.8</v>
      </c>
      <c r="Z58" s="138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1</v>
      </c>
      <c r="H62" s="26" t="n">
        <v>18</v>
      </c>
      <c r="I62" s="26" t="n">
        <v>24</v>
      </c>
      <c r="J62" s="26" t="n">
        <v>17</v>
      </c>
      <c r="K62" s="26" t="n">
        <v>18</v>
      </c>
      <c r="L62" s="26" t="n">
        <v>5</v>
      </c>
      <c r="M62" s="26" t="n">
        <v>2</v>
      </c>
      <c r="P62" s="9" t="s">
        <v>66</v>
      </c>
      <c r="Q62" s="9"/>
      <c r="R62" s="9"/>
      <c r="S62" s="57" t="n">
        <f aca="false">G62*$Q3</f>
        <v>0.4</v>
      </c>
      <c r="T62" s="57" t="n">
        <f aca="false">H62*$Q3</f>
        <v>7.2</v>
      </c>
      <c r="U62" s="57" t="n">
        <f aca="false">I62*$Q3</f>
        <v>9.6</v>
      </c>
      <c r="V62" s="57" t="n">
        <f aca="false">J62*$Q3</f>
        <v>6.8</v>
      </c>
      <c r="W62" s="57" t="n">
        <f aca="false">K62*$Q3</f>
        <v>7.2</v>
      </c>
      <c r="X62" s="57" t="n">
        <f aca="false">L62*$Q3</f>
        <v>2</v>
      </c>
      <c r="Y62" s="57" t="n">
        <f aca="false">M62*$Q3</f>
        <v>0.8</v>
      </c>
    </row>
    <row r="63" customFormat="false" ht="15" hidden="false" customHeight="false" outlineLevel="0" collapsed="false">
      <c r="D63" s="9" t="s">
        <v>67</v>
      </c>
      <c r="E63" s="9"/>
      <c r="F63" s="9"/>
      <c r="G63" s="87"/>
      <c r="H63" s="37" t="n">
        <v>1</v>
      </c>
      <c r="I63" s="13" t="n">
        <v>4</v>
      </c>
      <c r="J63" s="26" t="n">
        <v>1</v>
      </c>
      <c r="K63" s="26" t="n">
        <v>3</v>
      </c>
      <c r="L63" s="26"/>
      <c r="M63" s="26" t="n">
        <v>2</v>
      </c>
      <c r="P63" s="9" t="s">
        <v>67</v>
      </c>
      <c r="Q63" s="9"/>
      <c r="R63" s="9"/>
      <c r="S63" s="57"/>
      <c r="T63" s="57" t="n">
        <f aca="false">I63*$Q3</f>
        <v>1.6</v>
      </c>
      <c r="U63" s="57" t="n">
        <f aca="false">I63*$Q3</f>
        <v>1.6</v>
      </c>
      <c r="V63" s="57" t="n">
        <f aca="false">J63*$Q3</f>
        <v>0.4</v>
      </c>
      <c r="W63" s="57" t="n">
        <f aca="false">K63*$Q3</f>
        <v>1.2</v>
      </c>
      <c r="X63" s="57"/>
      <c r="Y63" s="57" t="n">
        <f aca="false">M63*$Q3</f>
        <v>0.8</v>
      </c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 t="n">
        <v>3</v>
      </c>
      <c r="I64" s="26" t="n">
        <v>3</v>
      </c>
      <c r="J64" s="26" t="n">
        <v>3</v>
      </c>
      <c r="K64" s="26" t="n">
        <v>2</v>
      </c>
      <c r="L64" s="26" t="n">
        <v>1</v>
      </c>
      <c r="M64" s="26"/>
      <c r="P64" s="9" t="s">
        <v>68</v>
      </c>
      <c r="Q64" s="9"/>
      <c r="R64" s="9"/>
      <c r="S64" s="57"/>
      <c r="T64" s="57" t="n">
        <f aca="false">H64*$Q3</f>
        <v>1.2</v>
      </c>
      <c r="U64" s="57" t="n">
        <f aca="false">I64*$Q3</f>
        <v>1.2</v>
      </c>
      <c r="V64" s="57" t="n">
        <f aca="false">J64*$Q3</f>
        <v>1.2</v>
      </c>
      <c r="W64" s="57" t="n">
        <f aca="false">K64*$Q3</f>
        <v>0.8</v>
      </c>
      <c r="X64" s="57" t="n">
        <f aca="false">L64*$Q3</f>
        <v>0.4</v>
      </c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3</v>
      </c>
      <c r="H67" s="139" t="n">
        <v>6</v>
      </c>
      <c r="I67" s="139" t="n">
        <v>14</v>
      </c>
      <c r="J67" s="26" t="n">
        <v>6</v>
      </c>
      <c r="K67" s="26" t="n">
        <v>3</v>
      </c>
      <c r="L67" s="26" t="n">
        <v>4</v>
      </c>
      <c r="M67" s="26" t="n">
        <v>2</v>
      </c>
      <c r="P67" s="9" t="s">
        <v>71</v>
      </c>
      <c r="Q67" s="9"/>
      <c r="R67" s="9"/>
      <c r="S67" s="57" t="n">
        <f aca="false">G67*$Q3</f>
        <v>1.2</v>
      </c>
      <c r="T67" s="57" t="n">
        <f aca="false">H67*$Q3</f>
        <v>2.4</v>
      </c>
      <c r="U67" s="57" t="n">
        <f aca="false">I67*$Q3</f>
        <v>5.6</v>
      </c>
      <c r="V67" s="57" t="n">
        <f aca="false">J67*$Q3</f>
        <v>2.4</v>
      </c>
      <c r="W67" s="57" t="n">
        <f aca="false">K67*$Q3</f>
        <v>1.2</v>
      </c>
      <c r="X67" s="57" t="n">
        <f aca="false">L67*$Q3</f>
        <v>1.6</v>
      </c>
      <c r="Y67" s="57" t="n">
        <f aca="false">M67*$Q3</f>
        <v>0.8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</v>
      </c>
      <c r="H68" s="30" t="n">
        <v>14</v>
      </c>
      <c r="I68" s="30" t="n">
        <v>11</v>
      </c>
      <c r="J68" s="30" t="n">
        <v>4</v>
      </c>
      <c r="K68" s="30" t="n">
        <v>4</v>
      </c>
      <c r="L68" s="30" t="n">
        <v>6</v>
      </c>
      <c r="M68" s="30"/>
      <c r="P68" s="9" t="s">
        <v>72</v>
      </c>
      <c r="Q68" s="9"/>
      <c r="R68" s="9"/>
      <c r="S68" s="57" t="n">
        <f aca="false">G68*$Q3</f>
        <v>0.4</v>
      </c>
      <c r="T68" s="57" t="n">
        <f aca="false">H68*$Q3</f>
        <v>5.6</v>
      </c>
      <c r="U68" s="57" t="n">
        <f aca="false">I68*$Q3</f>
        <v>4.4</v>
      </c>
      <c r="V68" s="57" t="n">
        <f aca="false">J68*$Q3</f>
        <v>1.6</v>
      </c>
      <c r="W68" s="57" t="n">
        <f aca="false">K68*$Q3</f>
        <v>1.6</v>
      </c>
      <c r="X68" s="57" t="n">
        <f aca="false">L68*$Q3</f>
        <v>2.4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 t="n">
        <v>7</v>
      </c>
      <c r="I69" s="30" t="n">
        <v>12</v>
      </c>
      <c r="J69" s="30" t="n">
        <v>6</v>
      </c>
      <c r="K69" s="30" t="n">
        <v>7</v>
      </c>
      <c r="L69" s="30" t="n">
        <v>15</v>
      </c>
      <c r="M69" s="30" t="n">
        <v>11</v>
      </c>
      <c r="P69" s="9" t="s">
        <v>73</v>
      </c>
      <c r="Q69" s="9"/>
      <c r="R69" s="9"/>
      <c r="S69" s="57"/>
      <c r="T69" s="57" t="n">
        <f aca="false">H69*$Q3</f>
        <v>2.8</v>
      </c>
      <c r="U69" s="57" t="n">
        <f aca="false">I69*$Q3</f>
        <v>4.8</v>
      </c>
      <c r="V69" s="57" t="n">
        <f aca="false">J69*$Q3</f>
        <v>2.4</v>
      </c>
      <c r="W69" s="57" t="n">
        <f aca="false">K69*$Q3</f>
        <v>2.8</v>
      </c>
      <c r="X69" s="57" t="n">
        <f aca="false">L69*$Q3</f>
        <v>6</v>
      </c>
      <c r="Y69" s="57" t="n">
        <f aca="false">M69*$Q3</f>
        <v>4.4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40</v>
      </c>
      <c r="H70" s="60" t="n">
        <f aca="false">SUM(H58:H69)</f>
        <v>144</v>
      </c>
      <c r="I70" s="60" t="n">
        <f aca="false">SUM(I58:I69)</f>
        <v>187</v>
      </c>
      <c r="J70" s="60" t="n">
        <f aca="false">SUM(J58:J69)</f>
        <v>122</v>
      </c>
      <c r="K70" s="60" t="n">
        <f aca="false">SUM(K58:K69)</f>
        <v>107</v>
      </c>
      <c r="L70" s="60" t="n">
        <f aca="false">SUM(L58:L69)</f>
        <v>73</v>
      </c>
      <c r="M70" s="60" t="n">
        <f aca="false">SUM(M58:M69)</f>
        <v>49</v>
      </c>
      <c r="P70" s="9" t="s">
        <v>60</v>
      </c>
      <c r="Q70" s="9"/>
      <c r="R70" s="9"/>
      <c r="S70" s="61" t="n">
        <f aca="false">G70*$Q3</f>
        <v>16</v>
      </c>
      <c r="T70" s="61" t="n">
        <f aca="false">H70*$Q3</f>
        <v>57.6</v>
      </c>
      <c r="U70" s="61" t="n">
        <f aca="false">I70*$Q3</f>
        <v>74.8</v>
      </c>
      <c r="V70" s="61" t="n">
        <f aca="false">J70*$Q3</f>
        <v>48.8</v>
      </c>
      <c r="W70" s="61" t="n">
        <f aca="false">K70*$Q3</f>
        <v>42.8</v>
      </c>
      <c r="X70" s="61" t="n">
        <f aca="false">L70*$Q3</f>
        <v>29.2</v>
      </c>
      <c r="Y70" s="61" t="n">
        <f aca="false">M70*$Q3</f>
        <v>19.6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Z83"/>
  <sheetViews>
    <sheetView showFormulas="false" showGridLines="true" showRowColHeaders="true" showZeros="true" rightToLeft="false" tabSelected="false" showOutlineSymbols="true" defaultGridColor="true" view="normal" topLeftCell="L28" colorId="64" zoomScale="100" zoomScaleNormal="100" zoomScalePageLayoutView="100" workbookViewId="0">
      <selection pane="topLeft" activeCell="L28" activeCellId="0" sqref="L2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96</v>
      </c>
      <c r="I3" s="119" t="s">
        <v>2</v>
      </c>
      <c r="J3" s="4" t="n">
        <v>45250</v>
      </c>
      <c r="K3" s="5" t="n">
        <v>45256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96</v>
      </c>
      <c r="U3" s="119" t="s">
        <v>2</v>
      </c>
      <c r="V3" s="4" t="n">
        <v>45250</v>
      </c>
      <c r="W3" s="5" t="n">
        <v>45256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 t="n">
        <v>1</v>
      </c>
      <c r="I7" s="13"/>
      <c r="J7" s="13" t="n">
        <v>3</v>
      </c>
      <c r="K7" s="13" t="n">
        <v>2</v>
      </c>
      <c r="L7" s="13"/>
      <c r="M7" s="13"/>
      <c r="P7" s="12" t="s">
        <v>14</v>
      </c>
      <c r="Q7" s="12"/>
      <c r="R7" s="12"/>
      <c r="S7" s="14"/>
      <c r="T7" s="14" t="n">
        <f aca="false">Tabella52791124791618202224262830323436384042444648505254565860626468707274767880828486908892949698100102104106108[[#This Row],[Colonna2]]*$Q3</f>
        <v>0.4</v>
      </c>
      <c r="U7" s="14"/>
      <c r="V7" s="14" t="n">
        <f aca="false">Tabella52791124791618202224262830323436384042444648505254565860626468707274767880828486908892949698100102104106108[[#This Row],[Colonna4]]*$Q3</f>
        <v>1.2</v>
      </c>
      <c r="W7" s="14" t="n">
        <f aca="false">Tabella52791124791618202224262830323436384042444648505254565860626468707274767880828486908892949698100102104106108[[#This Row],[Colonna5]]*$Q3</f>
        <v>0.8</v>
      </c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 t="n">
        <v>1</v>
      </c>
      <c r="I12" s="13" t="n">
        <v>1</v>
      </c>
      <c r="J12" s="13"/>
      <c r="K12" s="13"/>
      <c r="L12" s="13"/>
      <c r="M12" s="13"/>
      <c r="P12" s="12" t="s">
        <v>19</v>
      </c>
      <c r="Q12" s="12"/>
      <c r="R12" s="12"/>
      <c r="S12" s="14"/>
      <c r="T12" s="14" t="n">
        <f aca="false">Tabella52791124791618202224262830323436384042444648505254565860626468707274767880828486908892949698100102104106108[[#This Row],[Colonna2]]*$Q3</f>
        <v>0.4</v>
      </c>
      <c r="U12" s="14" t="n">
        <f aca="false">Tabella52791124791618202224262830323436384042444648505254565860626468707274767880828486908892949698100102104106108[[#This Row],[Colonna3]]*$Q3</f>
        <v>0.4</v>
      </c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 t="n">
        <v>2</v>
      </c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 t="n">
        <f aca="false">Tabella52791124791618202224262830323436384042444648505254565860626468707274767880828486908892949698100102104106108[[#This Row],[Colonna6]]*$Q3</f>
        <v>0.8</v>
      </c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</v>
      </c>
      <c r="H22" s="13" t="n">
        <v>6</v>
      </c>
      <c r="I22" s="13"/>
      <c r="J22" s="13"/>
      <c r="K22" s="13"/>
      <c r="L22" s="13"/>
      <c r="M22" s="13" t="n">
        <v>1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Tabella52791124791618202224262830323436384042444648505254565860626468707274767880828486908892949698100102104106108[[#This Row],[Colonna1]]*$Q3</f>
        <v>0.8</v>
      </c>
      <c r="T22" s="14" t="n">
        <f aca="false">Tabella52791124791618202224262830323436384042444648505254565860626468707274767880828486908892949698100102104106108[[#This Row],[Colonna2]]*$Q3</f>
        <v>2.4</v>
      </c>
      <c r="U22" s="14" t="n">
        <f aca="false">Tabella52791124791618202224262830323436384042444648505254565860626468707274767880828486908892949698100102104106108[[#This Row],[Colonna3]]*$Q3</f>
        <v>0</v>
      </c>
      <c r="V22" s="14" t="n">
        <f aca="false">Tabella52791124791618202224262830323436384042444648505254565860626468707274767880828486908892949698100102104106108[[#This Row],[Colonna4]]*$Q3</f>
        <v>0</v>
      </c>
      <c r="W22" s="14" t="n">
        <f aca="false">Tabella52791124791618202224262830323436384042444648505254565860626468707274767880828486908892949698100102104106108[[#This Row],[Colonna5]]*$Q3</f>
        <v>0</v>
      </c>
      <c r="X22" s="14" t="n">
        <f aca="false">Tabella52791124791618202224262830323436384042444648505254565860626468707274767880828486908892949698100102104106108[[#This Row],[Colonna6]]*$Q3</f>
        <v>0</v>
      </c>
      <c r="Y22" s="14" t="n">
        <f aca="false">Tabella52791124791618202224262830323436384042444648505254565860626468707274767880828486908892949698100102104106108[[#This Row],[Colonna7]]*$Q3</f>
        <v>0.4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 t="n">
        <v>1</v>
      </c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 t="n">
        <f aca="false">Tabella52791124791618202224262830323436384042444648505254565860626468707274767880828486908892949698100102104106108[[#This Row],[Colonna6]]*$Q3</f>
        <v>0.4</v>
      </c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13" t="n">
        <v>2</v>
      </c>
      <c r="I41" s="13"/>
      <c r="J41" s="13" t="n">
        <v>2</v>
      </c>
      <c r="K41" s="13"/>
      <c r="L41" s="13" t="n">
        <v>1</v>
      </c>
      <c r="M41" s="13" t="n">
        <v>3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Tabella52791124791618202224262830323436384042444648505254565860626468707274767880828486908892949698100102104106108[[#This Row],[Colonna1]]*$Q3</f>
        <v>0.4</v>
      </c>
      <c r="T41" s="14" t="n">
        <f aca="false">Tabella52791124791618202224262830323436384042444648505254565860626468707274767880828486908892949698100102104106108[[#This Row],[Colonna2]]*$Q3</f>
        <v>0.8</v>
      </c>
      <c r="U41" s="14"/>
      <c r="V41" s="14" t="n">
        <f aca="false">Tabella52791124791618202224262830323436384042444648505254565860626468707274767880828486908892949698100102104106108[[#This Row],[Colonna4]]*$Q3</f>
        <v>0.8</v>
      </c>
      <c r="W41" s="14"/>
      <c r="X41" s="14" t="n">
        <f aca="false">Tabella52791124791618202224262830323436384042444648505254565860626468707274767880828486908892949698100102104106108[[#This Row],[Colonna6]]*$Q3</f>
        <v>0.4</v>
      </c>
      <c r="Y41" s="14" t="n">
        <f aca="false">Tabella52791124791618202224262830323436384042444648505254565860626468707274767880828486908892949698100102104106108[[#This Row],[Colonna7]]*$Q3</f>
        <v>1.2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4</v>
      </c>
      <c r="H44" s="13" t="n">
        <v>7</v>
      </c>
      <c r="I44" s="13" t="n">
        <v>1</v>
      </c>
      <c r="J44" s="13" t="n">
        <v>5</v>
      </c>
      <c r="K44" s="13"/>
      <c r="L44" s="13" t="n">
        <v>4</v>
      </c>
      <c r="M44" s="13" t="n">
        <v>2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Tabella52791124791618202224262830323436384042444648505254565860626468707274767880828486908892949698100102104106108[[#This Row],[Colonna1]]*$Q3</f>
        <v>1.6</v>
      </c>
      <c r="T44" s="14" t="n">
        <f aca="false">Tabella52791124791618202224262830323436384042444648505254565860626468707274767880828486908892949698100102104106108[[#This Row],[Colonna2]]*$Q3</f>
        <v>2.8</v>
      </c>
      <c r="U44" s="14" t="n">
        <f aca="false">Tabella52791124791618202224262830323436384042444648505254565860626468707274767880828486908892949698100102104106108[[#This Row],[Colonna3]]*$Q3</f>
        <v>0.4</v>
      </c>
      <c r="V44" s="14" t="n">
        <f aca="false">Tabella52791124791618202224262830323436384042444648505254565860626468707274767880828486908892949698100102104106108[[#This Row],[Colonna4]]*$Q3</f>
        <v>2</v>
      </c>
      <c r="W44" s="14"/>
      <c r="X44" s="14" t="n">
        <f aca="false">Tabella52791124791618202224262830323436384042444648505254565860626468707274767880828486908892949698100102104106108[[#This Row],[Colonna6]]*$Q3</f>
        <v>1.6</v>
      </c>
      <c r="Y44" s="14" t="n">
        <f aca="false">Tabella52791124791618202224262830323436384042444648505254565860626468707274767880828486908892949698100102104106108[[#This Row],[Colonna7]]*$Q3</f>
        <v>0.8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 t="n">
        <v>1</v>
      </c>
      <c r="M52" s="13" t="n">
        <v>1</v>
      </c>
      <c r="P52" s="12" t="s">
        <v>59</v>
      </c>
      <c r="Q52" s="12"/>
      <c r="R52" s="12"/>
      <c r="S52" s="14"/>
      <c r="T52" s="14"/>
      <c r="U52" s="14"/>
      <c r="V52" s="14"/>
      <c r="W52" s="14"/>
      <c r="X52" s="14" t="n">
        <f aca="false">Tabella52791124791618202224262830323436384042444648505254565860626468707274767880828486908892949698100102104106108[[#This Row],[Colonna6]]*$Q3</f>
        <v>0.4</v>
      </c>
      <c r="Y52" s="14" t="n">
        <f aca="false">Tabella52791124791618202224262830323436384042444648505254565860626468707274767880828486908892949698100102104106108[[#This Row],[Colonna7]]*$Q3</f>
        <v>0.4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7</v>
      </c>
      <c r="H53" s="55" t="n">
        <f aca="false">SUM(H6:H52)</f>
        <v>17</v>
      </c>
      <c r="I53" s="55" t="n">
        <f aca="false">SUM(I6:I52)</f>
        <v>2</v>
      </c>
      <c r="J53" s="55" t="n">
        <f aca="false">SUM(J6:J52)</f>
        <v>10</v>
      </c>
      <c r="K53" s="55" t="n">
        <f aca="false">SUM(K6:K52)</f>
        <v>2</v>
      </c>
      <c r="L53" s="55" t="n">
        <f aca="false">SUM(L6:L52)</f>
        <v>9</v>
      </c>
      <c r="M53" s="55" t="n">
        <f aca="false">SUM(M6:M52)</f>
        <v>7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Tabella52791124791618202224262830323436384042444648505254565860626468707274767880828486908892949698100102104106108[[#This Row],[Colonna1]]*$Q3</f>
        <v>2.8</v>
      </c>
      <c r="T53" s="56" t="n">
        <f aca="false">Tabella52791124791618202224262830323436384042444648505254565860626468707274767880828486908892949698100102104106108[[#This Row],[Colonna2]]*$Q3</f>
        <v>6.8</v>
      </c>
      <c r="U53" s="56" t="n">
        <f aca="false">Tabella52791124791618202224262830323436384042444648505254565860626468707274767880828486908892949698100102104106108[[#This Row],[Colonna3]]*$Q3</f>
        <v>0.8</v>
      </c>
      <c r="V53" s="56" t="n">
        <f aca="false">Tabella52791124791618202224262830323436384042444648505254565860626468707274767880828486908892949698100102104106108[[#This Row],[Colonna4]]*$Q3</f>
        <v>4</v>
      </c>
      <c r="W53" s="56" t="n">
        <f aca="false">Tabella52791124791618202224262830323436384042444648505254565860626468707274767880828486908892949698100102104106108[[#This Row],[Colonna5]]*$Q3</f>
        <v>0.8</v>
      </c>
      <c r="X53" s="56" t="n">
        <f aca="false">Tabella52791124791618202224262830323436384042444648505254565860626468707274767880828486908892949698100102104106108[[#This Row],[Colonna6]]*$Q3</f>
        <v>3.6</v>
      </c>
      <c r="Y53" s="56" t="n">
        <f aca="false">Tabella52791124791618202224262830323436384042444648505254565860626468707274767880828486908892949698100102104106108[[#This Row],[Colonna7]]*$Q3</f>
        <v>2.8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90</v>
      </c>
      <c r="H58" s="26" t="n">
        <v>68</v>
      </c>
      <c r="I58" s="26" t="n">
        <v>33</v>
      </c>
      <c r="J58" s="26" t="n">
        <v>33</v>
      </c>
      <c r="K58" s="26" t="n">
        <v>18</v>
      </c>
      <c r="L58" s="26" t="n">
        <v>32</v>
      </c>
      <c r="M58" s="26" t="n">
        <v>31</v>
      </c>
      <c r="P58" s="23" t="s">
        <v>62</v>
      </c>
      <c r="Q58" s="23"/>
      <c r="R58" s="23"/>
      <c r="S58" s="57" t="n">
        <f aca="false">G58*$Q3</f>
        <v>36</v>
      </c>
      <c r="T58" s="57" t="n">
        <f aca="false">H58*$Q3</f>
        <v>27.2</v>
      </c>
      <c r="U58" s="57" t="n">
        <f aca="false">I58*$Q3</f>
        <v>13.2</v>
      </c>
      <c r="V58" s="57" t="n">
        <f aca="false">J58*$Q3</f>
        <v>13.2</v>
      </c>
      <c r="W58" s="57" t="n">
        <f aca="false">K58*$Q3</f>
        <v>7.2</v>
      </c>
      <c r="X58" s="57" t="n">
        <f aca="false">L58*$Q3</f>
        <v>12.8</v>
      </c>
      <c r="Y58" s="57" t="n">
        <f aca="false">M58*$Q3</f>
        <v>12.4</v>
      </c>
      <c r="Z58" s="138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10</v>
      </c>
      <c r="H62" s="26" t="n">
        <v>14</v>
      </c>
      <c r="I62" s="26" t="n">
        <v>7</v>
      </c>
      <c r="J62" s="26" t="n">
        <v>5</v>
      </c>
      <c r="K62" s="26" t="n">
        <v>6</v>
      </c>
      <c r="L62" s="26" t="n">
        <v>3</v>
      </c>
      <c r="M62" s="26" t="n">
        <v>5</v>
      </c>
      <c r="P62" s="9" t="s">
        <v>66</v>
      </c>
      <c r="Q62" s="9"/>
      <c r="R62" s="9"/>
      <c r="S62" s="57" t="n">
        <f aca="false">G62*$Q3</f>
        <v>4</v>
      </c>
      <c r="T62" s="57" t="n">
        <f aca="false">H62*$Q3</f>
        <v>5.6</v>
      </c>
      <c r="U62" s="57" t="n">
        <f aca="false">I62*$Q3</f>
        <v>2.8</v>
      </c>
      <c r="V62" s="57" t="n">
        <f aca="false">J62*$Q3</f>
        <v>2</v>
      </c>
      <c r="W62" s="57" t="n">
        <f aca="false">K62*$Q3</f>
        <v>2.4</v>
      </c>
      <c r="X62" s="57" t="n">
        <f aca="false">L62*$Q3</f>
        <v>1.2</v>
      </c>
      <c r="Y62" s="57" t="n">
        <f aca="false">M62*$Q3</f>
        <v>2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4</v>
      </c>
      <c r="H63" s="37" t="n">
        <v>2</v>
      </c>
      <c r="I63" s="13" t="n">
        <v>4</v>
      </c>
      <c r="J63" s="26" t="n">
        <v>1</v>
      </c>
      <c r="K63" s="26"/>
      <c r="L63" s="26" t="n">
        <v>1</v>
      </c>
      <c r="M63" s="26"/>
      <c r="P63" s="9" t="s">
        <v>67</v>
      </c>
      <c r="Q63" s="9"/>
      <c r="R63" s="9"/>
      <c r="S63" s="57" t="n">
        <f aca="false">H63*$Q3</f>
        <v>0.8</v>
      </c>
      <c r="T63" s="57" t="n">
        <f aca="false">I63*$Q3</f>
        <v>1.6</v>
      </c>
      <c r="U63" s="57" t="n">
        <f aca="false">I63*$Q3</f>
        <v>1.6</v>
      </c>
      <c r="V63" s="57" t="n">
        <f aca="false">J63*$Q3</f>
        <v>0.4</v>
      </c>
      <c r="W63" s="57"/>
      <c r="X63" s="57" t="n">
        <f aca="false">L63*$Q3</f>
        <v>0.4</v>
      </c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10</v>
      </c>
      <c r="H64" s="26" t="n">
        <v>1</v>
      </c>
      <c r="I64" s="26" t="n">
        <v>2</v>
      </c>
      <c r="J64" s="26" t="n">
        <v>1</v>
      </c>
      <c r="K64" s="26"/>
      <c r="L64" s="26" t="n">
        <v>2</v>
      </c>
      <c r="M64" s="26" t="n">
        <v>1</v>
      </c>
      <c r="P64" s="9" t="s">
        <v>68</v>
      </c>
      <c r="Q64" s="9"/>
      <c r="R64" s="9"/>
      <c r="S64" s="57" t="n">
        <f aca="false">G64*$Q3</f>
        <v>4</v>
      </c>
      <c r="T64" s="57" t="n">
        <f aca="false">H64*$Q3</f>
        <v>0.4</v>
      </c>
      <c r="U64" s="57" t="n">
        <f aca="false">I64*$Q3</f>
        <v>0.8</v>
      </c>
      <c r="V64" s="57" t="n">
        <f aca="false">J64*$Q3</f>
        <v>0.4</v>
      </c>
      <c r="W64" s="57"/>
      <c r="X64" s="57" t="n">
        <f aca="false">L64*$Q3</f>
        <v>0.8</v>
      </c>
      <c r="Y64" s="57" t="n">
        <f aca="false">M64*$Q3</f>
        <v>0.4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1</v>
      </c>
      <c r="H67" s="139" t="n">
        <v>3</v>
      </c>
      <c r="I67" s="139" t="n">
        <v>5</v>
      </c>
      <c r="J67" s="26" t="n">
        <v>3</v>
      </c>
      <c r="K67" s="26" t="n">
        <v>1</v>
      </c>
      <c r="L67" s="26" t="n">
        <v>4</v>
      </c>
      <c r="M67" s="26"/>
      <c r="P67" s="9" t="s">
        <v>71</v>
      </c>
      <c r="Q67" s="9"/>
      <c r="R67" s="9"/>
      <c r="S67" s="57" t="n">
        <f aca="false">G67*$Q3</f>
        <v>0.4</v>
      </c>
      <c r="T67" s="57" t="n">
        <f aca="false">H67*$Q3</f>
        <v>1.2</v>
      </c>
      <c r="U67" s="57" t="n">
        <f aca="false">I67*$Q3</f>
        <v>2</v>
      </c>
      <c r="V67" s="57" t="n">
        <f aca="false">J67*$Q3</f>
        <v>1.2</v>
      </c>
      <c r="W67" s="57" t="n">
        <f aca="false">K67*$Q3</f>
        <v>0.4</v>
      </c>
      <c r="X67" s="57" t="n">
        <f aca="false">L67*$Q3</f>
        <v>1.6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5</v>
      </c>
      <c r="H68" s="30" t="n">
        <v>11</v>
      </c>
      <c r="I68" s="30" t="n">
        <v>4</v>
      </c>
      <c r="J68" s="30" t="n">
        <v>3</v>
      </c>
      <c r="K68" s="30" t="n">
        <v>3</v>
      </c>
      <c r="L68" s="30" t="n">
        <v>4</v>
      </c>
      <c r="M68" s="30" t="n">
        <v>4</v>
      </c>
      <c r="P68" s="9" t="s">
        <v>72</v>
      </c>
      <c r="Q68" s="9"/>
      <c r="R68" s="9"/>
      <c r="S68" s="57" t="n">
        <f aca="false">G68*$Q3</f>
        <v>2</v>
      </c>
      <c r="T68" s="57" t="n">
        <f aca="false">H68*$Q3</f>
        <v>4.4</v>
      </c>
      <c r="U68" s="57" t="n">
        <f aca="false">I68*$Q3</f>
        <v>1.6</v>
      </c>
      <c r="V68" s="57" t="n">
        <f aca="false">J68*$Q3</f>
        <v>1.2</v>
      </c>
      <c r="W68" s="57" t="n">
        <f aca="false">K68*$Q3</f>
        <v>1.2</v>
      </c>
      <c r="X68" s="57" t="n">
        <f aca="false">L68*$Q3</f>
        <v>1.6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27</v>
      </c>
      <c r="H69" s="30" t="n">
        <v>27</v>
      </c>
      <c r="I69" s="30" t="n">
        <v>11</v>
      </c>
      <c r="J69" s="30" t="n">
        <v>5</v>
      </c>
      <c r="K69" s="30" t="n">
        <v>3</v>
      </c>
      <c r="L69" s="30" t="n">
        <v>21</v>
      </c>
      <c r="M69" s="30" t="n">
        <v>9</v>
      </c>
      <c r="P69" s="9" t="s">
        <v>73</v>
      </c>
      <c r="Q69" s="9"/>
      <c r="R69" s="9"/>
      <c r="S69" s="57" t="n">
        <f aca="false">G69*$Q3</f>
        <v>10.8</v>
      </c>
      <c r="T69" s="57" t="n">
        <f aca="false">H69*$Q3</f>
        <v>10.8</v>
      </c>
      <c r="U69" s="57" t="n">
        <f aca="false">I69*$Q3</f>
        <v>4.4</v>
      </c>
      <c r="V69" s="57" t="n">
        <f aca="false">J69*$Q3</f>
        <v>2</v>
      </c>
      <c r="W69" s="57" t="n">
        <f aca="false">K69*$Q3</f>
        <v>1.2</v>
      </c>
      <c r="X69" s="57" t="n">
        <f aca="false">L69*$Q3</f>
        <v>8.4</v>
      </c>
      <c r="Y69" s="57" t="n">
        <f aca="false">M69*$Q3</f>
        <v>3.6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147</v>
      </c>
      <c r="H70" s="60" t="n">
        <f aca="false">SUM(H58:H69)</f>
        <v>126</v>
      </c>
      <c r="I70" s="60" t="n">
        <f aca="false">SUM(I58:I69)</f>
        <v>66</v>
      </c>
      <c r="J70" s="60" t="n">
        <f aca="false">SUM(J58:J69)</f>
        <v>51</v>
      </c>
      <c r="K70" s="60" t="n">
        <f aca="false">SUM(K58:K69)</f>
        <v>31</v>
      </c>
      <c r="L70" s="60" t="n">
        <f aca="false">SUM(L58:L69)</f>
        <v>67</v>
      </c>
      <c r="M70" s="60" t="n">
        <f aca="false">SUM(M58:M69)</f>
        <v>50</v>
      </c>
      <c r="P70" s="9" t="s">
        <v>60</v>
      </c>
      <c r="Q70" s="9"/>
      <c r="R70" s="9"/>
      <c r="S70" s="61" t="n">
        <f aca="false">G70*$Q3</f>
        <v>58.8</v>
      </c>
      <c r="T70" s="61" t="n">
        <f aca="false">H70*$Q3</f>
        <v>50.4</v>
      </c>
      <c r="U70" s="61" t="n">
        <f aca="false">I70*$Q3</f>
        <v>26.4</v>
      </c>
      <c r="V70" s="61" t="n">
        <f aca="false">J70*$Q3</f>
        <v>20.4</v>
      </c>
      <c r="W70" s="61" t="n">
        <f aca="false">K70*$Q3</f>
        <v>12.4</v>
      </c>
      <c r="X70" s="61" t="n">
        <f aca="false">L70*$Q3</f>
        <v>26.8</v>
      </c>
      <c r="Y70" s="61" t="n">
        <f aca="false">M70*$Q3</f>
        <v>20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Z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96</v>
      </c>
      <c r="I3" s="119" t="s">
        <v>2</v>
      </c>
      <c r="J3" s="4" t="n">
        <v>45257</v>
      </c>
      <c r="K3" s="5" t="n">
        <v>45263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96</v>
      </c>
      <c r="U3" s="119" t="s">
        <v>2</v>
      </c>
      <c r="V3" s="4" t="n">
        <v>45257</v>
      </c>
      <c r="W3" s="5" t="n">
        <v>45263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 t="n">
        <f aca="false">Tabella52791124791618202224262830323436384042444648505254565860626468707274767880828486908892949698100102104106108110[[#This Row],[Colonna2]]*$Q3</f>
        <v>0</v>
      </c>
      <c r="U7" s="14"/>
      <c r="V7" s="14" t="n">
        <f aca="false">Tabella52791124791618202224262830323436384042444648505254565860626468707274767880828486908892949698100102104106108110[[#This Row],[Colonna4]]*$Q3</f>
        <v>0</v>
      </c>
      <c r="W7" s="14" t="n">
        <f aca="false">Tabella52791124791618202224262830323436384042444648505254565860626468707274767880828486908892949698100102104106108110[[#This Row],[Colonna5]]*$Q3</f>
        <v>0</v>
      </c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 t="n">
        <f aca="false">Tabella52791124791618202224262830323436384042444648505254565860626468707274767880828486908892949698100102104106108110[[#This Row],[Colonna2]]*$Q3</f>
        <v>0</v>
      </c>
      <c r="U12" s="14" t="n">
        <f aca="false">Tabella52791124791618202224262830323436384042444648505254565860626468707274767880828486908892949698100102104106108110[[#This Row],[Colonna3]]*$Q3</f>
        <v>0</v>
      </c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 t="n">
        <f aca="false">Tabella52791124791618202224262830323436384042444648505254565860626468707274767880828486908892949698100102104106108110[[#This Row],[Colonna6]]*$Q3</f>
        <v>0</v>
      </c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Tabella52791124791618202224262830323436384042444648505254565860626468707274767880828486908892949698100102104106108110[[#This Row],[Colonna1]]*$Q3</f>
        <v>0</v>
      </c>
      <c r="T22" s="14" t="n">
        <f aca="false">Tabella52791124791618202224262830323436384042444648505254565860626468707274767880828486908892949698100102104106108110[[#This Row],[Colonna2]]*$Q3</f>
        <v>0</v>
      </c>
      <c r="U22" s="14" t="n">
        <f aca="false">Tabella52791124791618202224262830323436384042444648505254565860626468707274767880828486908892949698100102104106108110[[#This Row],[Colonna3]]*$Q3</f>
        <v>0</v>
      </c>
      <c r="V22" s="14" t="n">
        <f aca="false">Tabella52791124791618202224262830323436384042444648505254565860626468707274767880828486908892949698100102104106108110[[#This Row],[Colonna4]]*$Q3</f>
        <v>0</v>
      </c>
      <c r="W22" s="14" t="n">
        <f aca="false">Tabella52791124791618202224262830323436384042444648505254565860626468707274767880828486908892949698100102104106108110[[#This Row],[Colonna5]]*$Q3</f>
        <v>0</v>
      </c>
      <c r="X22" s="14" t="n">
        <f aca="false">Tabella52791124791618202224262830323436384042444648505254565860626468707274767880828486908892949698100102104106108110[[#This Row],[Colonna6]]*$Q3</f>
        <v>0</v>
      </c>
      <c r="Y22" s="14" t="n">
        <f aca="false">Tabella52791124791618202224262830323436384042444648505254565860626468707274767880828486908892949698100102104106108110[[#This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 t="n">
        <f aca="false">Tabella52791124791618202224262830323436384042444648505254565860626468707274767880828486908892949698100102104106108110[[#This Row],[Colonna6]]*$Q3</f>
        <v>0</v>
      </c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Tabella52791124791618202224262830323436384042444648505254565860626468707274767880828486908892949698100102104106108110[[#This Row],[Colonna1]]*$Q3</f>
        <v>0</v>
      </c>
      <c r="T41" s="14" t="n">
        <f aca="false">Tabella52791124791618202224262830323436384042444648505254565860626468707274767880828486908892949698100102104106108110[[#This Row],[Colonna2]]*$Q3</f>
        <v>0</v>
      </c>
      <c r="U41" s="14"/>
      <c r="V41" s="14" t="n">
        <f aca="false">Tabella52791124791618202224262830323436384042444648505254565860626468707274767880828486908892949698100102104106108110[[#This Row],[Colonna4]]*$Q3</f>
        <v>0</v>
      </c>
      <c r="W41" s="14"/>
      <c r="X41" s="14" t="n">
        <f aca="false">Tabella52791124791618202224262830323436384042444648505254565860626468707274767880828486908892949698100102104106108110[[#This Row],[Colonna6]]*$Q3</f>
        <v>0</v>
      </c>
      <c r="Y41" s="14" t="n">
        <f aca="false">Tabella52791124791618202224262830323436384042444648505254565860626468707274767880828486908892949698100102104106108110[[#This Row],[Colonna7]]*$Q3</f>
        <v>0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3"/>
      <c r="L44" s="13"/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Tabella52791124791618202224262830323436384042444648505254565860626468707274767880828486908892949698100102104106108110[[#This Row],[Colonna1]]*$Q3</f>
        <v>0</v>
      </c>
      <c r="T44" s="14" t="n">
        <f aca="false">Tabella52791124791618202224262830323436384042444648505254565860626468707274767880828486908892949698100102104106108110[[#This Row],[Colonna2]]*$Q3</f>
        <v>0</v>
      </c>
      <c r="U44" s="14" t="n">
        <f aca="false">Tabella52791124791618202224262830323436384042444648505254565860626468707274767880828486908892949698100102104106108110[[#This Row],[Colonna3]]*$Q3</f>
        <v>0</v>
      </c>
      <c r="V44" s="14" t="n">
        <f aca="false">Tabella52791124791618202224262830323436384042444648505254565860626468707274767880828486908892949698100102104106108110[[#This Row],[Colonna4]]*$Q3</f>
        <v>0</v>
      </c>
      <c r="W44" s="14"/>
      <c r="X44" s="14" t="n">
        <f aca="false">Tabella52791124791618202224262830323436384042444648505254565860626468707274767880828486908892949698100102104106108110[[#This Row],[Colonna6]]*$Q3</f>
        <v>0</v>
      </c>
      <c r="Y44" s="14" t="n">
        <f aca="false">Tabella52791124791618202224262830323436384042444648505254565860626468707274767880828486908892949698100102104106108110[[#This Row],[Colonna7]]*$Q3</f>
        <v>0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 t="n">
        <f aca="false">Tabella52791124791618202224262830323436384042444648505254565860626468707274767880828486908892949698100102104106108110[[#This Row],[Colonna6]]*$Q3</f>
        <v>0</v>
      </c>
      <c r="Y52" s="14" t="n">
        <f aca="false">Tabella52791124791618202224262830323436384042444648505254565860626468707274767880828486908892949698100102104106108110[[#This Row],[Colonna7]]*$Q3</f>
        <v>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55" t="n">
        <f aca="false">SUM(L6:L52)</f>
        <v>0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Tabella52791124791618202224262830323436384042444648505254565860626468707274767880828486908892949698100102104106108110[[#This Row],[Colonna1]]*$Q3</f>
        <v>0</v>
      </c>
      <c r="T53" s="56" t="n">
        <f aca="false">Tabella52791124791618202224262830323436384042444648505254565860626468707274767880828486908892949698100102104106108110[[#This Row],[Colonna2]]*$Q3</f>
        <v>0</v>
      </c>
      <c r="U53" s="56" t="n">
        <f aca="false">Tabella52791124791618202224262830323436384042444648505254565860626468707274767880828486908892949698100102104106108110[[#This Row],[Colonna3]]*$Q3</f>
        <v>0</v>
      </c>
      <c r="V53" s="56" t="n">
        <f aca="false">Tabella52791124791618202224262830323436384042444648505254565860626468707274767880828486908892949698100102104106108110[[#This Row],[Colonna4]]*$Q3</f>
        <v>0</v>
      </c>
      <c r="W53" s="56" t="n">
        <f aca="false">Tabella52791124791618202224262830323436384042444648505254565860626468707274767880828486908892949698100102104106108110[[#This Row],[Colonna5]]*$Q3</f>
        <v>0</v>
      </c>
      <c r="X53" s="56" t="n">
        <f aca="false">Tabella52791124791618202224262830323436384042444648505254565860626468707274767880828486908892949698100102104106108110[[#This Row],[Colonna6]]*$Q3</f>
        <v>0</v>
      </c>
      <c r="Y53" s="56" t="n">
        <f aca="false">Tabella52791124791618202224262830323436384042444648505254565860626468707274767880828486908892949698100102104106108110[[#This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/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57" t="n">
        <f aca="false">M58*$Q3</f>
        <v>0</v>
      </c>
      <c r="Z58" s="138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 t="n">
        <f aca="false">J62*$Q3</f>
        <v>0</v>
      </c>
      <c r="W62" s="57" t="n">
        <f aca="false">K62*$Q3</f>
        <v>0</v>
      </c>
      <c r="X62" s="57" t="n">
        <f aca="false">L62*$Q3</f>
        <v>0</v>
      </c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/>
      <c r="M63" s="26"/>
      <c r="P63" s="9" t="s">
        <v>67</v>
      </c>
      <c r="Q63" s="9"/>
      <c r="R63" s="9"/>
      <c r="S63" s="57" t="n">
        <f aca="false">H63*$Q3</f>
        <v>0</v>
      </c>
      <c r="T63" s="57" t="n">
        <f aca="false">I63*$Q3</f>
        <v>0</v>
      </c>
      <c r="U63" s="57" t="n">
        <f aca="false">I63*$Q3</f>
        <v>0</v>
      </c>
      <c r="V63" s="57" t="n">
        <f aca="false">J63*$Q3</f>
        <v>0</v>
      </c>
      <c r="W63" s="57"/>
      <c r="X63" s="57" t="n">
        <f aca="false">L63*$Q3</f>
        <v>0</v>
      </c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</v>
      </c>
      <c r="U64" s="57" t="n">
        <f aca="false">I64*$Q3</f>
        <v>0</v>
      </c>
      <c r="V64" s="57" t="n">
        <f aca="false">J64*$Q3</f>
        <v>0</v>
      </c>
      <c r="W64" s="57"/>
      <c r="X64" s="57" t="n">
        <f aca="false">L64*$Q3</f>
        <v>0</v>
      </c>
      <c r="Y64" s="57" t="n">
        <f aca="false">M64*$Q3</f>
        <v>0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 t="n">
        <f aca="false">G67*$Q3</f>
        <v>0</v>
      </c>
      <c r="T67" s="57" t="n">
        <f aca="false">H67*$Q3</f>
        <v>0</v>
      </c>
      <c r="U67" s="57" t="n">
        <f aca="false">I67*$Q3</f>
        <v>0</v>
      </c>
      <c r="V67" s="57" t="n">
        <f aca="false">J67*$Q3</f>
        <v>0</v>
      </c>
      <c r="W67" s="57" t="n">
        <f aca="false">K67*$Q3</f>
        <v>0</v>
      </c>
      <c r="X67" s="57" t="n">
        <f aca="false">L67*$Q3</f>
        <v>0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 t="n">
        <f aca="false">I68*$Q3</f>
        <v>0</v>
      </c>
      <c r="V68" s="57" t="n">
        <f aca="false">J68*$Q3</f>
        <v>0</v>
      </c>
      <c r="W68" s="57" t="n">
        <f aca="false">K68*$Q3</f>
        <v>0</v>
      </c>
      <c r="X68" s="57" t="n">
        <f aca="false">L68*$Q3</f>
        <v>0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0</v>
      </c>
      <c r="U69" s="57" t="n">
        <f aca="false">I69*$Q3</f>
        <v>0</v>
      </c>
      <c r="V69" s="57" t="n">
        <f aca="false">J69*$Q3</f>
        <v>0</v>
      </c>
      <c r="W69" s="57" t="n">
        <f aca="false">K69*$Q3</f>
        <v>0</v>
      </c>
      <c r="X69" s="57" t="n">
        <f aca="false">L69*$Q3</f>
        <v>0</v>
      </c>
      <c r="Y69" s="57" t="n">
        <f aca="false">M69*$Q3</f>
        <v>0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61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Z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97</v>
      </c>
      <c r="I3" s="119" t="s">
        <v>2</v>
      </c>
      <c r="J3" s="4" t="n">
        <v>45264</v>
      </c>
      <c r="K3" s="5" t="n">
        <v>45270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97</v>
      </c>
      <c r="U3" s="119" t="s">
        <v>2</v>
      </c>
      <c r="V3" s="4" t="n">
        <v>45264</v>
      </c>
      <c r="W3" s="5" t="n">
        <v>45270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 t="n">
        <f aca="false">Tabella52791124791618202224262830323436384042444648505254565860626468707274767880828486908892949698100102104106108110112[[#This Row],[Colonna2]]*$Q3</f>
        <v>0</v>
      </c>
      <c r="U7" s="14"/>
      <c r="V7" s="14" t="n">
        <f aca="false">Tabella52791124791618202224262830323436384042444648505254565860626468707274767880828486908892949698100102104106108110112[[#This Row],[Colonna4]]*$Q3</f>
        <v>0</v>
      </c>
      <c r="W7" s="14" t="n">
        <f aca="false">Tabella52791124791618202224262830323436384042444648505254565860626468707274767880828486908892949698100102104106108110112[[#This Row],[Colonna5]]*$Q3</f>
        <v>0</v>
      </c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 t="n">
        <f aca="false">Tabella52791124791618202224262830323436384042444648505254565860626468707274767880828486908892949698100102104106108110112[[#This Row],[Colonna2]]*$Q3</f>
        <v>0</v>
      </c>
      <c r="U12" s="14" t="n">
        <f aca="false">Tabella52791124791618202224262830323436384042444648505254565860626468707274767880828486908892949698100102104106108110112[[#This Row],[Colonna3]]*$Q3</f>
        <v>0</v>
      </c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 t="n">
        <f aca="false">Tabella52791124791618202224262830323436384042444648505254565860626468707274767880828486908892949698100102104106108110112[[#This Row],[Colonna6]]*$Q3</f>
        <v>0</v>
      </c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Tabella52791124791618202224262830323436384042444648505254565860626468707274767880828486908892949698100102104106108110112[[#This Row],[Colonna1]]*$Q3</f>
        <v>0</v>
      </c>
      <c r="T22" s="14" t="n">
        <f aca="false">Tabella52791124791618202224262830323436384042444648505254565860626468707274767880828486908892949698100102104106108110112[[#This Row],[Colonna2]]*$Q3</f>
        <v>0</v>
      </c>
      <c r="U22" s="14" t="n">
        <f aca="false">Tabella52791124791618202224262830323436384042444648505254565860626468707274767880828486908892949698100102104106108110112[[#This Row],[Colonna3]]*$Q3</f>
        <v>0</v>
      </c>
      <c r="V22" s="14" t="n">
        <f aca="false">Tabella52791124791618202224262830323436384042444648505254565860626468707274767880828486908892949698100102104106108110112[[#This Row],[Colonna4]]*$Q3</f>
        <v>0</v>
      </c>
      <c r="W22" s="14" t="n">
        <f aca="false">Tabella52791124791618202224262830323436384042444648505254565860626468707274767880828486908892949698100102104106108110112[[#This Row],[Colonna5]]*$Q3</f>
        <v>0</v>
      </c>
      <c r="X22" s="14" t="n">
        <f aca="false">Tabella52791124791618202224262830323436384042444648505254565860626468707274767880828486908892949698100102104106108110112[[#This Row],[Colonna6]]*$Q3</f>
        <v>0</v>
      </c>
      <c r="Y22" s="14" t="n">
        <f aca="false">Tabella52791124791618202224262830323436384042444648505254565860626468707274767880828486908892949698100102104106108110112[[#This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 t="n">
        <f aca="false">Tabella52791124791618202224262830323436384042444648505254565860626468707274767880828486908892949698100102104106108110112[[#This Row],[Colonna6]]*$Q3</f>
        <v>0</v>
      </c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Tabella52791124791618202224262830323436384042444648505254565860626468707274767880828486908892949698100102104106108110112[[#This Row],[Colonna1]]*$Q3</f>
        <v>0</v>
      </c>
      <c r="T41" s="14" t="n">
        <f aca="false">Tabella52791124791618202224262830323436384042444648505254565860626468707274767880828486908892949698100102104106108110112[[#This Row],[Colonna2]]*$Q3</f>
        <v>0</v>
      </c>
      <c r="U41" s="14"/>
      <c r="V41" s="14" t="n">
        <f aca="false">Tabella52791124791618202224262830323436384042444648505254565860626468707274767880828486908892949698100102104106108110112[[#This Row],[Colonna4]]*$Q3</f>
        <v>0</v>
      </c>
      <c r="W41" s="14"/>
      <c r="X41" s="14" t="n">
        <f aca="false">Tabella52791124791618202224262830323436384042444648505254565860626468707274767880828486908892949698100102104106108110112[[#This Row],[Colonna6]]*$Q3</f>
        <v>0</v>
      </c>
      <c r="Y41" s="14" t="n">
        <f aca="false">Tabella52791124791618202224262830323436384042444648505254565860626468707274767880828486908892949698100102104106108110112[[#This Row],[Colonna7]]*$Q3</f>
        <v>0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3"/>
      <c r="L44" s="13"/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Tabella52791124791618202224262830323436384042444648505254565860626468707274767880828486908892949698100102104106108110112[[#This Row],[Colonna1]]*$Q3</f>
        <v>0</v>
      </c>
      <c r="T44" s="14" t="n">
        <f aca="false">Tabella52791124791618202224262830323436384042444648505254565860626468707274767880828486908892949698100102104106108110112[[#This Row],[Colonna2]]*$Q3</f>
        <v>0</v>
      </c>
      <c r="U44" s="14" t="n">
        <f aca="false">Tabella52791124791618202224262830323436384042444648505254565860626468707274767880828486908892949698100102104106108110112[[#This Row],[Colonna3]]*$Q3</f>
        <v>0</v>
      </c>
      <c r="V44" s="14" t="n">
        <f aca="false">Tabella52791124791618202224262830323436384042444648505254565860626468707274767880828486908892949698100102104106108110112[[#This Row],[Colonna4]]*$Q3</f>
        <v>0</v>
      </c>
      <c r="W44" s="14"/>
      <c r="X44" s="14" t="n">
        <f aca="false">Tabella52791124791618202224262830323436384042444648505254565860626468707274767880828486908892949698100102104106108110112[[#This Row],[Colonna6]]*$Q3</f>
        <v>0</v>
      </c>
      <c r="Y44" s="14" t="n">
        <f aca="false">Tabella52791124791618202224262830323436384042444648505254565860626468707274767880828486908892949698100102104106108110112[[#This Row],[Colonna7]]*$Q3</f>
        <v>0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 t="n">
        <f aca="false">Tabella52791124791618202224262830323436384042444648505254565860626468707274767880828486908892949698100102104106108110112[[#This Row],[Colonna6]]*$Q3</f>
        <v>0</v>
      </c>
      <c r="Y52" s="14" t="n">
        <f aca="false">Tabella52791124791618202224262830323436384042444648505254565860626468707274767880828486908892949698100102104106108110112[[#This Row],[Colonna7]]*$Q3</f>
        <v>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55" t="n">
        <f aca="false">SUM(L6:L52)</f>
        <v>0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Tabella52791124791618202224262830323436384042444648505254565860626468707274767880828486908892949698100102104106108110112[[#This Row],[Colonna1]]*$Q3</f>
        <v>0</v>
      </c>
      <c r="T53" s="56" t="n">
        <f aca="false">Tabella52791124791618202224262830323436384042444648505254565860626468707274767880828486908892949698100102104106108110112[[#This Row],[Colonna2]]*$Q3</f>
        <v>0</v>
      </c>
      <c r="U53" s="56" t="n">
        <f aca="false">Tabella52791124791618202224262830323436384042444648505254565860626468707274767880828486908892949698100102104106108110112[[#This Row],[Colonna3]]*$Q3</f>
        <v>0</v>
      </c>
      <c r="V53" s="56" t="n">
        <f aca="false">Tabella52791124791618202224262830323436384042444648505254565860626468707274767880828486908892949698100102104106108110112[[#This Row],[Colonna4]]*$Q3</f>
        <v>0</v>
      </c>
      <c r="W53" s="56" t="n">
        <f aca="false">Tabella52791124791618202224262830323436384042444648505254565860626468707274767880828486908892949698100102104106108110112[[#This Row],[Colonna5]]*$Q3</f>
        <v>0</v>
      </c>
      <c r="X53" s="56" t="n">
        <f aca="false">Tabella52791124791618202224262830323436384042444648505254565860626468707274767880828486908892949698100102104106108110112[[#This Row],[Colonna6]]*$Q3</f>
        <v>0</v>
      </c>
      <c r="Y53" s="56" t="n">
        <f aca="false">Tabella52791124791618202224262830323436384042444648505254565860626468707274767880828486908892949698100102104106108110112[[#This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/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57" t="n">
        <f aca="false">M58*$Q3</f>
        <v>0</v>
      </c>
      <c r="Z58" s="138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 t="n">
        <f aca="false">J62*$Q3</f>
        <v>0</v>
      </c>
      <c r="W62" s="57" t="n">
        <f aca="false">K62*$Q3</f>
        <v>0</v>
      </c>
      <c r="X62" s="57" t="n">
        <f aca="false">L62*$Q3</f>
        <v>0</v>
      </c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/>
      <c r="M63" s="26"/>
      <c r="P63" s="9" t="s">
        <v>67</v>
      </c>
      <c r="Q63" s="9"/>
      <c r="R63" s="9"/>
      <c r="S63" s="57" t="n">
        <f aca="false">H63*$Q3</f>
        <v>0</v>
      </c>
      <c r="T63" s="57" t="n">
        <f aca="false">I63*$Q3</f>
        <v>0</v>
      </c>
      <c r="U63" s="57" t="n">
        <f aca="false">I63*$Q3</f>
        <v>0</v>
      </c>
      <c r="V63" s="57" t="n">
        <f aca="false">J63*$Q3</f>
        <v>0</v>
      </c>
      <c r="W63" s="57"/>
      <c r="X63" s="57" t="n">
        <f aca="false">L63*$Q3</f>
        <v>0</v>
      </c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</v>
      </c>
      <c r="U64" s="57" t="n">
        <f aca="false">I64*$Q3</f>
        <v>0</v>
      </c>
      <c r="V64" s="57" t="n">
        <f aca="false">J64*$Q3</f>
        <v>0</v>
      </c>
      <c r="W64" s="57"/>
      <c r="X64" s="57" t="n">
        <f aca="false">L64*$Q3</f>
        <v>0</v>
      </c>
      <c r="Y64" s="57" t="n">
        <f aca="false">M64*$Q3</f>
        <v>0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 t="n">
        <f aca="false">G67*$Q3</f>
        <v>0</v>
      </c>
      <c r="T67" s="57" t="n">
        <f aca="false">H67*$Q3</f>
        <v>0</v>
      </c>
      <c r="U67" s="57" t="n">
        <f aca="false">I67*$Q3</f>
        <v>0</v>
      </c>
      <c r="V67" s="57" t="n">
        <f aca="false">J67*$Q3</f>
        <v>0</v>
      </c>
      <c r="W67" s="57" t="n">
        <f aca="false">K67*$Q3</f>
        <v>0</v>
      </c>
      <c r="X67" s="57" t="n">
        <f aca="false">L67*$Q3</f>
        <v>0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 t="n">
        <f aca="false">I68*$Q3</f>
        <v>0</v>
      </c>
      <c r="V68" s="57" t="n">
        <f aca="false">J68*$Q3</f>
        <v>0</v>
      </c>
      <c r="W68" s="57" t="n">
        <f aca="false">K68*$Q3</f>
        <v>0</v>
      </c>
      <c r="X68" s="57" t="n">
        <f aca="false">L68*$Q3</f>
        <v>0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0</v>
      </c>
      <c r="U69" s="57" t="n">
        <f aca="false">I69*$Q3</f>
        <v>0</v>
      </c>
      <c r="V69" s="57" t="n">
        <f aca="false">J69*$Q3</f>
        <v>0</v>
      </c>
      <c r="W69" s="57" t="n">
        <f aca="false">K69*$Q3</f>
        <v>0</v>
      </c>
      <c r="X69" s="57" t="n">
        <f aca="false">L69*$Q3</f>
        <v>0</v>
      </c>
      <c r="Y69" s="57" t="n">
        <f aca="false">M69*$Q3</f>
        <v>0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61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Z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97</v>
      </c>
      <c r="I3" s="119" t="s">
        <v>2</v>
      </c>
      <c r="J3" s="4" t="n">
        <v>45271</v>
      </c>
      <c r="K3" s="5" t="n">
        <v>45277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97</v>
      </c>
      <c r="U3" s="119" t="s">
        <v>2</v>
      </c>
      <c r="V3" s="4" t="n">
        <v>45271</v>
      </c>
      <c r="W3" s="5" t="n">
        <v>45277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 t="n">
        <f aca="false">Tabella52791124791618202224262830323436384042444648505254565860626468707274767880828486908892949698100102104106108110112114[[#This Row],[Colonna2]]*$Q3</f>
        <v>0</v>
      </c>
      <c r="U7" s="14"/>
      <c r="V7" s="14" t="n">
        <f aca="false">Tabella52791124791618202224262830323436384042444648505254565860626468707274767880828486908892949698100102104106108110112114[[#This Row],[Colonna4]]*$Q3</f>
        <v>0</v>
      </c>
      <c r="W7" s="14" t="n">
        <f aca="false">Tabella52791124791618202224262830323436384042444648505254565860626468707274767880828486908892949698100102104106108110112114[[#This Row],[Colonna5]]*$Q3</f>
        <v>0</v>
      </c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 t="n">
        <f aca="false">Tabella52791124791618202224262830323436384042444648505254565860626468707274767880828486908892949698100102104106108110112114[[#This Row],[Colonna2]]*$Q3</f>
        <v>0</v>
      </c>
      <c r="U12" s="14" t="n">
        <f aca="false">Tabella52791124791618202224262830323436384042444648505254565860626468707274767880828486908892949698100102104106108110112114[[#This Row],[Colonna3]]*$Q3</f>
        <v>0</v>
      </c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 t="n">
        <f aca="false">Tabella52791124791618202224262830323436384042444648505254565860626468707274767880828486908892949698100102104106108110112114[[#This Row],[Colonna6]]*$Q3</f>
        <v>0</v>
      </c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Tabella52791124791618202224262830323436384042444648505254565860626468707274767880828486908892949698100102104106108110112114[[#This Row],[Colonna1]]*$Q3</f>
        <v>0</v>
      </c>
      <c r="T22" s="14" t="n">
        <f aca="false">Tabella52791124791618202224262830323436384042444648505254565860626468707274767880828486908892949698100102104106108110112114[[#This Row],[Colonna2]]*$Q3</f>
        <v>0</v>
      </c>
      <c r="U22" s="14" t="n">
        <f aca="false">Tabella52791124791618202224262830323436384042444648505254565860626468707274767880828486908892949698100102104106108110112114[[#This Row],[Colonna3]]*$Q3</f>
        <v>0</v>
      </c>
      <c r="V22" s="14" t="n">
        <f aca="false">Tabella52791124791618202224262830323436384042444648505254565860626468707274767880828486908892949698100102104106108110112114[[#This Row],[Colonna4]]*$Q3</f>
        <v>0</v>
      </c>
      <c r="W22" s="14" t="n">
        <f aca="false">Tabella52791124791618202224262830323436384042444648505254565860626468707274767880828486908892949698100102104106108110112114[[#This Row],[Colonna5]]*$Q3</f>
        <v>0</v>
      </c>
      <c r="X22" s="14" t="n">
        <f aca="false">Tabella52791124791618202224262830323436384042444648505254565860626468707274767880828486908892949698100102104106108110112114[[#This Row],[Colonna6]]*$Q3</f>
        <v>0</v>
      </c>
      <c r="Y22" s="14" t="n">
        <f aca="false">Tabella52791124791618202224262830323436384042444648505254565860626468707274767880828486908892949698100102104106108110112114[[#This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 t="n">
        <f aca="false">Tabella52791124791618202224262830323436384042444648505254565860626468707274767880828486908892949698100102104106108110112114[[#This Row],[Colonna6]]*$Q3</f>
        <v>0</v>
      </c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Tabella52791124791618202224262830323436384042444648505254565860626468707274767880828486908892949698100102104106108110112114[[#This Row],[Colonna1]]*$Q3</f>
        <v>0</v>
      </c>
      <c r="T41" s="14" t="n">
        <f aca="false">Tabella52791124791618202224262830323436384042444648505254565860626468707274767880828486908892949698100102104106108110112114[[#This Row],[Colonna2]]*$Q3</f>
        <v>0</v>
      </c>
      <c r="U41" s="14"/>
      <c r="V41" s="14" t="n">
        <f aca="false">Tabella52791124791618202224262830323436384042444648505254565860626468707274767880828486908892949698100102104106108110112114[[#This Row],[Colonna4]]*$Q3</f>
        <v>0</v>
      </c>
      <c r="W41" s="14"/>
      <c r="X41" s="14" t="n">
        <f aca="false">Tabella52791124791618202224262830323436384042444648505254565860626468707274767880828486908892949698100102104106108110112114[[#This Row],[Colonna6]]*$Q3</f>
        <v>0</v>
      </c>
      <c r="Y41" s="14" t="n">
        <f aca="false">Tabella52791124791618202224262830323436384042444648505254565860626468707274767880828486908892949698100102104106108110112114[[#This Row],[Colonna7]]*$Q3</f>
        <v>0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3"/>
      <c r="L44" s="13"/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Tabella52791124791618202224262830323436384042444648505254565860626468707274767880828486908892949698100102104106108110112114[[#This Row],[Colonna1]]*$Q3</f>
        <v>0</v>
      </c>
      <c r="T44" s="14" t="n">
        <f aca="false">Tabella52791124791618202224262830323436384042444648505254565860626468707274767880828486908892949698100102104106108110112114[[#This Row],[Colonna2]]*$Q3</f>
        <v>0</v>
      </c>
      <c r="U44" s="14" t="n">
        <f aca="false">Tabella52791124791618202224262830323436384042444648505254565860626468707274767880828486908892949698100102104106108110112114[[#This Row],[Colonna3]]*$Q3</f>
        <v>0</v>
      </c>
      <c r="V44" s="14" t="n">
        <f aca="false">Tabella52791124791618202224262830323436384042444648505254565860626468707274767880828486908892949698100102104106108110112114[[#This Row],[Colonna4]]*$Q3</f>
        <v>0</v>
      </c>
      <c r="W44" s="14"/>
      <c r="X44" s="14" t="n">
        <f aca="false">Tabella52791124791618202224262830323436384042444648505254565860626468707274767880828486908892949698100102104106108110112114[[#This Row],[Colonna6]]*$Q3</f>
        <v>0</v>
      </c>
      <c r="Y44" s="14" t="n">
        <f aca="false">Tabella52791124791618202224262830323436384042444648505254565860626468707274767880828486908892949698100102104106108110112114[[#This Row],[Colonna7]]*$Q3</f>
        <v>0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 t="n">
        <f aca="false">Tabella52791124791618202224262830323436384042444648505254565860626468707274767880828486908892949698100102104106108110112114[[#This Row],[Colonna6]]*$Q3</f>
        <v>0</v>
      </c>
      <c r="Y52" s="14" t="n">
        <f aca="false">Tabella52791124791618202224262830323436384042444648505254565860626468707274767880828486908892949698100102104106108110112114[[#This Row],[Colonna7]]*$Q3</f>
        <v>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55" t="n">
        <f aca="false">SUM(L6:L52)</f>
        <v>0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Tabella52791124791618202224262830323436384042444648505254565860626468707274767880828486908892949698100102104106108110112114[[#This Row],[Colonna1]]*$Q3</f>
        <v>0</v>
      </c>
      <c r="T53" s="56" t="n">
        <f aca="false">Tabella52791124791618202224262830323436384042444648505254565860626468707274767880828486908892949698100102104106108110112114[[#This Row],[Colonna2]]*$Q3</f>
        <v>0</v>
      </c>
      <c r="U53" s="56" t="n">
        <f aca="false">Tabella52791124791618202224262830323436384042444648505254565860626468707274767880828486908892949698100102104106108110112114[[#This Row],[Colonna3]]*$Q3</f>
        <v>0</v>
      </c>
      <c r="V53" s="56" t="n">
        <f aca="false">Tabella52791124791618202224262830323436384042444648505254565860626468707274767880828486908892949698100102104106108110112114[[#This Row],[Colonna4]]*$Q3</f>
        <v>0</v>
      </c>
      <c r="W53" s="56" t="n">
        <f aca="false">Tabella52791124791618202224262830323436384042444648505254565860626468707274767880828486908892949698100102104106108110112114[[#This Row],[Colonna5]]*$Q3</f>
        <v>0</v>
      </c>
      <c r="X53" s="56" t="n">
        <f aca="false">Tabella52791124791618202224262830323436384042444648505254565860626468707274767880828486908892949698100102104106108110112114[[#This Row],[Colonna6]]*$Q3</f>
        <v>0</v>
      </c>
      <c r="Y53" s="56" t="n">
        <f aca="false">Tabella52791124791618202224262830323436384042444648505254565860626468707274767880828486908892949698100102104106108110112114[[#This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/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57" t="n">
        <f aca="false">M58*$Q3</f>
        <v>0</v>
      </c>
      <c r="Z58" s="138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 t="n">
        <f aca="false">J62*$Q3</f>
        <v>0</v>
      </c>
      <c r="W62" s="57" t="n">
        <f aca="false">K62*$Q3</f>
        <v>0</v>
      </c>
      <c r="X62" s="57" t="n">
        <f aca="false">L62*$Q3</f>
        <v>0</v>
      </c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/>
      <c r="M63" s="26"/>
      <c r="P63" s="9" t="s">
        <v>67</v>
      </c>
      <c r="Q63" s="9"/>
      <c r="R63" s="9"/>
      <c r="S63" s="57" t="n">
        <f aca="false">H63*$Q3</f>
        <v>0</v>
      </c>
      <c r="T63" s="57" t="n">
        <f aca="false">I63*$Q3</f>
        <v>0</v>
      </c>
      <c r="U63" s="57" t="n">
        <f aca="false">I63*$Q3</f>
        <v>0</v>
      </c>
      <c r="V63" s="57" t="n">
        <f aca="false">J63*$Q3</f>
        <v>0</v>
      </c>
      <c r="W63" s="57"/>
      <c r="X63" s="57" t="n">
        <f aca="false">L63*$Q3</f>
        <v>0</v>
      </c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</v>
      </c>
      <c r="U64" s="57" t="n">
        <f aca="false">I64*$Q3</f>
        <v>0</v>
      </c>
      <c r="V64" s="57" t="n">
        <f aca="false">J64*$Q3</f>
        <v>0</v>
      </c>
      <c r="W64" s="57"/>
      <c r="X64" s="57" t="n">
        <f aca="false">L64*$Q3</f>
        <v>0</v>
      </c>
      <c r="Y64" s="57" t="n">
        <f aca="false">M64*$Q3</f>
        <v>0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 t="n">
        <f aca="false">G67*$Q3</f>
        <v>0</v>
      </c>
      <c r="T67" s="57" t="n">
        <f aca="false">H67*$Q3</f>
        <v>0</v>
      </c>
      <c r="U67" s="57" t="n">
        <f aca="false">I67*$Q3</f>
        <v>0</v>
      </c>
      <c r="V67" s="57" t="n">
        <f aca="false">J67*$Q3</f>
        <v>0</v>
      </c>
      <c r="W67" s="57" t="n">
        <f aca="false">K67*$Q3</f>
        <v>0</v>
      </c>
      <c r="X67" s="57" t="n">
        <f aca="false">L67*$Q3</f>
        <v>0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 t="n">
        <f aca="false">I68*$Q3</f>
        <v>0</v>
      </c>
      <c r="V68" s="57" t="n">
        <f aca="false">J68*$Q3</f>
        <v>0</v>
      </c>
      <c r="W68" s="57" t="n">
        <f aca="false">K68*$Q3</f>
        <v>0</v>
      </c>
      <c r="X68" s="57" t="n">
        <f aca="false">L68*$Q3</f>
        <v>0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0</v>
      </c>
      <c r="U69" s="57" t="n">
        <f aca="false">I69*$Q3</f>
        <v>0</v>
      </c>
      <c r="V69" s="57" t="n">
        <f aca="false">J69*$Q3</f>
        <v>0</v>
      </c>
      <c r="W69" s="57" t="n">
        <f aca="false">K69*$Q3</f>
        <v>0</v>
      </c>
      <c r="X69" s="57" t="n">
        <f aca="false">L69*$Q3</f>
        <v>0</v>
      </c>
      <c r="Y69" s="57" t="n">
        <f aca="false">M69*$Q3</f>
        <v>0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61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Z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97</v>
      </c>
      <c r="I3" s="119" t="s">
        <v>2</v>
      </c>
      <c r="J3" s="4" t="n">
        <v>45278</v>
      </c>
      <c r="K3" s="5" t="n">
        <v>45284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97</v>
      </c>
      <c r="U3" s="119" t="s">
        <v>2</v>
      </c>
      <c r="V3" s="4" t="n">
        <v>45278</v>
      </c>
      <c r="W3" s="5" t="n">
        <v>45284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 t="n">
        <f aca="false">Tabella52791124791618202224262830323436384042444648505254565860626468707274767880828486908892949698100102104106108110112114116[[#This Row],[Colonna2]]*$Q3</f>
        <v>0</v>
      </c>
      <c r="U7" s="14"/>
      <c r="V7" s="14" t="n">
        <f aca="false">Tabella52791124791618202224262830323436384042444648505254565860626468707274767880828486908892949698100102104106108110112114116[[#This Row],[Colonna4]]*$Q3</f>
        <v>0</v>
      </c>
      <c r="W7" s="14" t="n">
        <f aca="false">Tabella52791124791618202224262830323436384042444648505254565860626468707274767880828486908892949698100102104106108110112114116[[#This Row],[Colonna5]]*$Q3</f>
        <v>0</v>
      </c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 t="n">
        <f aca="false">Tabella52791124791618202224262830323436384042444648505254565860626468707274767880828486908892949698100102104106108110112114116[[#This Row],[Colonna2]]*$Q3</f>
        <v>0</v>
      </c>
      <c r="U12" s="14" t="n">
        <f aca="false">Tabella52791124791618202224262830323436384042444648505254565860626468707274767880828486908892949698100102104106108110112114116[[#This Row],[Colonna3]]*$Q3</f>
        <v>0</v>
      </c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 t="n">
        <f aca="false">Tabella52791124791618202224262830323436384042444648505254565860626468707274767880828486908892949698100102104106108110112114116[[#This Row],[Colonna6]]*$Q3</f>
        <v>0</v>
      </c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Tabella52791124791618202224262830323436384042444648505254565860626468707274767880828486908892949698100102104106108110112114116[[#This Row],[Colonna1]]*$Q3</f>
        <v>0</v>
      </c>
      <c r="T22" s="14" t="n">
        <f aca="false">Tabella52791124791618202224262830323436384042444648505254565860626468707274767880828486908892949698100102104106108110112114116[[#This Row],[Colonna2]]*$Q3</f>
        <v>0</v>
      </c>
      <c r="U22" s="14" t="n">
        <f aca="false">Tabella52791124791618202224262830323436384042444648505254565860626468707274767880828486908892949698100102104106108110112114116[[#This Row],[Colonna3]]*$Q3</f>
        <v>0</v>
      </c>
      <c r="V22" s="14" t="n">
        <f aca="false">Tabella52791124791618202224262830323436384042444648505254565860626468707274767880828486908892949698100102104106108110112114116[[#This Row],[Colonna4]]*$Q3</f>
        <v>0</v>
      </c>
      <c r="W22" s="14" t="n">
        <f aca="false">Tabella52791124791618202224262830323436384042444648505254565860626468707274767880828486908892949698100102104106108110112114116[[#This Row],[Colonna5]]*$Q3</f>
        <v>0</v>
      </c>
      <c r="X22" s="14" t="n">
        <f aca="false">Tabella52791124791618202224262830323436384042444648505254565860626468707274767880828486908892949698100102104106108110112114116[[#This Row],[Colonna6]]*$Q3</f>
        <v>0</v>
      </c>
      <c r="Y22" s="14" t="n">
        <f aca="false">Tabella52791124791618202224262830323436384042444648505254565860626468707274767880828486908892949698100102104106108110112114116[[#This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 t="n">
        <f aca="false">Tabella52791124791618202224262830323436384042444648505254565860626468707274767880828486908892949698100102104106108110112114116[[#This Row],[Colonna6]]*$Q3</f>
        <v>0</v>
      </c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Tabella52791124791618202224262830323436384042444648505254565860626468707274767880828486908892949698100102104106108110112114116[[#This Row],[Colonna1]]*$Q3</f>
        <v>0</v>
      </c>
      <c r="T41" s="14" t="n">
        <f aca="false">Tabella52791124791618202224262830323436384042444648505254565860626468707274767880828486908892949698100102104106108110112114116[[#This Row],[Colonna2]]*$Q3</f>
        <v>0</v>
      </c>
      <c r="U41" s="14"/>
      <c r="V41" s="14" t="n">
        <f aca="false">Tabella52791124791618202224262830323436384042444648505254565860626468707274767880828486908892949698100102104106108110112114116[[#This Row],[Colonna4]]*$Q3</f>
        <v>0</v>
      </c>
      <c r="W41" s="14"/>
      <c r="X41" s="14" t="n">
        <f aca="false">Tabella52791124791618202224262830323436384042444648505254565860626468707274767880828486908892949698100102104106108110112114116[[#This Row],[Colonna6]]*$Q3</f>
        <v>0</v>
      </c>
      <c r="Y41" s="14" t="n">
        <f aca="false">Tabella52791124791618202224262830323436384042444648505254565860626468707274767880828486908892949698100102104106108110112114116[[#This Row],[Colonna7]]*$Q3</f>
        <v>0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3"/>
      <c r="L44" s="13"/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Tabella52791124791618202224262830323436384042444648505254565860626468707274767880828486908892949698100102104106108110112114116[[#This Row],[Colonna1]]*$Q3</f>
        <v>0</v>
      </c>
      <c r="T44" s="14" t="n">
        <f aca="false">Tabella52791124791618202224262830323436384042444648505254565860626468707274767880828486908892949698100102104106108110112114116[[#This Row],[Colonna2]]*$Q3</f>
        <v>0</v>
      </c>
      <c r="U44" s="14" t="n">
        <f aca="false">Tabella52791124791618202224262830323436384042444648505254565860626468707274767880828486908892949698100102104106108110112114116[[#This Row],[Colonna3]]*$Q3</f>
        <v>0</v>
      </c>
      <c r="V44" s="14" t="n">
        <f aca="false">Tabella52791124791618202224262830323436384042444648505254565860626468707274767880828486908892949698100102104106108110112114116[[#This Row],[Colonna4]]*$Q3</f>
        <v>0</v>
      </c>
      <c r="W44" s="14"/>
      <c r="X44" s="14" t="n">
        <f aca="false">Tabella52791124791618202224262830323436384042444648505254565860626468707274767880828486908892949698100102104106108110112114116[[#This Row],[Colonna6]]*$Q3</f>
        <v>0</v>
      </c>
      <c r="Y44" s="14" t="n">
        <f aca="false">Tabella52791124791618202224262830323436384042444648505254565860626468707274767880828486908892949698100102104106108110112114116[[#This Row],[Colonna7]]*$Q3</f>
        <v>0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 t="n">
        <f aca="false">Tabella52791124791618202224262830323436384042444648505254565860626468707274767880828486908892949698100102104106108110112114116[[#This Row],[Colonna6]]*$Q3</f>
        <v>0</v>
      </c>
      <c r="Y52" s="14" t="n">
        <f aca="false">Tabella52791124791618202224262830323436384042444648505254565860626468707274767880828486908892949698100102104106108110112114116[[#This Row],[Colonna7]]*$Q3</f>
        <v>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55" t="n">
        <f aca="false">SUM(L6:L52)</f>
        <v>0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Tabella52791124791618202224262830323436384042444648505254565860626468707274767880828486908892949698100102104106108110112114116[[#This Row],[Colonna1]]*$Q3</f>
        <v>0</v>
      </c>
      <c r="T53" s="56" t="n">
        <f aca="false">Tabella52791124791618202224262830323436384042444648505254565860626468707274767880828486908892949698100102104106108110112114116[[#This Row],[Colonna2]]*$Q3</f>
        <v>0</v>
      </c>
      <c r="U53" s="56" t="n">
        <f aca="false">Tabella52791124791618202224262830323436384042444648505254565860626468707274767880828486908892949698100102104106108110112114116[[#This Row],[Colonna3]]*$Q3</f>
        <v>0</v>
      </c>
      <c r="V53" s="56" t="n">
        <f aca="false">Tabella52791124791618202224262830323436384042444648505254565860626468707274767880828486908892949698100102104106108110112114116[[#This Row],[Colonna4]]*$Q3</f>
        <v>0</v>
      </c>
      <c r="W53" s="56" t="n">
        <f aca="false">Tabella52791124791618202224262830323436384042444648505254565860626468707274767880828486908892949698100102104106108110112114116[[#This Row],[Colonna5]]*$Q3</f>
        <v>0</v>
      </c>
      <c r="X53" s="56" t="n">
        <f aca="false">Tabella52791124791618202224262830323436384042444648505254565860626468707274767880828486908892949698100102104106108110112114116[[#This Row],[Colonna6]]*$Q3</f>
        <v>0</v>
      </c>
      <c r="Y53" s="56" t="n">
        <f aca="false">Tabella52791124791618202224262830323436384042444648505254565860626468707274767880828486908892949698100102104106108110112114116[[#This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/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57" t="n">
        <f aca="false">M58*$Q3</f>
        <v>0</v>
      </c>
      <c r="Z58" s="138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 t="n">
        <f aca="false">J62*$Q3</f>
        <v>0</v>
      </c>
      <c r="W62" s="57" t="n">
        <f aca="false">K62*$Q3</f>
        <v>0</v>
      </c>
      <c r="X62" s="57" t="n">
        <f aca="false">L62*$Q3</f>
        <v>0</v>
      </c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/>
      <c r="M63" s="26"/>
      <c r="P63" s="9" t="s">
        <v>67</v>
      </c>
      <c r="Q63" s="9"/>
      <c r="R63" s="9"/>
      <c r="S63" s="57" t="n">
        <f aca="false">H63*$Q3</f>
        <v>0</v>
      </c>
      <c r="T63" s="57" t="n">
        <f aca="false">I63*$Q3</f>
        <v>0</v>
      </c>
      <c r="U63" s="57" t="n">
        <f aca="false">I63*$Q3</f>
        <v>0</v>
      </c>
      <c r="V63" s="57" t="n">
        <f aca="false">J63*$Q3</f>
        <v>0</v>
      </c>
      <c r="W63" s="57"/>
      <c r="X63" s="57" t="n">
        <f aca="false">L63*$Q3</f>
        <v>0</v>
      </c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</v>
      </c>
      <c r="U64" s="57" t="n">
        <f aca="false">I64*$Q3</f>
        <v>0</v>
      </c>
      <c r="V64" s="57" t="n">
        <f aca="false">J64*$Q3</f>
        <v>0</v>
      </c>
      <c r="W64" s="57"/>
      <c r="X64" s="57" t="n">
        <f aca="false">L64*$Q3</f>
        <v>0</v>
      </c>
      <c r="Y64" s="57" t="n">
        <f aca="false">M64*$Q3</f>
        <v>0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 t="n">
        <f aca="false">G67*$Q3</f>
        <v>0</v>
      </c>
      <c r="T67" s="57" t="n">
        <f aca="false">H67*$Q3</f>
        <v>0</v>
      </c>
      <c r="U67" s="57" t="n">
        <f aca="false">I67*$Q3</f>
        <v>0</v>
      </c>
      <c r="V67" s="57" t="n">
        <f aca="false">J67*$Q3</f>
        <v>0</v>
      </c>
      <c r="W67" s="57" t="n">
        <f aca="false">K67*$Q3</f>
        <v>0</v>
      </c>
      <c r="X67" s="57" t="n">
        <f aca="false">L67*$Q3</f>
        <v>0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 t="n">
        <f aca="false">I68*$Q3</f>
        <v>0</v>
      </c>
      <c r="V68" s="57" t="n">
        <f aca="false">J68*$Q3</f>
        <v>0</v>
      </c>
      <c r="W68" s="57" t="n">
        <f aca="false">K68*$Q3</f>
        <v>0</v>
      </c>
      <c r="X68" s="57" t="n">
        <f aca="false">L68*$Q3</f>
        <v>0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0</v>
      </c>
      <c r="U69" s="57" t="n">
        <f aca="false">I69*$Q3</f>
        <v>0</v>
      </c>
      <c r="V69" s="57" t="n">
        <f aca="false">J69*$Q3</f>
        <v>0</v>
      </c>
      <c r="W69" s="57" t="n">
        <f aca="false">K69*$Q3</f>
        <v>0</v>
      </c>
      <c r="X69" s="57" t="n">
        <f aca="false">L69*$Q3</f>
        <v>0</v>
      </c>
      <c r="Y69" s="57" t="n">
        <f aca="false">M69*$Q3</f>
        <v>0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61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Z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97</v>
      </c>
      <c r="I3" s="119" t="s">
        <v>2</v>
      </c>
      <c r="J3" s="4" t="n">
        <v>45285</v>
      </c>
      <c r="K3" s="5" t="n">
        <v>45291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97</v>
      </c>
      <c r="U3" s="119" t="s">
        <v>2</v>
      </c>
      <c r="V3" s="4" t="n">
        <v>45285</v>
      </c>
      <c r="W3" s="5" t="n">
        <v>45291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 t="n">
        <f aca="false">Tabella52791124791618202224262830323436384042444648505254565860626468707274767880828486908892949698100102104106108110112114116118[[#This Row],[Colonna2]]*$Q3</f>
        <v>0</v>
      </c>
      <c r="U7" s="14"/>
      <c r="V7" s="14" t="n">
        <f aca="false">Tabella52791124791618202224262830323436384042444648505254565860626468707274767880828486908892949698100102104106108110112114116118[[#This Row],[Colonna4]]*$Q3</f>
        <v>0</v>
      </c>
      <c r="W7" s="14" t="n">
        <f aca="false">Tabella52791124791618202224262830323436384042444648505254565860626468707274767880828486908892949698100102104106108110112114116118[[#This Row],[Colonna5]]*$Q3</f>
        <v>0</v>
      </c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 t="n">
        <f aca="false">Tabella52791124791618202224262830323436384042444648505254565860626468707274767880828486908892949698100102104106108110112114116118[[#This Row],[Colonna2]]*$Q3</f>
        <v>0</v>
      </c>
      <c r="U12" s="14" t="n">
        <f aca="false">Tabella52791124791618202224262830323436384042444648505254565860626468707274767880828486908892949698100102104106108110112114116118[[#This Row],[Colonna3]]*$Q3</f>
        <v>0</v>
      </c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 t="n">
        <f aca="false">Tabella52791124791618202224262830323436384042444648505254565860626468707274767880828486908892949698100102104106108110112114116118[[#This Row],[Colonna6]]*$Q3</f>
        <v>0</v>
      </c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Tabella52791124791618202224262830323436384042444648505254565860626468707274767880828486908892949698100102104106108110112114116118[[#This Row],[Colonna1]]*$Q3</f>
        <v>0</v>
      </c>
      <c r="T22" s="14" t="n">
        <f aca="false">Tabella52791124791618202224262830323436384042444648505254565860626468707274767880828486908892949698100102104106108110112114116118[[#This Row],[Colonna2]]*$Q3</f>
        <v>0</v>
      </c>
      <c r="U22" s="14" t="n">
        <f aca="false">Tabella52791124791618202224262830323436384042444648505254565860626468707274767880828486908892949698100102104106108110112114116118[[#This Row],[Colonna3]]*$Q3</f>
        <v>0</v>
      </c>
      <c r="V22" s="14" t="n">
        <f aca="false">Tabella52791124791618202224262830323436384042444648505254565860626468707274767880828486908892949698100102104106108110112114116118[[#This Row],[Colonna4]]*$Q3</f>
        <v>0</v>
      </c>
      <c r="W22" s="14" t="n">
        <f aca="false">Tabella52791124791618202224262830323436384042444648505254565860626468707274767880828486908892949698100102104106108110112114116118[[#This Row],[Colonna5]]*$Q3</f>
        <v>0</v>
      </c>
      <c r="X22" s="14" t="n">
        <f aca="false">Tabella52791124791618202224262830323436384042444648505254565860626468707274767880828486908892949698100102104106108110112114116118[[#This Row],[Colonna6]]*$Q3</f>
        <v>0</v>
      </c>
      <c r="Y22" s="14" t="n">
        <f aca="false">Tabella52791124791618202224262830323436384042444648505254565860626468707274767880828486908892949698100102104106108110112114116118[[#This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 t="n">
        <f aca="false">Tabella52791124791618202224262830323436384042444648505254565860626468707274767880828486908892949698100102104106108110112114116118[[#This Row],[Colonna6]]*$Q3</f>
        <v>0</v>
      </c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Tabella52791124791618202224262830323436384042444648505254565860626468707274767880828486908892949698100102104106108110112114116118[[#This Row],[Colonna1]]*$Q3</f>
        <v>0</v>
      </c>
      <c r="T41" s="14" t="n">
        <f aca="false">Tabella52791124791618202224262830323436384042444648505254565860626468707274767880828486908892949698100102104106108110112114116118[[#This Row],[Colonna2]]*$Q3</f>
        <v>0</v>
      </c>
      <c r="U41" s="14"/>
      <c r="V41" s="14" t="n">
        <f aca="false">Tabella52791124791618202224262830323436384042444648505254565860626468707274767880828486908892949698100102104106108110112114116118[[#This Row],[Colonna4]]*$Q3</f>
        <v>0</v>
      </c>
      <c r="W41" s="14"/>
      <c r="X41" s="14" t="n">
        <f aca="false">Tabella52791124791618202224262830323436384042444648505254565860626468707274767880828486908892949698100102104106108110112114116118[[#This Row],[Colonna6]]*$Q3</f>
        <v>0</v>
      </c>
      <c r="Y41" s="14" t="n">
        <f aca="false">Tabella52791124791618202224262830323436384042444648505254565860626468707274767880828486908892949698100102104106108110112114116118[[#This Row],[Colonna7]]*$Q3</f>
        <v>0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3"/>
      <c r="L44" s="13"/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Tabella52791124791618202224262830323436384042444648505254565860626468707274767880828486908892949698100102104106108110112114116118[[#This Row],[Colonna1]]*$Q3</f>
        <v>0</v>
      </c>
      <c r="T44" s="14" t="n">
        <f aca="false">Tabella52791124791618202224262830323436384042444648505254565860626468707274767880828486908892949698100102104106108110112114116118[[#This Row],[Colonna2]]*$Q3</f>
        <v>0</v>
      </c>
      <c r="U44" s="14" t="n">
        <f aca="false">Tabella52791124791618202224262830323436384042444648505254565860626468707274767880828486908892949698100102104106108110112114116118[[#This Row],[Colonna3]]*$Q3</f>
        <v>0</v>
      </c>
      <c r="V44" s="14" t="n">
        <f aca="false">Tabella52791124791618202224262830323436384042444648505254565860626468707274767880828486908892949698100102104106108110112114116118[[#This Row],[Colonna4]]*$Q3</f>
        <v>0</v>
      </c>
      <c r="W44" s="14"/>
      <c r="X44" s="14" t="n">
        <f aca="false">Tabella52791124791618202224262830323436384042444648505254565860626468707274767880828486908892949698100102104106108110112114116118[[#This Row],[Colonna6]]*$Q3</f>
        <v>0</v>
      </c>
      <c r="Y44" s="14" t="n">
        <f aca="false">Tabella52791124791618202224262830323436384042444648505254565860626468707274767880828486908892949698100102104106108110112114116118[[#This Row],[Colonna7]]*$Q3</f>
        <v>0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 t="n">
        <f aca="false">Tabella52791124791618202224262830323436384042444648505254565860626468707274767880828486908892949698100102104106108110112114116118[[#This Row],[Colonna6]]*$Q3</f>
        <v>0</v>
      </c>
      <c r="Y52" s="14" t="n">
        <f aca="false">Tabella52791124791618202224262830323436384042444648505254565860626468707274767880828486908892949698100102104106108110112114116118[[#This Row],[Colonna7]]*$Q3</f>
        <v>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55" t="n">
        <f aca="false">SUM(L6:L52)</f>
        <v>0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Tabella52791124791618202224262830323436384042444648505254565860626468707274767880828486908892949698100102104106108110112114116118[[#This Row],[Colonna1]]*$Q3</f>
        <v>0</v>
      </c>
      <c r="T53" s="56" t="n">
        <f aca="false">Tabella52791124791618202224262830323436384042444648505254565860626468707274767880828486908892949698100102104106108110112114116118[[#This Row],[Colonna2]]*$Q3</f>
        <v>0</v>
      </c>
      <c r="U53" s="56" t="n">
        <f aca="false">Tabella52791124791618202224262830323436384042444648505254565860626468707274767880828486908892949698100102104106108110112114116118[[#This Row],[Colonna3]]*$Q3</f>
        <v>0</v>
      </c>
      <c r="V53" s="56" t="n">
        <f aca="false">Tabella52791124791618202224262830323436384042444648505254565860626468707274767880828486908892949698100102104106108110112114116118[[#This Row],[Colonna4]]*$Q3</f>
        <v>0</v>
      </c>
      <c r="W53" s="56" t="n">
        <f aca="false">Tabella52791124791618202224262830323436384042444648505254565860626468707274767880828486908892949698100102104106108110112114116118[[#This Row],[Colonna5]]*$Q3</f>
        <v>0</v>
      </c>
      <c r="X53" s="56" t="n">
        <f aca="false">Tabella52791124791618202224262830323436384042444648505254565860626468707274767880828486908892949698100102104106108110112114116118[[#This Row],[Colonna6]]*$Q3</f>
        <v>0</v>
      </c>
      <c r="Y53" s="56" t="n">
        <f aca="false">Tabella52791124791618202224262830323436384042444648505254565860626468707274767880828486908892949698100102104106108110112114116118[[#This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/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57" t="n">
        <f aca="false">M58*$Q3</f>
        <v>0</v>
      </c>
      <c r="Z58" s="138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 t="n">
        <f aca="false">J62*$Q3</f>
        <v>0</v>
      </c>
      <c r="W62" s="57" t="n">
        <f aca="false">K62*$Q3</f>
        <v>0</v>
      </c>
      <c r="X62" s="57" t="n">
        <f aca="false">L62*$Q3</f>
        <v>0</v>
      </c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/>
      <c r="M63" s="26"/>
      <c r="P63" s="9" t="s">
        <v>67</v>
      </c>
      <c r="Q63" s="9"/>
      <c r="R63" s="9"/>
      <c r="S63" s="57" t="n">
        <f aca="false">H63*$Q3</f>
        <v>0</v>
      </c>
      <c r="T63" s="57" t="n">
        <f aca="false">I63*$Q3</f>
        <v>0</v>
      </c>
      <c r="U63" s="57" t="n">
        <f aca="false">I63*$Q3</f>
        <v>0</v>
      </c>
      <c r="V63" s="57" t="n">
        <f aca="false">J63*$Q3</f>
        <v>0</v>
      </c>
      <c r="W63" s="57"/>
      <c r="X63" s="57" t="n">
        <f aca="false">L63*$Q3</f>
        <v>0</v>
      </c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</v>
      </c>
      <c r="U64" s="57" t="n">
        <f aca="false">I64*$Q3</f>
        <v>0</v>
      </c>
      <c r="V64" s="57" t="n">
        <f aca="false">J64*$Q3</f>
        <v>0</v>
      </c>
      <c r="W64" s="57"/>
      <c r="X64" s="57" t="n">
        <f aca="false">L64*$Q3</f>
        <v>0</v>
      </c>
      <c r="Y64" s="57" t="n">
        <f aca="false">M64*$Q3</f>
        <v>0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 t="n">
        <f aca="false">G67*$Q3</f>
        <v>0</v>
      </c>
      <c r="T67" s="57" t="n">
        <f aca="false">H67*$Q3</f>
        <v>0</v>
      </c>
      <c r="U67" s="57" t="n">
        <f aca="false">I67*$Q3</f>
        <v>0</v>
      </c>
      <c r="V67" s="57" t="n">
        <f aca="false">J67*$Q3</f>
        <v>0</v>
      </c>
      <c r="W67" s="57" t="n">
        <f aca="false">K67*$Q3</f>
        <v>0</v>
      </c>
      <c r="X67" s="57" t="n">
        <f aca="false">L67*$Q3</f>
        <v>0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 t="n">
        <f aca="false">I68*$Q3</f>
        <v>0</v>
      </c>
      <c r="V68" s="57" t="n">
        <f aca="false">J68*$Q3</f>
        <v>0</v>
      </c>
      <c r="W68" s="57" t="n">
        <f aca="false">K68*$Q3</f>
        <v>0</v>
      </c>
      <c r="X68" s="57" t="n">
        <f aca="false">L68*$Q3</f>
        <v>0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0</v>
      </c>
      <c r="U69" s="57" t="n">
        <f aca="false">I69*$Q3</f>
        <v>0</v>
      </c>
      <c r="V69" s="57" t="n">
        <f aca="false">J69*$Q3</f>
        <v>0</v>
      </c>
      <c r="W69" s="57" t="n">
        <f aca="false">K69*$Q3</f>
        <v>0</v>
      </c>
      <c r="X69" s="57" t="n">
        <f aca="false">L69*$Q3</f>
        <v>0</v>
      </c>
      <c r="Y69" s="57" t="n">
        <f aca="false">M69*$Q3</f>
        <v>0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61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Z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B4" activeCellId="0" sqref="AB4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98</v>
      </c>
      <c r="I3" s="119" t="s">
        <v>2</v>
      </c>
      <c r="J3" s="4" t="n">
        <v>45292</v>
      </c>
      <c r="K3" s="5" t="n">
        <v>45298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98</v>
      </c>
      <c r="U3" s="119" t="s">
        <v>2</v>
      </c>
      <c r="V3" s="4" t="n">
        <v>45292</v>
      </c>
      <c r="W3" s="5" t="n">
        <v>45298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 t="n">
        <f aca="false">Tabella52791124791618202224262830323436384042444648505254565860626468707274767880828486908892949698100102104106108110112114116118120[[#This Row],[Colonna2]]*$Q3</f>
        <v>0</v>
      </c>
      <c r="U7" s="14"/>
      <c r="V7" s="14" t="n">
        <f aca="false">Tabella52791124791618202224262830323436384042444648505254565860626468707274767880828486908892949698100102104106108110112114116118120[[#This Row],[Colonna4]]*$Q3</f>
        <v>0</v>
      </c>
      <c r="W7" s="14" t="n">
        <f aca="false">Tabella52791124791618202224262830323436384042444648505254565860626468707274767880828486908892949698100102104106108110112114116118120[[#This Row],[Colonna5]]*$Q3</f>
        <v>0</v>
      </c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 t="n">
        <f aca="false">Tabella52791124791618202224262830323436384042444648505254565860626468707274767880828486908892949698100102104106108110112114116118120[[#This Row],[Colonna2]]*$Q3</f>
        <v>0</v>
      </c>
      <c r="U12" s="14" t="n">
        <f aca="false">Tabella52791124791618202224262830323436384042444648505254565860626468707274767880828486908892949698100102104106108110112114116118120[[#This Row],[Colonna3]]*$Q3</f>
        <v>0</v>
      </c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 t="n">
        <f aca="false">Tabella52791124791618202224262830323436384042444648505254565860626468707274767880828486908892949698100102104106108110112114116118120[[#This Row],[Colonna6]]*$Q3</f>
        <v>0</v>
      </c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Tabella52791124791618202224262830323436384042444648505254565860626468707274767880828486908892949698100102104106108110112114116118120[[#This Row],[Colonna1]]*$Q3</f>
        <v>0</v>
      </c>
      <c r="T22" s="14" t="n">
        <f aca="false">Tabella52791124791618202224262830323436384042444648505254565860626468707274767880828486908892949698100102104106108110112114116118120[[#This Row],[Colonna2]]*$Q3</f>
        <v>0</v>
      </c>
      <c r="U22" s="14" t="n">
        <f aca="false">Tabella52791124791618202224262830323436384042444648505254565860626468707274767880828486908892949698100102104106108110112114116118120[[#This Row],[Colonna3]]*$Q3</f>
        <v>0</v>
      </c>
      <c r="V22" s="14" t="n">
        <f aca="false">Tabella52791124791618202224262830323436384042444648505254565860626468707274767880828486908892949698100102104106108110112114116118120[[#This Row],[Colonna4]]*$Q3</f>
        <v>0</v>
      </c>
      <c r="W22" s="14" t="n">
        <f aca="false">Tabella52791124791618202224262830323436384042444648505254565860626468707274767880828486908892949698100102104106108110112114116118120[[#This Row],[Colonna5]]*$Q3</f>
        <v>0</v>
      </c>
      <c r="X22" s="14" t="n">
        <f aca="false">Tabella52791124791618202224262830323436384042444648505254565860626468707274767880828486908892949698100102104106108110112114116118120[[#This Row],[Colonna6]]*$Q3</f>
        <v>0</v>
      </c>
      <c r="Y22" s="14" t="n">
        <f aca="false">Tabella52791124791618202224262830323436384042444648505254565860626468707274767880828486908892949698100102104106108110112114116118120[[#This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 t="n">
        <f aca="false">Tabella52791124791618202224262830323436384042444648505254565860626468707274767880828486908892949698100102104106108110112114116118120[[#This Row],[Colonna6]]*$Q3</f>
        <v>0</v>
      </c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Tabella52791124791618202224262830323436384042444648505254565860626468707274767880828486908892949698100102104106108110112114116118120[[#This Row],[Colonna1]]*$Q3</f>
        <v>0</v>
      </c>
      <c r="T41" s="14" t="n">
        <f aca="false">Tabella52791124791618202224262830323436384042444648505254565860626468707274767880828486908892949698100102104106108110112114116118120[[#This Row],[Colonna2]]*$Q3</f>
        <v>0</v>
      </c>
      <c r="U41" s="14"/>
      <c r="V41" s="14" t="n">
        <f aca="false">Tabella52791124791618202224262830323436384042444648505254565860626468707274767880828486908892949698100102104106108110112114116118120[[#This Row],[Colonna4]]*$Q3</f>
        <v>0</v>
      </c>
      <c r="W41" s="14"/>
      <c r="X41" s="14" t="n">
        <f aca="false">Tabella52791124791618202224262830323436384042444648505254565860626468707274767880828486908892949698100102104106108110112114116118120[[#This Row],[Colonna6]]*$Q3</f>
        <v>0</v>
      </c>
      <c r="Y41" s="14" t="n">
        <f aca="false">Tabella52791124791618202224262830323436384042444648505254565860626468707274767880828486908892949698100102104106108110112114116118120[[#This Row],[Colonna7]]*$Q3</f>
        <v>0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3"/>
      <c r="L44" s="13"/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Tabella52791124791618202224262830323436384042444648505254565860626468707274767880828486908892949698100102104106108110112114116118120[[#This Row],[Colonna1]]*$Q3</f>
        <v>0</v>
      </c>
      <c r="T44" s="14" t="n">
        <f aca="false">Tabella52791124791618202224262830323436384042444648505254565860626468707274767880828486908892949698100102104106108110112114116118120[[#This Row],[Colonna2]]*$Q3</f>
        <v>0</v>
      </c>
      <c r="U44" s="14" t="n">
        <f aca="false">Tabella52791124791618202224262830323436384042444648505254565860626468707274767880828486908892949698100102104106108110112114116118120[[#This Row],[Colonna3]]*$Q3</f>
        <v>0</v>
      </c>
      <c r="V44" s="14" t="n">
        <f aca="false">Tabella52791124791618202224262830323436384042444648505254565860626468707274767880828486908892949698100102104106108110112114116118120[[#This Row],[Colonna4]]*$Q3</f>
        <v>0</v>
      </c>
      <c r="W44" s="14"/>
      <c r="X44" s="14" t="n">
        <f aca="false">Tabella52791124791618202224262830323436384042444648505254565860626468707274767880828486908892949698100102104106108110112114116118120[[#This Row],[Colonna6]]*$Q3</f>
        <v>0</v>
      </c>
      <c r="Y44" s="14" t="n">
        <f aca="false">Tabella52791124791618202224262830323436384042444648505254565860626468707274767880828486908892949698100102104106108110112114116118120[[#This Row],[Colonna7]]*$Q3</f>
        <v>0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 t="n">
        <f aca="false">Tabella52791124791618202224262830323436384042444648505254565860626468707274767880828486908892949698100102104106108110112114116118120[[#This Row],[Colonna6]]*$Q3</f>
        <v>0</v>
      </c>
      <c r="Y52" s="14" t="n">
        <f aca="false">Tabella52791124791618202224262830323436384042444648505254565860626468707274767880828486908892949698100102104106108110112114116118120[[#This Row],[Colonna7]]*$Q3</f>
        <v>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55" t="n">
        <f aca="false">SUM(L6:L52)</f>
        <v>0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Tabella52791124791618202224262830323436384042444648505254565860626468707274767880828486908892949698100102104106108110112114116118120[[#This Row],[Colonna1]]*$Q3</f>
        <v>0</v>
      </c>
      <c r="T53" s="56" t="n">
        <f aca="false">Tabella52791124791618202224262830323436384042444648505254565860626468707274767880828486908892949698100102104106108110112114116118120[[#This Row],[Colonna2]]*$Q3</f>
        <v>0</v>
      </c>
      <c r="U53" s="56" t="n">
        <f aca="false">Tabella52791124791618202224262830323436384042444648505254565860626468707274767880828486908892949698100102104106108110112114116118120[[#This Row],[Colonna3]]*$Q3</f>
        <v>0</v>
      </c>
      <c r="V53" s="56" t="n">
        <f aca="false">Tabella52791124791618202224262830323436384042444648505254565860626468707274767880828486908892949698100102104106108110112114116118120[[#This Row],[Colonna4]]*$Q3</f>
        <v>0</v>
      </c>
      <c r="W53" s="56" t="n">
        <f aca="false">Tabella52791124791618202224262830323436384042444648505254565860626468707274767880828486908892949698100102104106108110112114116118120[[#This Row],[Colonna5]]*$Q3</f>
        <v>0</v>
      </c>
      <c r="X53" s="56" t="n">
        <f aca="false">Tabella52791124791618202224262830323436384042444648505254565860626468707274767880828486908892949698100102104106108110112114116118120[[#This Row],[Colonna6]]*$Q3</f>
        <v>0</v>
      </c>
      <c r="Y53" s="56" t="n">
        <f aca="false">Tabella52791124791618202224262830323436384042444648505254565860626468707274767880828486908892949698100102104106108110112114116118120[[#This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/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57" t="n">
        <f aca="false">M58*$Q3</f>
        <v>0</v>
      </c>
      <c r="Z58" s="138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 t="n">
        <f aca="false">J62*$Q3</f>
        <v>0</v>
      </c>
      <c r="W62" s="57" t="n">
        <f aca="false">K62*$Q3</f>
        <v>0</v>
      </c>
      <c r="X62" s="57" t="n">
        <f aca="false">L62*$Q3</f>
        <v>0</v>
      </c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/>
      <c r="M63" s="26"/>
      <c r="P63" s="9" t="s">
        <v>67</v>
      </c>
      <c r="Q63" s="9"/>
      <c r="R63" s="9"/>
      <c r="S63" s="57" t="n">
        <f aca="false">H63*$Q3</f>
        <v>0</v>
      </c>
      <c r="T63" s="57" t="n">
        <f aca="false">I63*$Q3</f>
        <v>0</v>
      </c>
      <c r="U63" s="57" t="n">
        <f aca="false">I63*$Q3</f>
        <v>0</v>
      </c>
      <c r="V63" s="57" t="n">
        <f aca="false">J63*$Q3</f>
        <v>0</v>
      </c>
      <c r="W63" s="57"/>
      <c r="X63" s="57" t="n">
        <f aca="false">L63*$Q3</f>
        <v>0</v>
      </c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</v>
      </c>
      <c r="U64" s="57" t="n">
        <f aca="false">I64*$Q3</f>
        <v>0</v>
      </c>
      <c r="V64" s="57" t="n">
        <f aca="false">J64*$Q3</f>
        <v>0</v>
      </c>
      <c r="W64" s="57"/>
      <c r="X64" s="57" t="n">
        <f aca="false">L64*$Q3</f>
        <v>0</v>
      </c>
      <c r="Y64" s="57" t="n">
        <f aca="false">M64*$Q3</f>
        <v>0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 t="n">
        <f aca="false">G67*$Q3</f>
        <v>0</v>
      </c>
      <c r="T67" s="57" t="n">
        <f aca="false">H67*$Q3</f>
        <v>0</v>
      </c>
      <c r="U67" s="57" t="n">
        <f aca="false">I67*$Q3</f>
        <v>0</v>
      </c>
      <c r="V67" s="57" t="n">
        <f aca="false">J67*$Q3</f>
        <v>0</v>
      </c>
      <c r="W67" s="57" t="n">
        <f aca="false">K67*$Q3</f>
        <v>0</v>
      </c>
      <c r="X67" s="57" t="n">
        <f aca="false">L67*$Q3</f>
        <v>0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 t="n">
        <f aca="false">I68*$Q3</f>
        <v>0</v>
      </c>
      <c r="V68" s="57" t="n">
        <f aca="false">J68*$Q3</f>
        <v>0</v>
      </c>
      <c r="W68" s="57" t="n">
        <f aca="false">K68*$Q3</f>
        <v>0</v>
      </c>
      <c r="X68" s="57" t="n">
        <f aca="false">L68*$Q3</f>
        <v>0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0</v>
      </c>
      <c r="U69" s="57" t="n">
        <f aca="false">I69*$Q3</f>
        <v>0</v>
      </c>
      <c r="V69" s="57" t="n">
        <f aca="false">J69*$Q3</f>
        <v>0</v>
      </c>
      <c r="W69" s="57" t="n">
        <f aca="false">K69*$Q3</f>
        <v>0</v>
      </c>
      <c r="X69" s="57" t="n">
        <f aca="false">L69*$Q3</f>
        <v>0</v>
      </c>
      <c r="Y69" s="57" t="n">
        <f aca="false">M69*$Q3</f>
        <v>0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61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Z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3" activeCellId="0" sqref="Y3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98</v>
      </c>
      <c r="I3" s="119" t="s">
        <v>2</v>
      </c>
      <c r="J3" s="4" t="n">
        <v>45299</v>
      </c>
      <c r="K3" s="5" t="n">
        <v>45305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98</v>
      </c>
      <c r="U3" s="119" t="s">
        <v>2</v>
      </c>
      <c r="V3" s="4" t="n">
        <v>45299</v>
      </c>
      <c r="W3" s="5" t="n">
        <v>45305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 t="n">
        <f aca="false">Tabella52791124791618202224262830323436384042444648505254565860626468707274767880828486908892949698100102104106108110112114116118120122[[#This Row],[Colonna2]]*$Q3</f>
        <v>0</v>
      </c>
      <c r="U7" s="14"/>
      <c r="V7" s="14" t="n">
        <f aca="false">Tabella52791124791618202224262830323436384042444648505254565860626468707274767880828486908892949698100102104106108110112114116118120122[[#This Row],[Colonna4]]*$Q3</f>
        <v>0</v>
      </c>
      <c r="W7" s="14" t="n">
        <f aca="false">Tabella52791124791618202224262830323436384042444648505254565860626468707274767880828486908892949698100102104106108110112114116118120122[[#This Row],[Colonna5]]*$Q3</f>
        <v>0</v>
      </c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 t="n">
        <f aca="false">Tabella52791124791618202224262830323436384042444648505254565860626468707274767880828486908892949698100102104106108110112114116118120122[[#This Row],[Colonna2]]*$Q3</f>
        <v>0</v>
      </c>
      <c r="U12" s="14" t="n">
        <f aca="false">Tabella52791124791618202224262830323436384042444648505254565860626468707274767880828486908892949698100102104106108110112114116118120122[[#This Row],[Colonna3]]*$Q3</f>
        <v>0</v>
      </c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 t="n">
        <f aca="false">Tabella52791124791618202224262830323436384042444648505254565860626468707274767880828486908892949698100102104106108110112114116118120122[[#This Row],[Colonna6]]*$Q3</f>
        <v>0</v>
      </c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Tabella52791124791618202224262830323436384042444648505254565860626468707274767880828486908892949698100102104106108110112114116118120122[[#This Row],[Colonna1]]*$Q3</f>
        <v>0</v>
      </c>
      <c r="T22" s="14" t="n">
        <f aca="false">Tabella52791124791618202224262830323436384042444648505254565860626468707274767880828486908892949698100102104106108110112114116118120122[[#This Row],[Colonna2]]*$Q3</f>
        <v>0</v>
      </c>
      <c r="U22" s="14" t="n">
        <f aca="false">Tabella52791124791618202224262830323436384042444648505254565860626468707274767880828486908892949698100102104106108110112114116118120122[[#This Row],[Colonna3]]*$Q3</f>
        <v>0</v>
      </c>
      <c r="V22" s="14" t="n">
        <f aca="false">Tabella52791124791618202224262830323436384042444648505254565860626468707274767880828486908892949698100102104106108110112114116118120122[[#This Row],[Colonna4]]*$Q3</f>
        <v>0</v>
      </c>
      <c r="W22" s="14" t="n">
        <f aca="false">Tabella52791124791618202224262830323436384042444648505254565860626468707274767880828486908892949698100102104106108110112114116118120122[[#This Row],[Colonna5]]*$Q3</f>
        <v>0</v>
      </c>
      <c r="X22" s="14" t="n">
        <f aca="false">Tabella52791124791618202224262830323436384042444648505254565860626468707274767880828486908892949698100102104106108110112114116118120122[[#This Row],[Colonna6]]*$Q3</f>
        <v>0</v>
      </c>
      <c r="Y22" s="14" t="n">
        <f aca="false">Tabella52791124791618202224262830323436384042444648505254565860626468707274767880828486908892949698100102104106108110112114116118120122[[#This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 t="n">
        <f aca="false">Tabella52791124791618202224262830323436384042444648505254565860626468707274767880828486908892949698100102104106108110112114116118120122[[#This Row],[Colonna6]]*$Q3</f>
        <v>0</v>
      </c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Tabella52791124791618202224262830323436384042444648505254565860626468707274767880828486908892949698100102104106108110112114116118120122[[#This Row],[Colonna1]]*$Q3</f>
        <v>0</v>
      </c>
      <c r="T41" s="14" t="n">
        <f aca="false">Tabella52791124791618202224262830323436384042444648505254565860626468707274767880828486908892949698100102104106108110112114116118120122[[#This Row],[Colonna2]]*$Q3</f>
        <v>0</v>
      </c>
      <c r="U41" s="14"/>
      <c r="V41" s="14" t="n">
        <f aca="false">Tabella52791124791618202224262830323436384042444648505254565860626468707274767880828486908892949698100102104106108110112114116118120122[[#This Row],[Colonna4]]*$Q3</f>
        <v>0</v>
      </c>
      <c r="W41" s="14"/>
      <c r="X41" s="14" t="n">
        <f aca="false">Tabella52791124791618202224262830323436384042444648505254565860626468707274767880828486908892949698100102104106108110112114116118120122[[#This Row],[Colonna6]]*$Q3</f>
        <v>0</v>
      </c>
      <c r="Y41" s="14" t="n">
        <f aca="false">Tabella52791124791618202224262830323436384042444648505254565860626468707274767880828486908892949698100102104106108110112114116118120122[[#This Row],[Colonna7]]*$Q3</f>
        <v>0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3"/>
      <c r="L44" s="13"/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Tabella52791124791618202224262830323436384042444648505254565860626468707274767880828486908892949698100102104106108110112114116118120122[[#This Row],[Colonna1]]*$Q3</f>
        <v>0</v>
      </c>
      <c r="T44" s="14" t="n">
        <f aca="false">Tabella52791124791618202224262830323436384042444648505254565860626468707274767880828486908892949698100102104106108110112114116118120122[[#This Row],[Colonna2]]*$Q3</f>
        <v>0</v>
      </c>
      <c r="U44" s="14" t="n">
        <f aca="false">Tabella52791124791618202224262830323436384042444648505254565860626468707274767880828486908892949698100102104106108110112114116118120122[[#This Row],[Colonna3]]*$Q3</f>
        <v>0</v>
      </c>
      <c r="V44" s="14" t="n">
        <f aca="false">Tabella52791124791618202224262830323436384042444648505254565860626468707274767880828486908892949698100102104106108110112114116118120122[[#This Row],[Colonna4]]*$Q3</f>
        <v>0</v>
      </c>
      <c r="W44" s="14"/>
      <c r="X44" s="14" t="n">
        <f aca="false">Tabella52791124791618202224262830323436384042444648505254565860626468707274767880828486908892949698100102104106108110112114116118120122[[#This Row],[Colonna6]]*$Q3</f>
        <v>0</v>
      </c>
      <c r="Y44" s="14" t="n">
        <f aca="false">Tabella52791124791618202224262830323436384042444648505254565860626468707274767880828486908892949698100102104106108110112114116118120122[[#This Row],[Colonna7]]*$Q3</f>
        <v>0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 t="n">
        <f aca="false">Tabella52791124791618202224262830323436384042444648505254565860626468707274767880828486908892949698100102104106108110112114116118120122[[#This Row],[Colonna6]]*$Q3</f>
        <v>0</v>
      </c>
      <c r="Y52" s="14" t="n">
        <f aca="false">Tabella52791124791618202224262830323436384042444648505254565860626468707274767880828486908892949698100102104106108110112114116118120122[[#This Row],[Colonna7]]*$Q3</f>
        <v>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55" t="n">
        <f aca="false">SUM(L6:L52)</f>
        <v>0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Tabella52791124791618202224262830323436384042444648505254565860626468707274767880828486908892949698100102104106108110112114116118120122[[#This Row],[Colonna1]]*$Q3</f>
        <v>0</v>
      </c>
      <c r="T53" s="56" t="n">
        <f aca="false">Tabella52791124791618202224262830323436384042444648505254565860626468707274767880828486908892949698100102104106108110112114116118120122[[#This Row],[Colonna2]]*$Q3</f>
        <v>0</v>
      </c>
      <c r="U53" s="56" t="n">
        <f aca="false">Tabella52791124791618202224262830323436384042444648505254565860626468707274767880828486908892949698100102104106108110112114116118120122[[#This Row],[Colonna3]]*$Q3</f>
        <v>0</v>
      </c>
      <c r="V53" s="56" t="n">
        <f aca="false">Tabella52791124791618202224262830323436384042444648505254565860626468707274767880828486908892949698100102104106108110112114116118120122[[#This Row],[Colonna4]]*$Q3</f>
        <v>0</v>
      </c>
      <c r="W53" s="56" t="n">
        <f aca="false">Tabella52791124791618202224262830323436384042444648505254565860626468707274767880828486908892949698100102104106108110112114116118120122[[#This Row],[Colonna5]]*$Q3</f>
        <v>0</v>
      </c>
      <c r="X53" s="56" t="n">
        <f aca="false">Tabella52791124791618202224262830323436384042444648505254565860626468707274767880828486908892949698100102104106108110112114116118120122[[#This Row],[Colonna6]]*$Q3</f>
        <v>0</v>
      </c>
      <c r="Y53" s="56" t="n">
        <f aca="false">Tabella52791124791618202224262830323436384042444648505254565860626468707274767880828486908892949698100102104106108110112114116118120122[[#This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/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57" t="n">
        <f aca="false">M58*$Q3</f>
        <v>0</v>
      </c>
      <c r="Z58" s="138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 t="n">
        <f aca="false">J62*$Q3</f>
        <v>0</v>
      </c>
      <c r="W62" s="57" t="n">
        <f aca="false">K62*$Q3</f>
        <v>0</v>
      </c>
      <c r="X62" s="57" t="n">
        <f aca="false">L62*$Q3</f>
        <v>0</v>
      </c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/>
      <c r="M63" s="26"/>
      <c r="P63" s="9" t="s">
        <v>67</v>
      </c>
      <c r="Q63" s="9"/>
      <c r="R63" s="9"/>
      <c r="S63" s="57" t="n">
        <f aca="false">H63*$Q3</f>
        <v>0</v>
      </c>
      <c r="T63" s="57" t="n">
        <f aca="false">I63*$Q3</f>
        <v>0</v>
      </c>
      <c r="U63" s="57" t="n">
        <f aca="false">I63*$Q3</f>
        <v>0</v>
      </c>
      <c r="V63" s="57" t="n">
        <f aca="false">J63*$Q3</f>
        <v>0</v>
      </c>
      <c r="W63" s="57"/>
      <c r="X63" s="57" t="n">
        <f aca="false">L63*$Q3</f>
        <v>0</v>
      </c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</v>
      </c>
      <c r="U64" s="57" t="n">
        <f aca="false">I64*$Q3</f>
        <v>0</v>
      </c>
      <c r="V64" s="57" t="n">
        <f aca="false">J64*$Q3</f>
        <v>0</v>
      </c>
      <c r="W64" s="57"/>
      <c r="X64" s="57" t="n">
        <f aca="false">L64*$Q3</f>
        <v>0</v>
      </c>
      <c r="Y64" s="57" t="n">
        <f aca="false">M64*$Q3</f>
        <v>0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 t="n">
        <f aca="false">G67*$Q3</f>
        <v>0</v>
      </c>
      <c r="T67" s="57" t="n">
        <f aca="false">H67*$Q3</f>
        <v>0</v>
      </c>
      <c r="U67" s="57" t="n">
        <f aca="false">I67*$Q3</f>
        <v>0</v>
      </c>
      <c r="V67" s="57" t="n">
        <f aca="false">J67*$Q3</f>
        <v>0</v>
      </c>
      <c r="W67" s="57" t="n">
        <f aca="false">K67*$Q3</f>
        <v>0</v>
      </c>
      <c r="X67" s="57" t="n">
        <f aca="false">L67*$Q3</f>
        <v>0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 t="n">
        <f aca="false">I68*$Q3</f>
        <v>0</v>
      </c>
      <c r="V68" s="57" t="n">
        <f aca="false">J68*$Q3</f>
        <v>0</v>
      </c>
      <c r="W68" s="57" t="n">
        <f aca="false">K68*$Q3</f>
        <v>0</v>
      </c>
      <c r="X68" s="57" t="n">
        <f aca="false">L68*$Q3</f>
        <v>0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0</v>
      </c>
      <c r="U69" s="57" t="n">
        <f aca="false">I69*$Q3</f>
        <v>0</v>
      </c>
      <c r="V69" s="57" t="n">
        <f aca="false">J69*$Q3</f>
        <v>0</v>
      </c>
      <c r="W69" s="57" t="n">
        <f aca="false">K69*$Q3</f>
        <v>0</v>
      </c>
      <c r="X69" s="57" t="n">
        <f aca="false">L69*$Q3</f>
        <v>0</v>
      </c>
      <c r="Y69" s="57" t="n">
        <f aca="false">M69*$Q3</f>
        <v>0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61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Z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3" activeCellId="0" sqref="Y3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98</v>
      </c>
      <c r="I3" s="119" t="s">
        <v>2</v>
      </c>
      <c r="J3" s="4" t="n">
        <v>45306</v>
      </c>
      <c r="K3" s="5" t="n">
        <v>45312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98</v>
      </c>
      <c r="U3" s="119" t="s">
        <v>2</v>
      </c>
      <c r="V3" s="4" t="n">
        <v>45306</v>
      </c>
      <c r="W3" s="5" t="n">
        <v>45312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 t="n">
        <f aca="false">Tabella52791124791618202224262830323436384042444648505254565860626468707274767880828486908892949698100102104106108110112114116118120122124[[#This Row],[Colonna2]]*$Q3</f>
        <v>0</v>
      </c>
      <c r="U7" s="14"/>
      <c r="V7" s="14" t="n">
        <f aca="false">Tabella52791124791618202224262830323436384042444648505254565860626468707274767880828486908892949698100102104106108110112114116118120122124[[#This Row],[Colonna4]]*$Q3</f>
        <v>0</v>
      </c>
      <c r="W7" s="14" t="n">
        <f aca="false">Tabella52791124791618202224262830323436384042444648505254565860626468707274767880828486908892949698100102104106108110112114116118120122124[[#This Row],[Colonna5]]*$Q3</f>
        <v>0</v>
      </c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 t="n">
        <f aca="false">Tabella52791124791618202224262830323436384042444648505254565860626468707274767880828486908892949698100102104106108110112114116118120122124[[#This Row],[Colonna2]]*$Q3</f>
        <v>0</v>
      </c>
      <c r="U12" s="14" t="n">
        <f aca="false">Tabella52791124791618202224262830323436384042444648505254565860626468707274767880828486908892949698100102104106108110112114116118120122124[[#This Row],[Colonna3]]*$Q3</f>
        <v>0</v>
      </c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 t="n">
        <f aca="false">Tabella52791124791618202224262830323436384042444648505254565860626468707274767880828486908892949698100102104106108110112114116118120122124[[#This Row],[Colonna6]]*$Q3</f>
        <v>0</v>
      </c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Tabella52791124791618202224262830323436384042444648505254565860626468707274767880828486908892949698100102104106108110112114116118120122124[[#This Row],[Colonna1]]*$Q3</f>
        <v>0</v>
      </c>
      <c r="T22" s="14" t="n">
        <f aca="false">Tabella52791124791618202224262830323436384042444648505254565860626468707274767880828486908892949698100102104106108110112114116118120122124[[#This Row],[Colonna2]]*$Q3</f>
        <v>0</v>
      </c>
      <c r="U22" s="14" t="n">
        <f aca="false">Tabella52791124791618202224262830323436384042444648505254565860626468707274767880828486908892949698100102104106108110112114116118120122124[[#This Row],[Colonna3]]*$Q3</f>
        <v>0</v>
      </c>
      <c r="V22" s="14" t="n">
        <f aca="false">Tabella52791124791618202224262830323436384042444648505254565860626468707274767880828486908892949698100102104106108110112114116118120122124[[#This Row],[Colonna4]]*$Q3</f>
        <v>0</v>
      </c>
      <c r="W22" s="14" t="n">
        <f aca="false">Tabella52791124791618202224262830323436384042444648505254565860626468707274767880828486908892949698100102104106108110112114116118120122124[[#This Row],[Colonna5]]*$Q3</f>
        <v>0</v>
      </c>
      <c r="X22" s="14" t="n">
        <f aca="false">Tabella52791124791618202224262830323436384042444648505254565860626468707274767880828486908892949698100102104106108110112114116118120122124[[#This Row],[Colonna6]]*$Q3</f>
        <v>0</v>
      </c>
      <c r="Y22" s="14" t="n">
        <f aca="false">Tabella52791124791618202224262830323436384042444648505254565860626468707274767880828486908892949698100102104106108110112114116118120122124[[#This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 t="n">
        <f aca="false">Tabella52791124791618202224262830323436384042444648505254565860626468707274767880828486908892949698100102104106108110112114116118120122124[[#This Row],[Colonna6]]*$Q3</f>
        <v>0</v>
      </c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Tabella52791124791618202224262830323436384042444648505254565860626468707274767880828486908892949698100102104106108110112114116118120122124[[#This Row],[Colonna1]]*$Q3</f>
        <v>0</v>
      </c>
      <c r="T41" s="14" t="n">
        <f aca="false">Tabella52791124791618202224262830323436384042444648505254565860626468707274767880828486908892949698100102104106108110112114116118120122124[[#This Row],[Colonna2]]*$Q3</f>
        <v>0</v>
      </c>
      <c r="U41" s="14"/>
      <c r="V41" s="14" t="n">
        <f aca="false">Tabella52791124791618202224262830323436384042444648505254565860626468707274767880828486908892949698100102104106108110112114116118120122124[[#This Row],[Colonna4]]*$Q3</f>
        <v>0</v>
      </c>
      <c r="W41" s="14"/>
      <c r="X41" s="14" t="n">
        <f aca="false">Tabella52791124791618202224262830323436384042444648505254565860626468707274767880828486908892949698100102104106108110112114116118120122124[[#This Row],[Colonna6]]*$Q3</f>
        <v>0</v>
      </c>
      <c r="Y41" s="14" t="n">
        <f aca="false">Tabella52791124791618202224262830323436384042444648505254565860626468707274767880828486908892949698100102104106108110112114116118120122124[[#This Row],[Colonna7]]*$Q3</f>
        <v>0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3"/>
      <c r="L44" s="13"/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Tabella52791124791618202224262830323436384042444648505254565860626468707274767880828486908892949698100102104106108110112114116118120122124[[#This Row],[Colonna1]]*$Q3</f>
        <v>0</v>
      </c>
      <c r="T44" s="14" t="n">
        <f aca="false">Tabella52791124791618202224262830323436384042444648505254565860626468707274767880828486908892949698100102104106108110112114116118120122124[[#This Row],[Colonna2]]*$Q3</f>
        <v>0</v>
      </c>
      <c r="U44" s="14" t="n">
        <f aca="false">Tabella52791124791618202224262830323436384042444648505254565860626468707274767880828486908892949698100102104106108110112114116118120122124[[#This Row],[Colonna3]]*$Q3</f>
        <v>0</v>
      </c>
      <c r="V44" s="14" t="n">
        <f aca="false">Tabella52791124791618202224262830323436384042444648505254565860626468707274767880828486908892949698100102104106108110112114116118120122124[[#This Row],[Colonna4]]*$Q3</f>
        <v>0</v>
      </c>
      <c r="W44" s="14"/>
      <c r="X44" s="14" t="n">
        <f aca="false">Tabella52791124791618202224262830323436384042444648505254565860626468707274767880828486908892949698100102104106108110112114116118120122124[[#This Row],[Colonna6]]*$Q3</f>
        <v>0</v>
      </c>
      <c r="Y44" s="14" t="n">
        <f aca="false">Tabella52791124791618202224262830323436384042444648505254565860626468707274767880828486908892949698100102104106108110112114116118120122124[[#This Row],[Colonna7]]*$Q3</f>
        <v>0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 t="n">
        <f aca="false">Tabella52791124791618202224262830323436384042444648505254565860626468707274767880828486908892949698100102104106108110112114116118120122124[[#This Row],[Colonna6]]*$Q3</f>
        <v>0</v>
      </c>
      <c r="Y52" s="14" t="n">
        <f aca="false">Tabella52791124791618202224262830323436384042444648505254565860626468707274767880828486908892949698100102104106108110112114116118120122124[[#This Row],[Colonna7]]*$Q3</f>
        <v>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55" t="n">
        <f aca="false">SUM(L6:L52)</f>
        <v>0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Tabella52791124791618202224262830323436384042444648505254565860626468707274767880828486908892949698100102104106108110112114116118120122124[[#This Row],[Colonna1]]*$Q3</f>
        <v>0</v>
      </c>
      <c r="T53" s="56" t="n">
        <f aca="false">Tabella52791124791618202224262830323436384042444648505254565860626468707274767880828486908892949698100102104106108110112114116118120122124[[#This Row],[Colonna2]]*$Q3</f>
        <v>0</v>
      </c>
      <c r="U53" s="56" t="n">
        <f aca="false">Tabella52791124791618202224262830323436384042444648505254565860626468707274767880828486908892949698100102104106108110112114116118120122124[[#This Row],[Colonna3]]*$Q3</f>
        <v>0</v>
      </c>
      <c r="V53" s="56" t="n">
        <f aca="false">Tabella52791124791618202224262830323436384042444648505254565860626468707274767880828486908892949698100102104106108110112114116118120122124[[#This Row],[Colonna4]]*$Q3</f>
        <v>0</v>
      </c>
      <c r="W53" s="56" t="n">
        <f aca="false">Tabella52791124791618202224262830323436384042444648505254565860626468707274767880828486908892949698100102104106108110112114116118120122124[[#This Row],[Colonna5]]*$Q3</f>
        <v>0</v>
      </c>
      <c r="X53" s="56" t="n">
        <f aca="false">Tabella52791124791618202224262830323436384042444648505254565860626468707274767880828486908892949698100102104106108110112114116118120122124[[#This Row],[Colonna6]]*$Q3</f>
        <v>0</v>
      </c>
      <c r="Y53" s="56" t="n">
        <f aca="false">Tabella52791124791618202224262830323436384042444648505254565860626468707274767880828486908892949698100102104106108110112114116118120122124[[#This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/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57" t="n">
        <f aca="false">M58*$Q3</f>
        <v>0</v>
      </c>
      <c r="Z58" s="138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 t="n">
        <f aca="false">J62*$Q3</f>
        <v>0</v>
      </c>
      <c r="W62" s="57" t="n">
        <f aca="false">K62*$Q3</f>
        <v>0</v>
      </c>
      <c r="X62" s="57" t="n">
        <f aca="false">L62*$Q3</f>
        <v>0</v>
      </c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/>
      <c r="M63" s="26"/>
      <c r="P63" s="9" t="s">
        <v>67</v>
      </c>
      <c r="Q63" s="9"/>
      <c r="R63" s="9"/>
      <c r="S63" s="57" t="n">
        <f aca="false">H63*$Q3</f>
        <v>0</v>
      </c>
      <c r="T63" s="57" t="n">
        <f aca="false">I63*$Q3</f>
        <v>0</v>
      </c>
      <c r="U63" s="57" t="n">
        <f aca="false">I63*$Q3</f>
        <v>0</v>
      </c>
      <c r="V63" s="57" t="n">
        <f aca="false">J63*$Q3</f>
        <v>0</v>
      </c>
      <c r="W63" s="57"/>
      <c r="X63" s="57" t="n">
        <f aca="false">L63*$Q3</f>
        <v>0</v>
      </c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</v>
      </c>
      <c r="U64" s="57" t="n">
        <f aca="false">I64*$Q3</f>
        <v>0</v>
      </c>
      <c r="V64" s="57" t="n">
        <f aca="false">J64*$Q3</f>
        <v>0</v>
      </c>
      <c r="W64" s="57"/>
      <c r="X64" s="57" t="n">
        <f aca="false">L64*$Q3</f>
        <v>0</v>
      </c>
      <c r="Y64" s="57" t="n">
        <f aca="false">M64*$Q3</f>
        <v>0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 t="n">
        <f aca="false">G67*$Q3</f>
        <v>0</v>
      </c>
      <c r="T67" s="57" t="n">
        <f aca="false">H67*$Q3</f>
        <v>0</v>
      </c>
      <c r="U67" s="57" t="n">
        <f aca="false">I67*$Q3</f>
        <v>0</v>
      </c>
      <c r="V67" s="57" t="n">
        <f aca="false">J67*$Q3</f>
        <v>0</v>
      </c>
      <c r="W67" s="57" t="n">
        <f aca="false">K67*$Q3</f>
        <v>0</v>
      </c>
      <c r="X67" s="57" t="n">
        <f aca="false">L67*$Q3</f>
        <v>0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 t="n">
        <f aca="false">I68*$Q3</f>
        <v>0</v>
      </c>
      <c r="V68" s="57" t="n">
        <f aca="false">J68*$Q3</f>
        <v>0</v>
      </c>
      <c r="W68" s="57" t="n">
        <f aca="false">K68*$Q3</f>
        <v>0</v>
      </c>
      <c r="X68" s="57" t="n">
        <f aca="false">L68*$Q3</f>
        <v>0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0</v>
      </c>
      <c r="U69" s="57" t="n">
        <f aca="false">I69*$Q3</f>
        <v>0</v>
      </c>
      <c r="V69" s="57" t="n">
        <f aca="false">J69*$Q3</f>
        <v>0</v>
      </c>
      <c r="W69" s="57" t="n">
        <f aca="false">K69*$Q3</f>
        <v>0</v>
      </c>
      <c r="X69" s="57" t="n">
        <f aca="false">L69*$Q3</f>
        <v>0</v>
      </c>
      <c r="Y69" s="57" t="n">
        <f aca="false">M69*$Q3</f>
        <v>0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61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Z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3" activeCellId="0" sqref="Y3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98</v>
      </c>
      <c r="I3" s="119" t="s">
        <v>2</v>
      </c>
      <c r="J3" s="4" t="n">
        <v>45313</v>
      </c>
      <c r="K3" s="5" t="n">
        <v>45319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98</v>
      </c>
      <c r="U3" s="119" t="s">
        <v>2</v>
      </c>
      <c r="V3" s="4" t="n">
        <v>45313</v>
      </c>
      <c r="W3" s="5" t="n">
        <v>45319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 t="n">
        <f aca="false">Tabella52791124791618202224262830323436384042444648505254565860626468707274767880828486908892949698100102104106108110112114116118120122124126[[#This Row],[Colonna2]]*$Q3</f>
        <v>0</v>
      </c>
      <c r="U7" s="14"/>
      <c r="V7" s="14" t="n">
        <f aca="false">Tabella52791124791618202224262830323436384042444648505254565860626468707274767880828486908892949698100102104106108110112114116118120122124126[[#This Row],[Colonna4]]*$Q3</f>
        <v>0</v>
      </c>
      <c r="W7" s="14" t="n">
        <f aca="false">Tabella52791124791618202224262830323436384042444648505254565860626468707274767880828486908892949698100102104106108110112114116118120122124126[[#This Row],[Colonna5]]*$Q3</f>
        <v>0</v>
      </c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 t="n">
        <f aca="false">Tabella52791124791618202224262830323436384042444648505254565860626468707274767880828486908892949698100102104106108110112114116118120122124126[[#This Row],[Colonna2]]*$Q3</f>
        <v>0</v>
      </c>
      <c r="U12" s="14" t="n">
        <f aca="false">Tabella52791124791618202224262830323436384042444648505254565860626468707274767880828486908892949698100102104106108110112114116118120122124126[[#This Row],[Colonna3]]*$Q3</f>
        <v>0</v>
      </c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 t="n">
        <f aca="false">Tabella52791124791618202224262830323436384042444648505254565860626468707274767880828486908892949698100102104106108110112114116118120122124126[[#This Row],[Colonna6]]*$Q3</f>
        <v>0</v>
      </c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Tabella52791124791618202224262830323436384042444648505254565860626468707274767880828486908892949698100102104106108110112114116118120122124126[[#This Row],[Colonna1]]*$Q3</f>
        <v>0</v>
      </c>
      <c r="T22" s="14" t="n">
        <f aca="false">Tabella52791124791618202224262830323436384042444648505254565860626468707274767880828486908892949698100102104106108110112114116118120122124126[[#This Row],[Colonna2]]*$Q3</f>
        <v>0</v>
      </c>
      <c r="U22" s="14" t="n">
        <f aca="false">Tabella52791124791618202224262830323436384042444648505254565860626468707274767880828486908892949698100102104106108110112114116118120122124126[[#This Row],[Colonna3]]*$Q3</f>
        <v>0</v>
      </c>
      <c r="V22" s="14" t="n">
        <f aca="false">Tabella52791124791618202224262830323436384042444648505254565860626468707274767880828486908892949698100102104106108110112114116118120122124126[[#This Row],[Colonna4]]*$Q3</f>
        <v>0</v>
      </c>
      <c r="W22" s="14" t="n">
        <f aca="false">Tabella52791124791618202224262830323436384042444648505254565860626468707274767880828486908892949698100102104106108110112114116118120122124126[[#This Row],[Colonna5]]*$Q3</f>
        <v>0</v>
      </c>
      <c r="X22" s="14" t="n">
        <f aca="false">Tabella52791124791618202224262830323436384042444648505254565860626468707274767880828486908892949698100102104106108110112114116118120122124126[[#This Row],[Colonna6]]*$Q3</f>
        <v>0</v>
      </c>
      <c r="Y22" s="14" t="n">
        <f aca="false">Tabella52791124791618202224262830323436384042444648505254565860626468707274767880828486908892949698100102104106108110112114116118120122124126[[#This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 t="n">
        <f aca="false">Tabella52791124791618202224262830323436384042444648505254565860626468707274767880828486908892949698100102104106108110112114116118120122124126[[#This Row],[Colonna6]]*$Q3</f>
        <v>0</v>
      </c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Tabella52791124791618202224262830323436384042444648505254565860626468707274767880828486908892949698100102104106108110112114116118120122124126[[#This Row],[Colonna1]]*$Q3</f>
        <v>0</v>
      </c>
      <c r="T41" s="14" t="n">
        <f aca="false">Tabella52791124791618202224262830323436384042444648505254565860626468707274767880828486908892949698100102104106108110112114116118120122124126[[#This Row],[Colonna2]]*$Q3</f>
        <v>0</v>
      </c>
      <c r="U41" s="14"/>
      <c r="V41" s="14" t="n">
        <f aca="false">Tabella52791124791618202224262830323436384042444648505254565860626468707274767880828486908892949698100102104106108110112114116118120122124126[[#This Row],[Colonna4]]*$Q3</f>
        <v>0</v>
      </c>
      <c r="W41" s="14"/>
      <c r="X41" s="14" t="n">
        <f aca="false">Tabella52791124791618202224262830323436384042444648505254565860626468707274767880828486908892949698100102104106108110112114116118120122124126[[#This Row],[Colonna6]]*$Q3</f>
        <v>0</v>
      </c>
      <c r="Y41" s="14" t="n">
        <f aca="false">Tabella52791124791618202224262830323436384042444648505254565860626468707274767880828486908892949698100102104106108110112114116118120122124126[[#This Row],[Colonna7]]*$Q3</f>
        <v>0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3"/>
      <c r="L44" s="13"/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Tabella52791124791618202224262830323436384042444648505254565860626468707274767880828486908892949698100102104106108110112114116118120122124126[[#This Row],[Colonna1]]*$Q3</f>
        <v>0</v>
      </c>
      <c r="T44" s="14" t="n">
        <f aca="false">Tabella52791124791618202224262830323436384042444648505254565860626468707274767880828486908892949698100102104106108110112114116118120122124126[[#This Row],[Colonna2]]*$Q3</f>
        <v>0</v>
      </c>
      <c r="U44" s="14" t="n">
        <f aca="false">Tabella52791124791618202224262830323436384042444648505254565860626468707274767880828486908892949698100102104106108110112114116118120122124126[[#This Row],[Colonna3]]*$Q3</f>
        <v>0</v>
      </c>
      <c r="V44" s="14" t="n">
        <f aca="false">Tabella52791124791618202224262830323436384042444648505254565860626468707274767880828486908892949698100102104106108110112114116118120122124126[[#This Row],[Colonna4]]*$Q3</f>
        <v>0</v>
      </c>
      <c r="W44" s="14"/>
      <c r="X44" s="14" t="n">
        <f aca="false">Tabella52791124791618202224262830323436384042444648505254565860626468707274767880828486908892949698100102104106108110112114116118120122124126[[#This Row],[Colonna6]]*$Q3</f>
        <v>0</v>
      </c>
      <c r="Y44" s="14" t="n">
        <f aca="false">Tabella52791124791618202224262830323436384042444648505254565860626468707274767880828486908892949698100102104106108110112114116118120122124126[[#This Row],[Colonna7]]*$Q3</f>
        <v>0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 t="n">
        <f aca="false">Tabella52791124791618202224262830323436384042444648505254565860626468707274767880828486908892949698100102104106108110112114116118120122124126[[#This Row],[Colonna6]]*$Q3</f>
        <v>0</v>
      </c>
      <c r="Y52" s="14" t="n">
        <f aca="false">Tabella52791124791618202224262830323436384042444648505254565860626468707274767880828486908892949698100102104106108110112114116118120122124126[[#This Row],[Colonna7]]*$Q3</f>
        <v>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55" t="n">
        <f aca="false">SUM(L6:L52)</f>
        <v>0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Tabella52791124791618202224262830323436384042444648505254565860626468707274767880828486908892949698100102104106108110112114116118120122124126[[#This Row],[Colonna1]]*$Q3</f>
        <v>0</v>
      </c>
      <c r="T53" s="56" t="n">
        <f aca="false">Tabella52791124791618202224262830323436384042444648505254565860626468707274767880828486908892949698100102104106108110112114116118120122124126[[#This Row],[Colonna2]]*$Q3</f>
        <v>0</v>
      </c>
      <c r="U53" s="56" t="n">
        <f aca="false">Tabella52791124791618202224262830323436384042444648505254565860626468707274767880828486908892949698100102104106108110112114116118120122124126[[#This Row],[Colonna3]]*$Q3</f>
        <v>0</v>
      </c>
      <c r="V53" s="56" t="n">
        <f aca="false">Tabella52791124791618202224262830323436384042444648505254565860626468707274767880828486908892949698100102104106108110112114116118120122124126[[#This Row],[Colonna4]]*$Q3</f>
        <v>0</v>
      </c>
      <c r="W53" s="56" t="n">
        <f aca="false">Tabella52791124791618202224262830323436384042444648505254565860626468707274767880828486908892949698100102104106108110112114116118120122124126[[#This Row],[Colonna5]]*$Q3</f>
        <v>0</v>
      </c>
      <c r="X53" s="56" t="n">
        <f aca="false">Tabella52791124791618202224262830323436384042444648505254565860626468707274767880828486908892949698100102104106108110112114116118120122124126[[#This Row],[Colonna6]]*$Q3</f>
        <v>0</v>
      </c>
      <c r="Y53" s="56" t="n">
        <f aca="false">Tabella52791124791618202224262830323436384042444648505254565860626468707274767880828486908892949698100102104106108110112114116118120122124126[[#This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/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57" t="n">
        <f aca="false">M58*$Q3</f>
        <v>0</v>
      </c>
      <c r="Z58" s="138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 t="n">
        <f aca="false">J62*$Q3</f>
        <v>0</v>
      </c>
      <c r="W62" s="57" t="n">
        <f aca="false">K62*$Q3</f>
        <v>0</v>
      </c>
      <c r="X62" s="57" t="n">
        <f aca="false">L62*$Q3</f>
        <v>0</v>
      </c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/>
      <c r="M63" s="26"/>
      <c r="P63" s="9" t="s">
        <v>67</v>
      </c>
      <c r="Q63" s="9"/>
      <c r="R63" s="9"/>
      <c r="S63" s="57" t="n">
        <f aca="false">H63*$Q3</f>
        <v>0</v>
      </c>
      <c r="T63" s="57" t="n">
        <f aca="false">I63*$Q3</f>
        <v>0</v>
      </c>
      <c r="U63" s="57" t="n">
        <f aca="false">I63*$Q3</f>
        <v>0</v>
      </c>
      <c r="V63" s="57" t="n">
        <f aca="false">J63*$Q3</f>
        <v>0</v>
      </c>
      <c r="W63" s="57"/>
      <c r="X63" s="57" t="n">
        <f aca="false">L63*$Q3</f>
        <v>0</v>
      </c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</v>
      </c>
      <c r="U64" s="57" t="n">
        <f aca="false">I64*$Q3</f>
        <v>0</v>
      </c>
      <c r="V64" s="57" t="n">
        <f aca="false">J64*$Q3</f>
        <v>0</v>
      </c>
      <c r="W64" s="57"/>
      <c r="X64" s="57" t="n">
        <f aca="false">L64*$Q3</f>
        <v>0</v>
      </c>
      <c r="Y64" s="57" t="n">
        <f aca="false">M64*$Q3</f>
        <v>0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 t="n">
        <f aca="false">G67*$Q3</f>
        <v>0</v>
      </c>
      <c r="T67" s="57" t="n">
        <f aca="false">H67*$Q3</f>
        <v>0</v>
      </c>
      <c r="U67" s="57" t="n">
        <f aca="false">I67*$Q3</f>
        <v>0</v>
      </c>
      <c r="V67" s="57" t="n">
        <f aca="false">J67*$Q3</f>
        <v>0</v>
      </c>
      <c r="W67" s="57" t="n">
        <f aca="false">K67*$Q3</f>
        <v>0</v>
      </c>
      <c r="X67" s="57" t="n">
        <f aca="false">L67*$Q3</f>
        <v>0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 t="n">
        <f aca="false">I68*$Q3</f>
        <v>0</v>
      </c>
      <c r="V68" s="57" t="n">
        <f aca="false">J68*$Q3</f>
        <v>0</v>
      </c>
      <c r="W68" s="57" t="n">
        <f aca="false">K68*$Q3</f>
        <v>0</v>
      </c>
      <c r="X68" s="57" t="n">
        <f aca="false">L68*$Q3</f>
        <v>0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0</v>
      </c>
      <c r="U69" s="57" t="n">
        <f aca="false">I69*$Q3</f>
        <v>0</v>
      </c>
      <c r="V69" s="57" t="n">
        <f aca="false">J69*$Q3</f>
        <v>0</v>
      </c>
      <c r="W69" s="57" t="n">
        <f aca="false">K69*$Q3</f>
        <v>0</v>
      </c>
      <c r="X69" s="57" t="n">
        <f aca="false">L69*$Q3</f>
        <v>0</v>
      </c>
      <c r="Y69" s="57" t="n">
        <f aca="false">M69*$Q3</f>
        <v>0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61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3" activeCellId="0" sqref="Y3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98</v>
      </c>
      <c r="I3" s="119" t="s">
        <v>2</v>
      </c>
      <c r="J3" s="4" t="n">
        <v>45320</v>
      </c>
      <c r="K3" s="5" t="n">
        <v>45326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98</v>
      </c>
      <c r="U3" s="119" t="s">
        <v>2</v>
      </c>
      <c r="V3" s="4" t="n">
        <v>45313</v>
      </c>
      <c r="W3" s="5" t="n">
        <v>45319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</v>
      </c>
      <c r="H7" s="13"/>
      <c r="I7" s="13"/>
      <c r="J7" s="13" t="n">
        <v>4</v>
      </c>
      <c r="K7" s="13" t="n">
        <v>2</v>
      </c>
      <c r="L7" s="13" t="n">
        <v>3</v>
      </c>
      <c r="M7" s="13" t="n">
        <v>4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Tabella52791124791618202224262830323436384042444648505254565860626468707274767880828486908892949698100102104106108110112114116118120122124126130[[#This Row],[Colonna1]]*$Q3</f>
        <v>0.4</v>
      </c>
      <c r="T7" s="14"/>
      <c r="U7" s="14"/>
      <c r="V7" s="14" t="n">
        <f aca="false">Tabella52791124791618202224262830323436384042444648505254565860626468707274767880828486908892949698100102104106108110112114116118120122124126130[[#This Row],[Colonna4]]*$Q3</f>
        <v>1.6</v>
      </c>
      <c r="W7" s="14" t="n">
        <f aca="false">Tabella52791124791618202224262830323436384042444648505254565860626468707274767880828486908892949698100102104106108110112114116118120122124126130[[#This Row],[Colonna5]]*$Q3</f>
        <v>0.8</v>
      </c>
      <c r="X7" s="14" t="n">
        <f aca="false">Tabella52791124791618202224262830323436384042444648505254565860626468707274767880828486908892949698100102104106108110112114116118120122124126130[[#This Row],[Colonna6]]*$Q3</f>
        <v>1.2</v>
      </c>
      <c r="Y7" s="14" t="n">
        <f aca="false">Tabella52791124791618202224262830323436384042444648505254565860626468707274767880828486908892949698100102104106108110112114116118120122124126130[[#This Row],[Colonna7]]*$Q3</f>
        <v>1.6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1</v>
      </c>
      <c r="H9" s="13" t="n">
        <v>1</v>
      </c>
      <c r="I9" s="13" t="n">
        <v>3</v>
      </c>
      <c r="J9" s="13" t="n">
        <v>1</v>
      </c>
      <c r="K9" s="13" t="n">
        <v>3</v>
      </c>
      <c r="L9" s="13" t="n">
        <v>4</v>
      </c>
      <c r="M9" s="13" t="n">
        <v>8</v>
      </c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Tabella52791124791618202224262830323436384042444648505254565860626468707274767880828486908892949698100102104106108110112114116118120122124126130[[#This Row],[Colonna1]]*$Q3</f>
        <v>0.4</v>
      </c>
      <c r="T9" s="14" t="n">
        <f aca="false">Tabella52791124791618202224262830323436384042444648505254565860626468707274767880828486908892949698100102104106108110112114116118120122124126130[[#This Row],[Colonna2]]*$Q3</f>
        <v>0.4</v>
      </c>
      <c r="U9" s="14" t="n">
        <f aca="false">Tabella52791124791618202224262830323436384042444648505254565860626468707274767880828486908892949698100102104106108110112114116118120122124126130[[#This Row],[Colonna3]]*$Q3</f>
        <v>1.2</v>
      </c>
      <c r="V9" s="14" t="n">
        <f aca="false">Tabella52791124791618202224262830323436384042444648505254565860626468707274767880828486908892949698100102104106108110112114116118120122124126130[[#This Row],[Colonna4]]*$Q3</f>
        <v>0.4</v>
      </c>
      <c r="W9" s="14" t="n">
        <f aca="false">Tabella52791124791618202224262830323436384042444648505254565860626468707274767880828486908892949698100102104106108110112114116118120122124126130[[#This Row],[Colonna5]]*$Q3</f>
        <v>1.2</v>
      </c>
      <c r="X9" s="14" t="n">
        <f aca="false">Tabella52791124791618202224262830323436384042444648505254565860626468707274767880828486908892949698100102104106108110112114116118120122124126130[[#This Row],[Colonna6]]*$Q3</f>
        <v>1.6</v>
      </c>
      <c r="Y9" s="14" t="n">
        <f aca="false">Tabella52791124791618202224262830323436384042444648505254565860626468707274767880828486908892949698100102104106108110112114116118120122124126130[[#This Row],[Colonna7]]*$Q3</f>
        <v>3.2</v>
      </c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1</v>
      </c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Tabella52791124791618202224262830323436384042444648505254565860626468707274767880828486908892949698100102104106108110112114116118120122124126130[[#This Row],[Colonna1]]*$Q3</f>
        <v>0.4</v>
      </c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6</v>
      </c>
      <c r="H21" s="13" t="n">
        <v>8</v>
      </c>
      <c r="I21" s="13" t="n">
        <v>12</v>
      </c>
      <c r="J21" s="13" t="n">
        <v>31</v>
      </c>
      <c r="K21" s="13" t="n">
        <v>58</v>
      </c>
      <c r="L21" s="13" t="n">
        <v>51</v>
      </c>
      <c r="M21" s="13" t="n">
        <v>39</v>
      </c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Tabella52791124791618202224262830323436384042444648505254565860626468707274767880828486908892949698100102104106108110112114116118120122124126130[[#This Row],[Colonna1]]*$Q3</f>
        <v>2.4</v>
      </c>
      <c r="T21" s="14" t="n">
        <f aca="false">Tabella52791124791618202224262830323436384042444648505254565860626468707274767880828486908892949698100102104106108110112114116118120122124126130[[#This Row],[Colonna2]]*$Q3</f>
        <v>3.2</v>
      </c>
      <c r="U21" s="14" t="n">
        <f aca="false">Tabella52791124791618202224262830323436384042444648505254565860626468707274767880828486908892949698100102104106108110112114116118120122124126130[[#This Row],[Colonna3]]*$Q3</f>
        <v>4.8</v>
      </c>
      <c r="V21" s="14" t="n">
        <f aca="false">Tabella52791124791618202224262830323436384042444648505254565860626468707274767880828486908892949698100102104106108110112114116118120122124126130[[#This Row],[Colonna4]]*$Q3</f>
        <v>12.4</v>
      </c>
      <c r="W21" s="14" t="n">
        <f aca="false">Tabella52791124791618202224262830323436384042444648505254565860626468707274767880828486908892949698100102104106108110112114116118120122124126130[[#This Row],[Colonna5]]*$Q3</f>
        <v>23.2</v>
      </c>
      <c r="X21" s="14" t="n">
        <f aca="false">Tabella52791124791618202224262830323436384042444648505254565860626468707274767880828486908892949698100102104106108110112114116118120122124126130[[#This Row],[Colonna6]]*$Q3</f>
        <v>20.4</v>
      </c>
      <c r="Y21" s="14" t="n">
        <f aca="false">Tabella52791124791618202224262830323436384042444648505254565860626468707274767880828486908892949698100102104106108110112114116118120122124126130[[#This Row],[Colonna7]]*$Q3</f>
        <v>15.6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9</v>
      </c>
      <c r="H22" s="13" t="n">
        <v>4</v>
      </c>
      <c r="I22" s="13" t="n">
        <v>19</v>
      </c>
      <c r="J22" s="13" t="n">
        <v>51</v>
      </c>
      <c r="K22" s="13" t="n">
        <v>71</v>
      </c>
      <c r="L22" s="13" t="n">
        <v>73</v>
      </c>
      <c r="M22" s="13" t="n">
        <v>25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Tabella52791124791618202224262830323436384042444648505254565860626468707274767880828486908892949698100102104106108110112114116118120122124126130[[#This Row],[Colonna1]]*$Q3</f>
        <v>3.6</v>
      </c>
      <c r="T22" s="14" t="n">
        <f aca="false">Tabella52791124791618202224262830323436384042444648505254565860626468707274767880828486908892949698100102104106108110112114116118120122124126130[[#This Row],[Colonna2]]*$Q3</f>
        <v>1.6</v>
      </c>
      <c r="U22" s="14" t="n">
        <f aca="false">Tabella52791124791618202224262830323436384042444648505254565860626468707274767880828486908892949698100102104106108110112114116118120122124126130[[#This Row],[Colonna3]]*$Q3</f>
        <v>7.6</v>
      </c>
      <c r="V22" s="14" t="n">
        <f aca="false">Tabella52791124791618202224262830323436384042444648505254565860626468707274767880828486908892949698100102104106108110112114116118120122124126130[[#This Row],[Colonna4]]*$Q3</f>
        <v>20.4</v>
      </c>
      <c r="W22" s="14" t="n">
        <f aca="false">Tabella52791124791618202224262830323436384042444648505254565860626468707274767880828486908892949698100102104106108110112114116118120122124126130[[#This Row],[Colonna5]]*$Q3</f>
        <v>28.4</v>
      </c>
      <c r="X22" s="14" t="n">
        <f aca="false">Tabella52791124791618202224262830323436384042444648505254565860626468707274767880828486908892949698100102104106108110112114116118120122124126130[[#This Row],[Colonna6]]*$Q3</f>
        <v>29.2</v>
      </c>
      <c r="Y22" s="14" t="n">
        <f aca="false">Tabella52791124791618202224262830323436384042444648505254565860626468707274767880828486908892949698100102104106108110112114116118120122124126130[[#This Row],[Colonna7]]*$Q3</f>
        <v>10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</v>
      </c>
      <c r="H44" s="13" t="n">
        <v>6</v>
      </c>
      <c r="I44" s="13" t="n">
        <v>2</v>
      </c>
      <c r="J44" s="13" t="n">
        <v>3</v>
      </c>
      <c r="K44" s="13" t="n">
        <v>3</v>
      </c>
      <c r="L44" s="13"/>
      <c r="M44" s="13" t="n">
        <v>6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Tabella52791124791618202224262830323436384042444648505254565860626468707274767880828486908892949698100102104106108110112114116118120122124126130[[#This Row],[Colonna1]]*$Q3</f>
        <v>0.8</v>
      </c>
      <c r="T44" s="14" t="n">
        <f aca="false">Tabella52791124791618202224262830323436384042444648505254565860626468707274767880828486908892949698100102104106108110112114116118120122124126130[[#This Row],[Colonna2]]*$Q3</f>
        <v>2.4</v>
      </c>
      <c r="U44" s="14" t="n">
        <f aca="false">Tabella52791124791618202224262830323436384042444648505254565860626468707274767880828486908892949698100102104106108110112114116118120122124126130[[#This Row],[Colonna3]]*$Q3</f>
        <v>0.8</v>
      </c>
      <c r="V44" s="14" t="n">
        <f aca="false">Tabella52791124791618202224262830323436384042444648505254565860626468707274767880828486908892949698100102104106108110112114116118120122124126130[[#This Row],[Colonna4]]*$Q3</f>
        <v>1.2</v>
      </c>
      <c r="W44" s="14" t="n">
        <f aca="false">Tabella52791124791618202224262830323436384042444648505254565860626468707274767880828486908892949698100102104106108110112114116118120122124126130[[#This Row],[Colonna5]]*$Q3</f>
        <v>1.2</v>
      </c>
      <c r="X44" s="14"/>
      <c r="Y44" s="14" t="n">
        <f aca="false">Tabella52791124791618202224262830323436384042444648505254565860626468707274767880828486908892949698100102104106108110112114116118120122124126130[[#This Row],[Colonna7]]*$Q3</f>
        <v>2.4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1</v>
      </c>
      <c r="H47" s="13"/>
      <c r="I47" s="13"/>
      <c r="J47" s="13" t="n">
        <v>1</v>
      </c>
      <c r="K47" s="13"/>
      <c r="L47" s="13" t="n">
        <v>1</v>
      </c>
      <c r="M47" s="13"/>
      <c r="P47" s="16" t="s">
        <v>54</v>
      </c>
      <c r="Q47" s="16"/>
      <c r="R47" s="16"/>
      <c r="S47" s="14" t="n">
        <f aca="false">Tabella52791124791618202224262830323436384042444648505254565860626468707274767880828486908892949698100102104106108110112114116118120122124126130[[#This Row],[Colonna1]]*$Q3</f>
        <v>0.4</v>
      </c>
      <c r="T47" s="14"/>
      <c r="U47" s="14"/>
      <c r="V47" s="14" t="n">
        <f aca="false">Tabella52791124791618202224262830323436384042444648505254565860626468707274767880828486908892949698100102104106108110112114116118120122124126130[[#This Row],[Colonna4]]*$Q3</f>
        <v>0.4</v>
      </c>
      <c r="W47" s="14"/>
      <c r="X47" s="14" t="n">
        <f aca="false">Tabella52791124791618202224262830323436384042444648505254565860626468707274767880828486908892949698100102104106108110112114116118120122124126130[[#This Row],[Colonna6]]*$Q3</f>
        <v>0.4</v>
      </c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21</v>
      </c>
      <c r="H53" s="55" t="n">
        <f aca="false">SUM(H6:H52)</f>
        <v>19</v>
      </c>
      <c r="I53" s="55" t="n">
        <f aca="false">SUM(I6:I52)</f>
        <v>36</v>
      </c>
      <c r="J53" s="55" t="n">
        <f aca="false">SUM(J6:J52)</f>
        <v>91</v>
      </c>
      <c r="K53" s="55" t="n">
        <f aca="false">SUM(K6:K52)</f>
        <v>137</v>
      </c>
      <c r="L53" s="55" t="n">
        <f aca="false">SUM(L6:L52)</f>
        <v>132</v>
      </c>
      <c r="M53" s="55" t="n">
        <f aca="false">SUM(M6:M52)</f>
        <v>82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Tabella52791124791618202224262830323436384042444648505254565860626468707274767880828486908892949698100102104106108110112114116118120122124126130[[#This Row],[Colonna1]]*$Q3</f>
        <v>8.4</v>
      </c>
      <c r="T53" s="56" t="n">
        <f aca="false">Tabella52791124791618202224262830323436384042444648505254565860626468707274767880828486908892949698100102104106108110112114116118120122124126130[[#This Row],[Colonna2]]*$Q3</f>
        <v>7.6</v>
      </c>
      <c r="U53" s="56" t="n">
        <f aca="false">Tabella52791124791618202224262830323436384042444648505254565860626468707274767880828486908892949698100102104106108110112114116118120122124126130[[#This Row],[Colonna3]]*$Q3</f>
        <v>14.4</v>
      </c>
      <c r="V53" s="56" t="n">
        <f aca="false">Tabella52791124791618202224262830323436384042444648505254565860626468707274767880828486908892949698100102104106108110112114116118120122124126130[[#This Row],[Colonna4]]*$Q3</f>
        <v>36.4</v>
      </c>
      <c r="W53" s="56" t="n">
        <f aca="false">Tabella52791124791618202224262830323436384042444648505254565860626468707274767880828486908892949698100102104106108110112114116118120122124126130[[#This Row],[Colonna5]]*$Q3</f>
        <v>54.8</v>
      </c>
      <c r="X53" s="56" t="n">
        <f aca="false">Tabella52791124791618202224262830323436384042444648505254565860626468707274767880828486908892949698100102104106108110112114116118120122124126130[[#This Row],[Colonna6]]*$Q3</f>
        <v>52.8</v>
      </c>
      <c r="Y53" s="56" t="n">
        <f aca="false">Tabella52791124791618202224262830323436384042444648505254565860626468707274767880828486908892949698100102104106108110112114116118120122124126130[[#This Row],[Colonna7]]*$Q3</f>
        <v>32.8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85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12</v>
      </c>
      <c r="H58" s="26" t="n">
        <v>22</v>
      </c>
      <c r="I58" s="26" t="n">
        <v>18</v>
      </c>
      <c r="J58" s="26" t="n">
        <v>11</v>
      </c>
      <c r="K58" s="26" t="n">
        <v>46</v>
      </c>
      <c r="L58" s="26" t="n">
        <v>21</v>
      </c>
      <c r="M58" s="26" t="n">
        <v>3</v>
      </c>
      <c r="P58" s="23" t="s">
        <v>62</v>
      </c>
      <c r="Q58" s="23"/>
      <c r="R58" s="23"/>
      <c r="S58" s="57" t="n">
        <f aca="false">G58*$Q3</f>
        <v>4.8</v>
      </c>
      <c r="T58" s="57" t="n">
        <f aca="false">H58*$Q3</f>
        <v>8.8</v>
      </c>
      <c r="U58" s="57" t="n">
        <f aca="false">I58*$Q3</f>
        <v>7.2</v>
      </c>
      <c r="V58" s="57" t="n">
        <f aca="false">J58*$Q3</f>
        <v>4.4</v>
      </c>
      <c r="W58" s="57" t="n">
        <f aca="false">K58*$Q3</f>
        <v>18.4</v>
      </c>
      <c r="X58" s="57" t="n">
        <f aca="false">L58*$Q3</f>
        <v>8.4</v>
      </c>
      <c r="Y58" s="140" t="n">
        <f aca="false">M58*$Q3</f>
        <v>1.2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86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86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86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8</v>
      </c>
      <c r="H62" s="26" t="n">
        <v>7</v>
      </c>
      <c r="I62" s="26" t="n">
        <v>6</v>
      </c>
      <c r="J62" s="26" t="n">
        <v>2</v>
      </c>
      <c r="K62" s="26" t="n">
        <v>6</v>
      </c>
      <c r="L62" s="26"/>
      <c r="M62" s="26" t="n">
        <v>3</v>
      </c>
      <c r="P62" s="9" t="s">
        <v>66</v>
      </c>
      <c r="Q62" s="9"/>
      <c r="R62" s="9"/>
      <c r="S62" s="57" t="n">
        <f aca="false">G62*$Q3</f>
        <v>3.2</v>
      </c>
      <c r="T62" s="57" t="n">
        <f aca="false">H62*$Q3</f>
        <v>2.8</v>
      </c>
      <c r="U62" s="57" t="n">
        <f aca="false">I62*$Q3</f>
        <v>2.4</v>
      </c>
      <c r="V62" s="57" t="n">
        <f aca="false">J62*$Q3</f>
        <v>0.8</v>
      </c>
      <c r="W62" s="57" t="n">
        <f aca="false">K62*$Q3</f>
        <v>2.4</v>
      </c>
      <c r="X62" s="57"/>
      <c r="Y62" s="140" t="n">
        <f aca="false">M62*$Q3</f>
        <v>1.2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/>
      <c r="M63" s="26"/>
      <c r="P63" s="9" t="s">
        <v>67</v>
      </c>
      <c r="Q63" s="9"/>
      <c r="R63" s="9"/>
      <c r="S63" s="57"/>
      <c r="T63" s="57"/>
      <c r="U63" s="57"/>
      <c r="V63" s="57"/>
      <c r="W63" s="57"/>
      <c r="X63" s="57"/>
      <c r="Y63" s="140"/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1</v>
      </c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0.4</v>
      </c>
      <c r="T64" s="57"/>
      <c r="U64" s="57"/>
      <c r="V64" s="57"/>
      <c r="W64" s="57"/>
      <c r="X64" s="57"/>
      <c r="Y64" s="140"/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2</v>
      </c>
      <c r="H65" s="30" t="n">
        <v>3</v>
      </c>
      <c r="I65" s="30" t="n">
        <v>1</v>
      </c>
      <c r="J65" s="26" t="n">
        <v>1</v>
      </c>
      <c r="K65" s="26" t="n">
        <v>1</v>
      </c>
      <c r="L65" s="26" t="n">
        <v>1</v>
      </c>
      <c r="M65" s="26" t="n">
        <v>1</v>
      </c>
      <c r="P65" s="9" t="s">
        <v>69</v>
      </c>
      <c r="Q65" s="9"/>
      <c r="R65" s="9"/>
      <c r="S65" s="57" t="n">
        <f aca="false">G65*$Q3</f>
        <v>0.8</v>
      </c>
      <c r="T65" s="57" t="n">
        <f aca="false">H65*$Q3</f>
        <v>1.2</v>
      </c>
      <c r="U65" s="57" t="n">
        <f aca="false">I65*$Q3</f>
        <v>0.4</v>
      </c>
      <c r="V65" s="57" t="n">
        <f aca="false">J65*$Q3</f>
        <v>0.4</v>
      </c>
      <c r="W65" s="57" t="n">
        <f aca="false">K65*$Q3</f>
        <v>0.4</v>
      </c>
      <c r="X65" s="57" t="n">
        <f aca="false">L65*$Q3</f>
        <v>0.4</v>
      </c>
      <c r="Y65" s="140" t="n">
        <f aca="false">M65*$Q3</f>
        <v>0.4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86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2</v>
      </c>
      <c r="H67" s="139"/>
      <c r="I67" s="139" t="n">
        <v>2</v>
      </c>
      <c r="J67" s="26" t="n">
        <v>1</v>
      </c>
      <c r="K67" s="26" t="n">
        <v>2</v>
      </c>
      <c r="L67" s="26"/>
      <c r="M67" s="26" t="n">
        <v>1</v>
      </c>
      <c r="P67" s="9" t="s">
        <v>71</v>
      </c>
      <c r="Q67" s="9"/>
      <c r="R67" s="9"/>
      <c r="S67" s="57" t="n">
        <f aca="false">G67*$Q3</f>
        <v>0.8</v>
      </c>
      <c r="T67" s="57"/>
      <c r="U67" s="57" t="n">
        <f aca="false">I67*$Q3</f>
        <v>0.8</v>
      </c>
      <c r="V67" s="57" t="n">
        <f aca="false">J67*$Q3</f>
        <v>0.4</v>
      </c>
      <c r="W67" s="57" t="n">
        <f aca="false">K67*$Q3</f>
        <v>0.8</v>
      </c>
      <c r="X67" s="57"/>
      <c r="Y67" s="140" t="n">
        <f aca="false">M67*$Q3</f>
        <v>0.4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4</v>
      </c>
      <c r="H68" s="30"/>
      <c r="I68" s="30" t="n">
        <v>1</v>
      </c>
      <c r="J68" s="30"/>
      <c r="K68" s="30" t="n">
        <v>1</v>
      </c>
      <c r="L68" s="30"/>
      <c r="M68" s="30" t="n">
        <v>1</v>
      </c>
      <c r="P68" s="9" t="s">
        <v>72</v>
      </c>
      <c r="Q68" s="9"/>
      <c r="R68" s="9"/>
      <c r="S68" s="57" t="n">
        <f aca="false">G68*$Q3</f>
        <v>1.6</v>
      </c>
      <c r="T68" s="57"/>
      <c r="U68" s="57" t="n">
        <f aca="false">I68*$Q3</f>
        <v>0.4</v>
      </c>
      <c r="V68" s="57"/>
      <c r="W68" s="57" t="n">
        <f aca="false">K68*$Q3</f>
        <v>0.4</v>
      </c>
      <c r="X68" s="57"/>
      <c r="Y68" s="140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</v>
      </c>
      <c r="H69" s="30" t="n">
        <v>1</v>
      </c>
      <c r="I69" s="30"/>
      <c r="J69" s="30" t="n">
        <v>10</v>
      </c>
      <c r="K69" s="30" t="n">
        <v>4</v>
      </c>
      <c r="L69" s="30"/>
      <c r="M69" s="30"/>
      <c r="P69" s="9" t="s">
        <v>73</v>
      </c>
      <c r="Q69" s="9"/>
      <c r="R69" s="9"/>
      <c r="S69" s="57" t="n">
        <f aca="false">G69*$Q3</f>
        <v>0.4</v>
      </c>
      <c r="T69" s="57" t="n">
        <f aca="false">H69*$Q3</f>
        <v>0.4</v>
      </c>
      <c r="U69" s="57"/>
      <c r="V69" s="57" t="n">
        <f aca="false">J69*$Q3</f>
        <v>4</v>
      </c>
      <c r="W69" s="57" t="n">
        <f aca="false">K69*$Q3</f>
        <v>1.6</v>
      </c>
      <c r="X69" s="57"/>
      <c r="Y69" s="140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30</v>
      </c>
      <c r="H70" s="60" t="n">
        <f aca="false">SUM(H58:H69)</f>
        <v>33</v>
      </c>
      <c r="I70" s="60" t="n">
        <f aca="false">SUM(I58:I69)</f>
        <v>28</v>
      </c>
      <c r="J70" s="60" t="n">
        <f aca="false">SUM(J58:J69)</f>
        <v>25</v>
      </c>
      <c r="K70" s="60" t="n">
        <f aca="false">SUM(K58:K69)</f>
        <v>60</v>
      </c>
      <c r="L70" s="60" t="n">
        <f aca="false">SUM(L58:L69)</f>
        <v>22</v>
      </c>
      <c r="M70" s="60" t="n">
        <f aca="false">SUM(M58:M69)</f>
        <v>9</v>
      </c>
      <c r="P70" s="9" t="s">
        <v>60</v>
      </c>
      <c r="Q70" s="9"/>
      <c r="R70" s="9"/>
      <c r="S70" s="61" t="n">
        <f aca="false">G70*$Q3</f>
        <v>12</v>
      </c>
      <c r="T70" s="61" t="n">
        <f aca="false">H70*$Q3</f>
        <v>13.2</v>
      </c>
      <c r="U70" s="61" t="n">
        <f aca="false">I70*$Q3</f>
        <v>11.2</v>
      </c>
      <c r="V70" s="61" t="n">
        <f aca="false">J70*$Q3</f>
        <v>10</v>
      </c>
      <c r="W70" s="61" t="n">
        <f aca="false">K70*$Q3</f>
        <v>24</v>
      </c>
      <c r="X70" s="61" t="n">
        <f aca="false">L70*$Q3</f>
        <v>8.8</v>
      </c>
      <c r="Y70" s="141" t="n">
        <f aca="false">M70*$Q3</f>
        <v>3.6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3" activeCellId="0" sqref="Y3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99</v>
      </c>
      <c r="I3" s="119" t="s">
        <v>2</v>
      </c>
      <c r="J3" s="4" t="n">
        <v>45327</v>
      </c>
      <c r="K3" s="5" t="n">
        <v>45333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99</v>
      </c>
      <c r="U3" s="119" t="s">
        <v>2</v>
      </c>
      <c r="V3" s="4" t="n">
        <v>45327</v>
      </c>
      <c r="W3" s="5" t="n">
        <v>45333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3</v>
      </c>
      <c r="H7" s="13" t="n">
        <v>3</v>
      </c>
      <c r="I7" s="13" t="n">
        <v>3</v>
      </c>
      <c r="J7" s="13" t="n">
        <v>14</v>
      </c>
      <c r="K7" s="13" t="n">
        <v>22</v>
      </c>
      <c r="L7" s="13" t="n">
        <v>6</v>
      </c>
      <c r="M7" s="13"/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Tabella52791124791618202224262830323436384042444648505254565860626468707274767880828486908892949698100102104106108110112114116118120122124126130128[[#This Row],[Colonna1]]*$Q3</f>
        <v>1.2</v>
      </c>
      <c r="T7" s="14" t="n">
        <f aca="false">Tabella52791124791618202224262830323436384042444648505254565860626468707274767880828486908892949698100102104106108110112114116118120122124126130128[[#This Row],[Colonna2]]*$Q3</f>
        <v>1.2</v>
      </c>
      <c r="U7" s="14" t="n">
        <f aca="false">Tabella52791124791618202224262830323436384042444648505254565860626468707274767880828486908892949698100102104106108110112114116118120122124126130128[[#This Row],[Colonna3]]*$Q3</f>
        <v>1.2</v>
      </c>
      <c r="V7" s="14" t="n">
        <f aca="false">Tabella52791124791618202224262830323436384042444648505254565860626468707274767880828486908892949698100102104106108110112114116118120122124126130128[[#This Row],[Colonna4]]*$Q3</f>
        <v>5.6</v>
      </c>
      <c r="W7" s="14" t="n">
        <f aca="false">Tabella52791124791618202224262830323436384042444648505254565860626468707274767880828486908892949698100102104106108110112114116118120122124126130128[[#This Row],[Colonna5]]*$Q3</f>
        <v>8.8</v>
      </c>
      <c r="X7" s="14" t="n">
        <f aca="false">Tabella52791124791618202224262830323436384042444648505254565860626468707274767880828486908892949698100102104106108110112114116118120122124126130128[[#This Row],[Colonna6]]*$Q3</f>
        <v>2.4</v>
      </c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1</v>
      </c>
      <c r="H9" s="13" t="n">
        <v>3</v>
      </c>
      <c r="I9" s="13" t="n">
        <v>13</v>
      </c>
      <c r="J9" s="13" t="n">
        <v>10</v>
      </c>
      <c r="K9" s="13" t="n">
        <v>11</v>
      </c>
      <c r="L9" s="13" t="n">
        <v>2</v>
      </c>
      <c r="M9" s="13"/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Tabella52791124791618202224262830323436384042444648505254565860626468707274767880828486908892949698100102104106108110112114116118120122124126130128[[#This Row],[Colonna1]]*$Q3</f>
        <v>0.4</v>
      </c>
      <c r="T9" s="14" t="n">
        <f aca="false">Tabella52791124791618202224262830323436384042444648505254565860626468707274767880828486908892949698100102104106108110112114116118120122124126130128[[#This Row],[Colonna2]]*$Q3</f>
        <v>1.2</v>
      </c>
      <c r="U9" s="14" t="n">
        <f aca="false">Tabella52791124791618202224262830323436384042444648505254565860626468707274767880828486908892949698100102104106108110112114116118120122124126130128[[#This Row],[Colonna3]]*$Q3</f>
        <v>5.2</v>
      </c>
      <c r="V9" s="14" t="n">
        <f aca="false">Tabella52791124791618202224262830323436384042444648505254565860626468707274767880828486908892949698100102104106108110112114116118120122124126130128[[#This Row],[Colonna4]]*$Q3</f>
        <v>4</v>
      </c>
      <c r="W9" s="14" t="n">
        <f aca="false">Tabella52791124791618202224262830323436384042444648505254565860626468707274767880828486908892949698100102104106108110112114116118120122124126130128[[#This Row],[Colonna5]]*$Q3</f>
        <v>4.4</v>
      </c>
      <c r="X9" s="14" t="n">
        <f aca="false">Tabella52791124791618202224262830323436384042444648505254565860626468707274767880828486908892949698100102104106108110112114116118120122124126130128[[#This Row],[Colonna6]]*$Q3</f>
        <v>0.8</v>
      </c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37</v>
      </c>
      <c r="H21" s="13" t="n">
        <v>16</v>
      </c>
      <c r="I21" s="13" t="n">
        <v>46</v>
      </c>
      <c r="J21" s="13" t="n">
        <v>49</v>
      </c>
      <c r="K21" s="13" t="n">
        <v>36</v>
      </c>
      <c r="L21" s="13" t="n">
        <v>11</v>
      </c>
      <c r="M21" s="13" t="n">
        <v>1</v>
      </c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Tabella52791124791618202224262830323436384042444648505254565860626468707274767880828486908892949698100102104106108110112114116118120122124126130128[[#This Row],[Colonna1]]*$Q3</f>
        <v>14.8</v>
      </c>
      <c r="T21" s="14" t="n">
        <f aca="false">Tabella52791124791618202224262830323436384042444648505254565860626468707274767880828486908892949698100102104106108110112114116118120122124126130128[[#This Row],[Colonna2]]*$Q3</f>
        <v>6.4</v>
      </c>
      <c r="U21" s="14" t="n">
        <f aca="false">Tabella52791124791618202224262830323436384042444648505254565860626468707274767880828486908892949698100102104106108110112114116118120122124126130128[[#This Row],[Colonna3]]*$Q3</f>
        <v>18.4</v>
      </c>
      <c r="V21" s="14" t="n">
        <f aca="false">Tabella52791124791618202224262830323436384042444648505254565860626468707274767880828486908892949698100102104106108110112114116118120122124126130128[[#This Row],[Colonna4]]*$Q3</f>
        <v>19.6</v>
      </c>
      <c r="W21" s="14" t="n">
        <f aca="false">Tabella52791124791618202224262830323436384042444648505254565860626468707274767880828486908892949698100102104106108110112114116118120122124126130128[[#This Row],[Colonna5]]*$Q3</f>
        <v>14.4</v>
      </c>
      <c r="X21" s="14" t="n">
        <f aca="false">Tabella52791124791618202224262830323436384042444648505254565860626468707274767880828486908892949698100102104106108110112114116118120122124126130128[[#This Row],[Colonna6]]*$Q3</f>
        <v>4.4</v>
      </c>
      <c r="Y21" s="14" t="n">
        <f aca="false">Tabella52791124791618202224262830323436384042444648505254565860626468707274767880828486908892949698100102104106108110112114116118120122124126130128[[#This Row],[Colonna7]]*$Q3</f>
        <v>0.4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15</v>
      </c>
      <c r="H22" s="13" t="n">
        <v>10</v>
      </c>
      <c r="I22" s="13" t="n">
        <v>14</v>
      </c>
      <c r="J22" s="13" t="n">
        <v>58</v>
      </c>
      <c r="K22" s="13" t="n">
        <v>43</v>
      </c>
      <c r="L22" s="13" t="n">
        <v>26</v>
      </c>
      <c r="M22" s="13" t="n">
        <v>1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Tabella52791124791618202224262830323436384042444648505254565860626468707274767880828486908892949698100102104106108110112114116118120122124126130128[[#This Row],[Colonna1]]*$Q3</f>
        <v>6</v>
      </c>
      <c r="T22" s="14" t="n">
        <f aca="false">Tabella52791124791618202224262830323436384042444648505254565860626468707274767880828486908892949698100102104106108110112114116118120122124126130128[[#This Row],[Colonna2]]*$Q3</f>
        <v>4</v>
      </c>
      <c r="U22" s="14" t="n">
        <f aca="false">Tabella52791124791618202224262830323436384042444648505254565860626468707274767880828486908892949698100102104106108110112114116118120122124126130128[[#This Row],[Colonna3]]*$Q3</f>
        <v>5.6</v>
      </c>
      <c r="V22" s="14" t="n">
        <f aca="false">Tabella52791124791618202224262830323436384042444648505254565860626468707274767880828486908892949698100102104106108110112114116118120122124126130128[[#This Row],[Colonna4]]*$Q3</f>
        <v>23.2</v>
      </c>
      <c r="W22" s="14" t="n">
        <f aca="false">Tabella52791124791618202224262830323436384042444648505254565860626468707274767880828486908892949698100102104106108110112114116118120122124126130128[[#This Row],[Colonna5]]*$Q3</f>
        <v>17.2</v>
      </c>
      <c r="X22" s="14" t="n">
        <f aca="false">Tabella52791124791618202224262830323436384042444648505254565860626468707274767880828486908892949698100102104106108110112114116118120122124126130128[[#This Row],[Colonna6]]*$Q3</f>
        <v>10.4</v>
      </c>
      <c r="Y22" s="14" t="n">
        <f aca="false">Tabella52791124791618202224262830323436384042444648505254565860626468707274767880828486908892949698100102104106108110112114116118120122124126130128[[#This Row],[Colonna7]]*$Q3</f>
        <v>0.4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</v>
      </c>
      <c r="H44" s="13" t="n">
        <v>2</v>
      </c>
      <c r="I44" s="13" t="n">
        <v>3</v>
      </c>
      <c r="J44" s="13" t="n">
        <v>15</v>
      </c>
      <c r="K44" s="13" t="n">
        <v>4</v>
      </c>
      <c r="L44" s="13" t="n">
        <v>7</v>
      </c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Tabella52791124791618202224262830323436384042444648505254565860626468707274767880828486908892949698100102104106108110112114116118120122124126130128[[#This Row],[Colonna1]]*$Q3</f>
        <v>0.8</v>
      </c>
      <c r="T44" s="14" t="n">
        <f aca="false">Tabella52791124791618202224262830323436384042444648505254565860626468707274767880828486908892949698100102104106108110112114116118120122124126130128[[#This Row],[Colonna2]]*$Q3</f>
        <v>0.8</v>
      </c>
      <c r="U44" s="14" t="n">
        <f aca="false">Tabella52791124791618202224262830323436384042444648505254565860626468707274767880828486908892949698100102104106108110112114116118120122124126130128[[#This Row],[Colonna3]]*$Q3</f>
        <v>1.2</v>
      </c>
      <c r="V44" s="14" t="n">
        <f aca="false">Tabella52791124791618202224262830323436384042444648505254565860626468707274767880828486908892949698100102104106108110112114116118120122124126130128[[#This Row],[Colonna4]]*$Q3</f>
        <v>6</v>
      </c>
      <c r="W44" s="14" t="n">
        <f aca="false">Tabella52791124791618202224262830323436384042444648505254565860626468707274767880828486908892949698100102104106108110112114116118120122124126130128[[#This Row],[Colonna5]]*$Q3</f>
        <v>1.6</v>
      </c>
      <c r="X44" s="14" t="n">
        <f aca="false">Tabella52791124791618202224262830323436384042444648505254565860626468707274767880828486908892949698100102104106108110112114116118120122124126130128[[#This Row],[Colonna6]]*$Q3</f>
        <v>2.8</v>
      </c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 t="n">
        <v>1</v>
      </c>
      <c r="K47" s="13" t="n">
        <v>1</v>
      </c>
      <c r="L47" s="13"/>
      <c r="M47" s="13"/>
      <c r="P47" s="16" t="s">
        <v>54</v>
      </c>
      <c r="Q47" s="16"/>
      <c r="R47" s="16"/>
      <c r="S47" s="14"/>
      <c r="T47" s="14"/>
      <c r="U47" s="14"/>
      <c r="V47" s="14" t="n">
        <f aca="false">Tabella52791124791618202224262830323436384042444648505254565860626468707274767880828486908892949698100102104106108110112114116118120122124126130128[[#This Row],[Colonna4]]*$Q3</f>
        <v>0.4</v>
      </c>
      <c r="W47" s="14" t="n">
        <f aca="false">Tabella52791124791618202224262830323436384042444648505254565860626468707274767880828486908892949698100102104106108110112114116118120122124126130128[[#This Row],[Colonna5]]*$Q3</f>
        <v>0.4</v>
      </c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 t="n">
        <v>6</v>
      </c>
      <c r="J50" s="13" t="n">
        <v>4</v>
      </c>
      <c r="K50" s="13" t="n">
        <v>6</v>
      </c>
      <c r="L50" s="13" t="n">
        <v>6</v>
      </c>
      <c r="M50" s="13"/>
      <c r="P50" s="9" t="s">
        <v>57</v>
      </c>
      <c r="Q50" s="9"/>
      <c r="R50" s="9"/>
      <c r="S50" s="14"/>
      <c r="T50" s="14"/>
      <c r="U50" s="14" t="n">
        <f aca="false">Tabella52791124791618202224262830323436384042444648505254565860626468707274767880828486908892949698100102104106108110112114116118120122124126130128[[#This Row],[Colonna3]]*$Q3</f>
        <v>2.4</v>
      </c>
      <c r="V50" s="14" t="n">
        <f aca="false">Tabella52791124791618202224262830323436384042444648505254565860626468707274767880828486908892949698100102104106108110112114116118120122124126130128[[#This Row],[Colonna4]]*$Q3</f>
        <v>1.6</v>
      </c>
      <c r="W50" s="14" t="n">
        <f aca="false">Tabella52791124791618202224262830323436384042444648505254565860626468707274767880828486908892949698100102104106108110112114116118120122124126130128[[#This Row],[Colonna5]]*$Q3</f>
        <v>2.4</v>
      </c>
      <c r="X50" s="14" t="n">
        <f aca="false">Tabella52791124791618202224262830323436384042444648505254565860626468707274767880828486908892949698100102104106108110112114116118120122124126130128[[#This Row],[Colonna6]]*$Q3</f>
        <v>2.4</v>
      </c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58</v>
      </c>
      <c r="H53" s="55" t="n">
        <f aca="false">SUM(H6:H52)</f>
        <v>34</v>
      </c>
      <c r="I53" s="55" t="n">
        <f aca="false">SUM(I6:I52)</f>
        <v>85</v>
      </c>
      <c r="J53" s="55" t="n">
        <f aca="false">SUM(J6:J52)</f>
        <v>151</v>
      </c>
      <c r="K53" s="55" t="n">
        <f aca="false">SUM(K6:K52)</f>
        <v>123</v>
      </c>
      <c r="L53" s="55" t="n">
        <f aca="false">SUM(L6:L52)</f>
        <v>58</v>
      </c>
      <c r="M53" s="55" t="n">
        <f aca="false">SUM(M6:M52)</f>
        <v>2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Tabella52791124791618202224262830323436384042444648505254565860626468707274767880828486908892949698100102104106108110112114116118120122124126130128[[#This Row],[Colonna1]]*$Q3</f>
        <v>23.2</v>
      </c>
      <c r="T53" s="56" t="n">
        <f aca="false">Tabella52791124791618202224262830323436384042444648505254565860626468707274767880828486908892949698100102104106108110112114116118120122124126130128[[#This Row],[Colonna2]]*$Q3</f>
        <v>13.6</v>
      </c>
      <c r="U53" s="56" t="n">
        <f aca="false">Tabella52791124791618202224262830323436384042444648505254565860626468707274767880828486908892949698100102104106108110112114116118120122124126130128[[#This Row],[Colonna3]]*$Q3</f>
        <v>34</v>
      </c>
      <c r="V53" s="56" t="n">
        <f aca="false">Tabella52791124791618202224262830323436384042444648505254565860626468707274767880828486908892949698100102104106108110112114116118120122124126130128[[#This Row],[Colonna4]]*$Q3</f>
        <v>60.4</v>
      </c>
      <c r="W53" s="56" t="n">
        <f aca="false">Tabella52791124791618202224262830323436384042444648505254565860626468707274767880828486908892949698100102104106108110112114116118120122124126130128[[#This Row],[Colonna5]]*$Q3</f>
        <v>49.2</v>
      </c>
      <c r="X53" s="56" t="n">
        <f aca="false">Tabella52791124791618202224262830323436384042444648505254565860626468707274767880828486908892949698100102104106108110112114116118120122124126130128[[#This Row],[Colonna6]]*$Q3</f>
        <v>23.2</v>
      </c>
      <c r="Y53" s="56" t="n">
        <f aca="false">Tabella52791124791618202224262830323436384042444648505254565860626468707274767880828486908892949698100102104106108110112114116118120122124126130128[[#This Row],[Colonna7]]*$Q3</f>
        <v>0.8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8</v>
      </c>
      <c r="H58" s="26" t="n">
        <v>3</v>
      </c>
      <c r="I58" s="26" t="n">
        <v>25</v>
      </c>
      <c r="J58" s="26" t="n">
        <v>15</v>
      </c>
      <c r="K58" s="26" t="n">
        <v>8</v>
      </c>
      <c r="L58" s="26" t="n">
        <v>6</v>
      </c>
      <c r="M58" s="26" t="n">
        <v>10</v>
      </c>
      <c r="P58" s="23" t="s">
        <v>62</v>
      </c>
      <c r="Q58" s="23"/>
      <c r="R58" s="23"/>
      <c r="S58" s="57" t="n">
        <f aca="false">G58*$Q3</f>
        <v>3.2</v>
      </c>
      <c r="T58" s="57" t="n">
        <f aca="false">H58*$Q3</f>
        <v>1.2</v>
      </c>
      <c r="U58" s="57" t="n">
        <f aca="false">I58*$Q3</f>
        <v>10</v>
      </c>
      <c r="V58" s="57" t="n">
        <f aca="false">J58*$Q3</f>
        <v>6</v>
      </c>
      <c r="W58" s="57" t="n">
        <f aca="false">K58*$Q3</f>
        <v>3.2</v>
      </c>
      <c r="X58" s="57" t="n">
        <f aca="false">L58*$Q3</f>
        <v>2.4</v>
      </c>
      <c r="Y58" s="27" t="n">
        <f aca="false">M58*$Q3</f>
        <v>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 t="n">
        <v>2</v>
      </c>
      <c r="I62" s="26" t="n">
        <v>4</v>
      </c>
      <c r="J62" s="26" t="n">
        <v>5</v>
      </c>
      <c r="K62" s="26" t="n">
        <v>4</v>
      </c>
      <c r="L62" s="26" t="n">
        <v>2</v>
      </c>
      <c r="M62" s="26" t="n">
        <v>1</v>
      </c>
      <c r="P62" s="9" t="s">
        <v>66</v>
      </c>
      <c r="Q62" s="9"/>
      <c r="R62" s="9"/>
      <c r="S62" s="57"/>
      <c r="T62" s="57" t="n">
        <f aca="false">H62*$Q3</f>
        <v>0.8</v>
      </c>
      <c r="U62" s="57" t="n">
        <f aca="false">I62*$Q3</f>
        <v>1.6</v>
      </c>
      <c r="V62" s="57" t="n">
        <f aca="false">J62*$Q3</f>
        <v>2</v>
      </c>
      <c r="W62" s="57" t="n">
        <f aca="false">K62*$Q3</f>
        <v>1.6</v>
      </c>
      <c r="X62" s="57" t="n">
        <f aca="false">L62*$Q3</f>
        <v>0.8</v>
      </c>
      <c r="Y62" s="27" t="n">
        <f aca="false">M62*$Q3</f>
        <v>0.4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 t="n">
        <v>4</v>
      </c>
      <c r="M63" s="26"/>
      <c r="P63" s="9" t="s">
        <v>67</v>
      </c>
      <c r="Q63" s="9"/>
      <c r="R63" s="9"/>
      <c r="S63" s="57"/>
      <c r="T63" s="57"/>
      <c r="U63" s="57"/>
      <c r="V63" s="57"/>
      <c r="W63" s="57"/>
      <c r="X63" s="5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 t="n">
        <v>1</v>
      </c>
      <c r="M64" s="26"/>
      <c r="P64" s="9" t="s">
        <v>68</v>
      </c>
      <c r="Q64" s="9"/>
      <c r="R64" s="9"/>
      <c r="S64" s="57"/>
      <c r="T64" s="57"/>
      <c r="U64" s="57"/>
      <c r="V64" s="57"/>
      <c r="W64" s="57"/>
      <c r="X64" s="5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2</v>
      </c>
      <c r="H65" s="30" t="n">
        <v>1</v>
      </c>
      <c r="I65" s="30"/>
      <c r="J65" s="26" t="n">
        <v>2</v>
      </c>
      <c r="K65" s="26" t="n">
        <v>2</v>
      </c>
      <c r="L65" s="26" t="n">
        <v>39</v>
      </c>
      <c r="M65" s="26" t="n">
        <v>26</v>
      </c>
      <c r="P65" s="9" t="s">
        <v>69</v>
      </c>
      <c r="Q65" s="9"/>
      <c r="R65" s="9"/>
      <c r="S65" s="57" t="n">
        <f aca="false">G65*$Q3</f>
        <v>0.8</v>
      </c>
      <c r="T65" s="57" t="n">
        <f aca="false">H65*$Q3</f>
        <v>0.4</v>
      </c>
      <c r="U65" s="57"/>
      <c r="V65" s="57" t="n">
        <f aca="false">J65*$Q3</f>
        <v>0.8</v>
      </c>
      <c r="W65" s="57" t="n">
        <f aca="false">K65*$Q3</f>
        <v>0.8</v>
      </c>
      <c r="X65" s="57" t="n">
        <f aca="false">L65*$Q3</f>
        <v>15.6</v>
      </c>
      <c r="Y65" s="27" t="n">
        <f aca="false">M65*$Q3</f>
        <v>10.4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 t="n">
        <v>1</v>
      </c>
      <c r="K67" s="26" t="n">
        <v>1</v>
      </c>
      <c r="L67" s="26"/>
      <c r="M67" s="26"/>
      <c r="P67" s="9" t="s">
        <v>71</v>
      </c>
      <c r="Q67" s="9"/>
      <c r="R67" s="9"/>
      <c r="S67" s="57"/>
      <c r="T67" s="57"/>
      <c r="U67" s="57"/>
      <c r="V67" s="57" t="n">
        <f aca="false">J67*$Q3</f>
        <v>0.4</v>
      </c>
      <c r="W67" s="57" t="n">
        <f aca="false">K67*$Q3</f>
        <v>0.4</v>
      </c>
      <c r="X67" s="57"/>
      <c r="Y67" s="2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/>
      <c r="T68" s="57"/>
      <c r="U68" s="57"/>
      <c r="V68" s="57"/>
      <c r="W68" s="57"/>
      <c r="X68" s="57"/>
      <c r="Y68" s="2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</v>
      </c>
      <c r="H69" s="30"/>
      <c r="I69" s="30" t="n">
        <v>2</v>
      </c>
      <c r="J69" s="30" t="n">
        <v>4</v>
      </c>
      <c r="K69" s="30" t="n">
        <v>6</v>
      </c>
      <c r="L69" s="30"/>
      <c r="M69" s="30"/>
      <c r="P69" s="9" t="s">
        <v>73</v>
      </c>
      <c r="Q69" s="9"/>
      <c r="R69" s="9"/>
      <c r="S69" s="57" t="n">
        <f aca="false">G69*$Q3</f>
        <v>0.4</v>
      </c>
      <c r="T69" s="57"/>
      <c r="U69" s="57" t="n">
        <f aca="false">I69*$Q3</f>
        <v>0.8</v>
      </c>
      <c r="V69" s="57" t="n">
        <f aca="false">J69*$Q3</f>
        <v>1.6</v>
      </c>
      <c r="W69" s="57" t="n">
        <f aca="false">K69*$Q3</f>
        <v>2.4</v>
      </c>
      <c r="X69" s="57"/>
      <c r="Y69" s="2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11</v>
      </c>
      <c r="H70" s="60" t="n">
        <f aca="false">SUM(H58:H69)</f>
        <v>6</v>
      </c>
      <c r="I70" s="60" t="n">
        <f aca="false">SUM(I58:I69)</f>
        <v>31</v>
      </c>
      <c r="J70" s="60" t="n">
        <f aca="false">SUM(J58:J69)</f>
        <v>27</v>
      </c>
      <c r="K70" s="60" t="n">
        <f aca="false">SUM(K58:K69)</f>
        <v>21</v>
      </c>
      <c r="L70" s="60" t="n">
        <f aca="false">SUM(L58:L69)</f>
        <v>52</v>
      </c>
      <c r="M70" s="60" t="n">
        <f aca="false">SUM(M58:M69)</f>
        <v>37</v>
      </c>
      <c r="P70" s="9" t="s">
        <v>60</v>
      </c>
      <c r="Q70" s="9"/>
      <c r="R70" s="9"/>
      <c r="S70" s="61" t="n">
        <f aca="false">G70*$Q3</f>
        <v>4.4</v>
      </c>
      <c r="T70" s="61" t="n">
        <f aca="false">H70*$Q3</f>
        <v>2.4</v>
      </c>
      <c r="U70" s="61" t="n">
        <f aca="false">I70*$Q3</f>
        <v>12.4</v>
      </c>
      <c r="V70" s="61" t="n">
        <f aca="false">J70*$Q3</f>
        <v>10.8</v>
      </c>
      <c r="W70" s="61" t="n">
        <f aca="false">K70*$Q3</f>
        <v>8.4</v>
      </c>
      <c r="X70" s="61" t="n">
        <f aca="false">L70*$Q3</f>
        <v>20.8</v>
      </c>
      <c r="Y70" s="32" t="n">
        <f aca="false">M70*$Q3</f>
        <v>14.8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M3" activeCellId="0" sqref="M3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99</v>
      </c>
      <c r="I3" s="119" t="s">
        <v>2</v>
      </c>
      <c r="J3" s="4" t="n">
        <v>45334</v>
      </c>
      <c r="K3" s="5" t="n">
        <v>45340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99</v>
      </c>
      <c r="U3" s="119" t="s">
        <v>2</v>
      </c>
      <c r="V3" s="4" t="n">
        <v>45334</v>
      </c>
      <c r="W3" s="5" t="n">
        <v>45340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4</v>
      </c>
      <c r="H7" s="13" t="n">
        <v>2</v>
      </c>
      <c r="I7" s="13" t="n">
        <v>13</v>
      </c>
      <c r="J7" s="13"/>
      <c r="K7" s="13"/>
      <c r="L7" s="13"/>
      <c r="M7" s="13" t="n">
        <v>1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Tabella52791124791618202224262830323436384042444648505254565860626468707274767880828486908892949698100102104106108110112114116118120122124126130128132[[#This Row],[Colonna1]]*$Q3</f>
        <v>1.6</v>
      </c>
      <c r="T7" s="14" t="n">
        <f aca="false">Tabella52791124791618202224262830323436384042444648505254565860626468707274767880828486908892949698100102104106108110112114116118120122124126130128132[[#This Row],[Colonna2]]*$Q3</f>
        <v>0.8</v>
      </c>
      <c r="U7" s="14" t="n">
        <f aca="false">Tabella52791124791618202224262830323436384042444648505254565860626468707274767880828486908892949698100102104106108110112114116118120122124126130128132[[#This Row],[Colonna3]]*$Q3</f>
        <v>5.2</v>
      </c>
      <c r="V7" s="14"/>
      <c r="W7" s="14"/>
      <c r="X7" s="14"/>
      <c r="Y7" s="14" t="n">
        <f aca="false">Tabella52791124791618202224262830323436384042444648505254565860626468707274767880828486908892949698100102104106108110112114116118120122124126130128132[[#This Row],[Colonna7]]*$Q3</f>
        <v>0.4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56</v>
      </c>
      <c r="H9" s="13" t="n">
        <v>104</v>
      </c>
      <c r="I9" s="13" t="n">
        <v>193</v>
      </c>
      <c r="J9" s="13" t="n">
        <v>35</v>
      </c>
      <c r="K9" s="13" t="n">
        <v>12</v>
      </c>
      <c r="L9" s="13" t="n">
        <v>85</v>
      </c>
      <c r="M9" s="13" t="n">
        <v>4</v>
      </c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Tabella52791124791618202224262830323436384042444648505254565860626468707274767880828486908892949698100102104106108110112114116118120122124126130128132[[#This Row],[Colonna1]]*$Q3</f>
        <v>22.4</v>
      </c>
      <c r="T9" s="14" t="n">
        <f aca="false">Tabella52791124791618202224262830323436384042444648505254565860626468707274767880828486908892949698100102104106108110112114116118120122124126130128132[[#This Row],[Colonna2]]*$Q3</f>
        <v>41.6</v>
      </c>
      <c r="U9" s="14" t="n">
        <f aca="false">Tabella52791124791618202224262830323436384042444648505254565860626468707274767880828486908892949698100102104106108110112114116118120122124126130128132[[#This Row],[Colonna3]]*$Q3</f>
        <v>77.2</v>
      </c>
      <c r="V9" s="14" t="n">
        <f aca="false">Tabella52791124791618202224262830323436384042444648505254565860626468707274767880828486908892949698100102104106108110112114116118120122124126130128132[[#This Row],[Colonna4]]*$Q3</f>
        <v>14</v>
      </c>
      <c r="W9" s="14" t="n">
        <f aca="false">Tabella52791124791618202224262830323436384042444648505254565860626468707274767880828486908892949698100102104106108110112114116118120122124126130128132[[#This Row],[Colonna5]]*$Q3</f>
        <v>4.8</v>
      </c>
      <c r="X9" s="14" t="n">
        <f aca="false">Tabella52791124791618202224262830323436384042444648505254565860626468707274767880828486908892949698100102104106108110112114116118120122124126130128132[[#This Row],[Colonna6]]*$Q3</f>
        <v>34</v>
      </c>
      <c r="Y9" s="14" t="n">
        <f aca="false">Tabella52791124791618202224262830323436384042444648505254565860626468707274767880828486908892949698100102104106108110112114116118120122124126130128132[[#This Row],[Colonna7]]*$Q3</f>
        <v>1.6</v>
      </c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 t="n">
        <v>1</v>
      </c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 t="n">
        <f aca="false">Tabella52791124791618202224262830323436384042444648505254565860626468707274767880828486908892949698100102104106108110112114116118120122124126130128132[[#This Row],[Colonna5]]*$Q3</f>
        <v>0.4</v>
      </c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72</v>
      </c>
      <c r="H21" s="13" t="n">
        <v>66</v>
      </c>
      <c r="I21" s="13" t="n">
        <v>207</v>
      </c>
      <c r="J21" s="13" t="n">
        <v>28</v>
      </c>
      <c r="K21" s="13" t="n">
        <v>22</v>
      </c>
      <c r="L21" s="13" t="n">
        <v>38</v>
      </c>
      <c r="M21" s="13" t="n">
        <v>5</v>
      </c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Tabella52791124791618202224262830323436384042444648505254565860626468707274767880828486908892949698100102104106108110112114116118120122124126130128132[[#This Row],[Colonna1]]*$Q3</f>
        <v>28.8</v>
      </c>
      <c r="T21" s="14" t="n">
        <f aca="false">Tabella52791124791618202224262830323436384042444648505254565860626468707274767880828486908892949698100102104106108110112114116118120122124126130128132[[#This Row],[Colonna2]]*$Q3</f>
        <v>26.4</v>
      </c>
      <c r="U21" s="14" t="n">
        <f aca="false">Tabella52791124791618202224262830323436384042444648505254565860626468707274767880828486908892949698100102104106108110112114116118120122124126130128132[[#This Row],[Colonna3]]*$Q3</f>
        <v>82.8</v>
      </c>
      <c r="V21" s="14" t="n">
        <f aca="false">Tabella52791124791618202224262830323436384042444648505254565860626468707274767880828486908892949698100102104106108110112114116118120122124126130128132[[#This Row],[Colonna4]]*$Q3</f>
        <v>11.2</v>
      </c>
      <c r="W21" s="14" t="n">
        <f aca="false">Tabella52791124791618202224262830323436384042444648505254565860626468707274767880828486908892949698100102104106108110112114116118120122124126130128132[[#This Row],[Colonna5]]*$Q3</f>
        <v>8.8</v>
      </c>
      <c r="X21" s="14" t="n">
        <f aca="false">Tabella52791124791618202224262830323436384042444648505254565860626468707274767880828486908892949698100102104106108110112114116118120122124126130128132[[#This Row],[Colonna6]]*$Q3</f>
        <v>15.2</v>
      </c>
      <c r="Y21" s="14" t="n">
        <f aca="false">Tabella52791124791618202224262830323436384042444648505254565860626468707274767880828486908892949698100102104106108110112114116118120122124126130128132[[#This Row],[Colonna7]]*$Q3</f>
        <v>2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71</v>
      </c>
      <c r="H22" s="13" t="n">
        <v>202</v>
      </c>
      <c r="I22" s="13" t="n">
        <v>250</v>
      </c>
      <c r="J22" s="13" t="n">
        <v>36</v>
      </c>
      <c r="K22" s="13" t="n">
        <v>27</v>
      </c>
      <c r="L22" s="13" t="n">
        <v>111</v>
      </c>
      <c r="M22" s="13" t="n">
        <v>49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Tabella52791124791618202224262830323436384042444648505254565860626468707274767880828486908892949698100102104106108110112114116118120122124126130128132[[#This Row],[Colonna1]]*$Q3</f>
        <v>28.4</v>
      </c>
      <c r="T22" s="14" t="n">
        <f aca="false">Tabella52791124791618202224262830323436384042444648505254565860626468707274767880828486908892949698100102104106108110112114116118120122124126130128132[[#This Row],[Colonna2]]*$Q3</f>
        <v>80.8</v>
      </c>
      <c r="U22" s="14" t="n">
        <f aca="false">Tabella52791124791618202224262830323436384042444648505254565860626468707274767880828486908892949698100102104106108110112114116118120122124126130128132[[#This Row],[Colonna3]]*$Q3</f>
        <v>100</v>
      </c>
      <c r="V22" s="14" t="n">
        <f aca="false">Tabella52791124791618202224262830323436384042444648505254565860626468707274767880828486908892949698100102104106108110112114116118120122124126130128132[[#This Row],[Colonna4]]*$Q3</f>
        <v>14.4</v>
      </c>
      <c r="W22" s="14" t="n">
        <f aca="false">Tabella52791124791618202224262830323436384042444648505254565860626468707274767880828486908892949698100102104106108110112114116118120122124126130128132[[#This Row],[Colonna5]]*$Q3</f>
        <v>10.8</v>
      </c>
      <c r="X22" s="14" t="n">
        <f aca="false">Tabella52791124791618202224262830323436384042444648505254565860626468707274767880828486908892949698100102104106108110112114116118120122124126130128132[[#This Row],[Colonna6]]*$Q3</f>
        <v>44.4</v>
      </c>
      <c r="Y22" s="14" t="n">
        <f aca="false">Tabella52791124791618202224262830323436384042444648505254565860626468707274767880828486908892949698100102104106108110112114116118120122124126130128132[[#This Row],[Colonna7]]*$Q3</f>
        <v>19.6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60</v>
      </c>
      <c r="H38" s="13" t="n">
        <v>19</v>
      </c>
      <c r="I38" s="13" t="n">
        <v>27</v>
      </c>
      <c r="J38" s="13" t="n">
        <v>9</v>
      </c>
      <c r="K38" s="13" t="n">
        <v>20</v>
      </c>
      <c r="L38" s="13" t="n">
        <v>45</v>
      </c>
      <c r="M38" s="13" t="n">
        <v>10</v>
      </c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Tabella52791124791618202224262830323436384042444648505254565860626468707274767880828486908892949698100102104106108110112114116118120122124126130128132[[#This Row],[Colonna1]]*$Q3</f>
        <v>24</v>
      </c>
      <c r="T38" s="14" t="n">
        <f aca="false">Tabella52791124791618202224262830323436384042444648505254565860626468707274767880828486908892949698100102104106108110112114116118120122124126130128132[[#This Row],[Colonna2]]*$Q3</f>
        <v>7.6</v>
      </c>
      <c r="U38" s="14" t="n">
        <f aca="false">Tabella52791124791618202224262830323436384042444648505254565860626468707274767880828486908892949698100102104106108110112114116118120122124126130128132[[#This Row],[Colonna3]]*$Q3</f>
        <v>10.8</v>
      </c>
      <c r="V38" s="14" t="n">
        <f aca="false">Tabella52791124791618202224262830323436384042444648505254565860626468707274767880828486908892949698100102104106108110112114116118120122124126130128132[[#This Row],[Colonna4]]*$Q3</f>
        <v>3.6</v>
      </c>
      <c r="W38" s="14" t="n">
        <f aca="false">Tabella52791124791618202224262830323436384042444648505254565860626468707274767880828486908892949698100102104106108110112114116118120122124126130128132[[#This Row],[Colonna5]]*$Q3</f>
        <v>8</v>
      </c>
      <c r="X38" s="14" t="n">
        <f aca="false">Tabella52791124791618202224262830323436384042444648505254565860626468707274767880828486908892949698100102104106108110112114116118120122124126130128132[[#This Row],[Colonna6]]*$Q3</f>
        <v>18</v>
      </c>
      <c r="Y38" s="14" t="n">
        <f aca="false">Tabella52791124791618202224262830323436384042444648505254565860626468707274767880828486908892949698100102104106108110112114116118120122124126130128132[[#This Row],[Colonna7]]*$Q3</f>
        <v>4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9</v>
      </c>
      <c r="H44" s="13" t="n">
        <v>1</v>
      </c>
      <c r="I44" s="13" t="n">
        <v>7</v>
      </c>
      <c r="J44" s="13" t="n">
        <v>3</v>
      </c>
      <c r="K44" s="13" t="n">
        <v>5</v>
      </c>
      <c r="L44" s="13" t="n">
        <v>3</v>
      </c>
      <c r="M44" s="13" t="n">
        <v>7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Tabella52791124791618202224262830323436384042444648505254565860626468707274767880828486908892949698100102104106108110112114116118120122124126130128132[[#This Row],[Colonna1]]*$Q3</f>
        <v>3.6</v>
      </c>
      <c r="T44" s="14" t="n">
        <f aca="false">Tabella52791124791618202224262830323436384042444648505254565860626468707274767880828486908892949698100102104106108110112114116118120122124126130128132[[#This Row],[Colonna2]]*$Q3</f>
        <v>0.4</v>
      </c>
      <c r="U44" s="14" t="n">
        <f aca="false">Tabella52791124791618202224262830323436384042444648505254565860626468707274767880828486908892949698100102104106108110112114116118120122124126130128132[[#This Row],[Colonna3]]*$Q3</f>
        <v>2.8</v>
      </c>
      <c r="V44" s="14" t="n">
        <f aca="false">Tabella52791124791618202224262830323436384042444648505254565860626468707274767880828486908892949698100102104106108110112114116118120122124126130128132[[#This Row],[Colonna4]]*$Q3</f>
        <v>1.2</v>
      </c>
      <c r="W44" s="14" t="n">
        <f aca="false">Tabella52791124791618202224262830323436384042444648505254565860626468707274767880828486908892949698100102104106108110112114116118120122124126130128132[[#This Row],[Colonna5]]*$Q3</f>
        <v>2</v>
      </c>
      <c r="X44" s="14" t="n">
        <f aca="false">Tabella52791124791618202224262830323436384042444648505254565860626468707274767880828486908892949698100102104106108110112114116118120122124126130128132[[#This Row],[Colonna6]]*$Q3</f>
        <v>1.2</v>
      </c>
      <c r="Y44" s="14" t="n">
        <f aca="false">Tabella52791124791618202224262830323436384042444648505254565860626468707274767880828486908892949698100102104106108110112114116118120122124126130128132[[#This Row],[Colonna7]]*$Q3</f>
        <v>2.8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 t="n">
        <v>5</v>
      </c>
      <c r="I47" s="13"/>
      <c r="J47" s="13" t="n">
        <v>2</v>
      </c>
      <c r="K47" s="13" t="n">
        <v>1</v>
      </c>
      <c r="L47" s="13" t="n">
        <v>5</v>
      </c>
      <c r="M47" s="13" t="n">
        <v>8</v>
      </c>
      <c r="P47" s="16" t="s">
        <v>54</v>
      </c>
      <c r="Q47" s="16"/>
      <c r="R47" s="16"/>
      <c r="S47" s="14"/>
      <c r="T47" s="14" t="n">
        <f aca="false">Tabella52791124791618202224262830323436384042444648505254565860626468707274767880828486908892949698100102104106108110112114116118120122124126130128132[[#This Row],[Colonna2]]*$Q3</f>
        <v>2</v>
      </c>
      <c r="U47" s="14"/>
      <c r="V47" s="14" t="n">
        <f aca="false">Tabella52791124791618202224262830323436384042444648505254565860626468707274767880828486908892949698100102104106108110112114116118120122124126130128132[[#This Row],[Colonna4]]*$Q3</f>
        <v>0.8</v>
      </c>
      <c r="W47" s="14" t="n">
        <f aca="false">Tabella52791124791618202224262830323436384042444648505254565860626468707274767880828486908892949698100102104106108110112114116118120122124126130128132[[#This Row],[Colonna5]]*$Q3</f>
        <v>0.4</v>
      </c>
      <c r="X47" s="14" t="n">
        <f aca="false">Tabella52791124791618202224262830323436384042444648505254565860626468707274767880828486908892949698100102104106108110112114116118120122124126130128132[[#This Row],[Colonna6]]*$Q3</f>
        <v>2</v>
      </c>
      <c r="Y47" s="14" t="n">
        <f aca="false">Tabella52791124791618202224262830323436384042444648505254565860626468707274767880828486908892949698100102104106108110112114116118120122124126130128132[[#This Row],[Colonna7]]*$Q3</f>
        <v>3.2</v>
      </c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 t="n">
        <v>42</v>
      </c>
      <c r="H50" s="13" t="n">
        <v>69</v>
      </c>
      <c r="I50" s="13" t="n">
        <v>81</v>
      </c>
      <c r="J50" s="13" t="n">
        <v>20</v>
      </c>
      <c r="K50" s="13" t="n">
        <v>39</v>
      </c>
      <c r="L50" s="13" t="n">
        <v>145</v>
      </c>
      <c r="M50" s="13" t="n">
        <v>34</v>
      </c>
      <c r="P50" s="9" t="s">
        <v>57</v>
      </c>
      <c r="Q50" s="9"/>
      <c r="R50" s="9"/>
      <c r="S50" s="14" t="n">
        <f aca="false">Tabella52791124791618202224262830323436384042444648505254565860626468707274767880828486908892949698100102104106108110112114116118120122124126130128132[[#This Row],[Colonna1]]*$Q3</f>
        <v>16.8</v>
      </c>
      <c r="T50" s="14" t="n">
        <f aca="false">Tabella52791124791618202224262830323436384042444648505254565860626468707274767880828486908892949698100102104106108110112114116118120122124126130128132[[#This Row],[Colonna2]]*$Q3</f>
        <v>27.6</v>
      </c>
      <c r="U50" s="14" t="n">
        <f aca="false">Tabella52791124791618202224262830323436384042444648505254565860626468707274767880828486908892949698100102104106108110112114116118120122124126130128132[[#This Row],[Colonna3]]*$Q3</f>
        <v>32.4</v>
      </c>
      <c r="V50" s="14" t="n">
        <f aca="false">Tabella52791124791618202224262830323436384042444648505254565860626468707274767880828486908892949698100102104106108110112114116118120122124126130128132[[#This Row],[Colonna4]]*$Q3</f>
        <v>8</v>
      </c>
      <c r="W50" s="14" t="n">
        <f aca="false">Tabella52791124791618202224262830323436384042444648505254565860626468707274767880828486908892949698100102104106108110112114116118120122124126130128132[[#This Row],[Colonna5]]*$Q3</f>
        <v>15.6</v>
      </c>
      <c r="X50" s="14" t="n">
        <f aca="false">Tabella52791124791618202224262830323436384042444648505254565860626468707274767880828486908892949698100102104106108110112114116118120122124126130128132[[#This Row],[Colonna6]]*$Q3</f>
        <v>58</v>
      </c>
      <c r="Y50" s="14" t="n">
        <f aca="false">Tabella52791124791618202224262830323436384042444648505254565860626468707274767880828486908892949698100102104106108110112114116118120122124126130128132[[#This Row],[Colonna7]]*$Q3</f>
        <v>13.6</v>
      </c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314</v>
      </c>
      <c r="H53" s="55" t="n">
        <f aca="false">SUM(H6:H52)</f>
        <v>468</v>
      </c>
      <c r="I53" s="55" t="n">
        <f aca="false">SUM(I6:I52)</f>
        <v>778</v>
      </c>
      <c r="J53" s="55" t="n">
        <f aca="false">SUM(J6:J52)</f>
        <v>133</v>
      </c>
      <c r="K53" s="55" t="n">
        <f aca="false">SUM(K6:K52)</f>
        <v>127</v>
      </c>
      <c r="L53" s="55" t="n">
        <f aca="false">SUM(L6:L52)</f>
        <v>432</v>
      </c>
      <c r="M53" s="55" t="n">
        <f aca="false">SUM(M6:M52)</f>
        <v>118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Tabella52791124791618202224262830323436384042444648505254565860626468707274767880828486908892949698100102104106108110112114116118120122124126130128132[[#This Row],[Colonna1]]*$Q3</f>
        <v>125.6</v>
      </c>
      <c r="T53" s="56" t="n">
        <f aca="false">Tabella52791124791618202224262830323436384042444648505254565860626468707274767880828486908892949698100102104106108110112114116118120122124126130128132[[#This Row],[Colonna2]]*$Q3</f>
        <v>187.2</v>
      </c>
      <c r="U53" s="56" t="n">
        <f aca="false">Tabella52791124791618202224262830323436384042444648505254565860626468707274767880828486908892949698100102104106108110112114116118120122124126130128132[[#This Row],[Colonna3]]*$Q3</f>
        <v>311.2</v>
      </c>
      <c r="V53" s="56" t="n">
        <f aca="false">Tabella52791124791618202224262830323436384042444648505254565860626468707274767880828486908892949698100102104106108110112114116118120122124126130128132[[#This Row],[Colonna4]]*$Q3</f>
        <v>53.2</v>
      </c>
      <c r="W53" s="56" t="n">
        <f aca="false">Tabella52791124791618202224262830323436384042444648505254565860626468707274767880828486908892949698100102104106108110112114116118120122124126130128132[[#This Row],[Colonna5]]*$Q3</f>
        <v>50.8</v>
      </c>
      <c r="X53" s="56" t="n">
        <f aca="false">Tabella52791124791618202224262830323436384042444648505254565860626468707274767880828486908892949698100102104106108110112114116118120122124126130128132[[#This Row],[Colonna6]]*$Q3</f>
        <v>172.8</v>
      </c>
      <c r="Y53" s="56" t="n">
        <f aca="false">Tabella52791124791618202224262830323436384042444648505254565860626468707274767880828486908892949698100102104106108110112114116118120122124126130128132[[#This Row],[Colonna7]]*$Q3</f>
        <v>47.2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32</v>
      </c>
      <c r="H58" s="26" t="n">
        <v>44</v>
      </c>
      <c r="I58" s="26" t="n">
        <v>22</v>
      </c>
      <c r="J58" s="26" t="n">
        <v>26</v>
      </c>
      <c r="K58" s="26" t="n">
        <v>29</v>
      </c>
      <c r="L58" s="26" t="n">
        <v>55</v>
      </c>
      <c r="M58" s="26" t="n">
        <v>23</v>
      </c>
      <c r="P58" s="23" t="s">
        <v>62</v>
      </c>
      <c r="Q58" s="23"/>
      <c r="R58" s="23"/>
      <c r="S58" s="57" t="n">
        <f aca="false">G58*$Q3</f>
        <v>12.8</v>
      </c>
      <c r="T58" s="57" t="n">
        <f aca="false">H58*$Q3</f>
        <v>17.6</v>
      </c>
      <c r="U58" s="57" t="n">
        <f aca="false">I58*$Q3</f>
        <v>8.8</v>
      </c>
      <c r="V58" s="57" t="n">
        <f aca="false">J58*$Q3</f>
        <v>10.4</v>
      </c>
      <c r="W58" s="57" t="n">
        <f aca="false">K58*$Q3</f>
        <v>11.6</v>
      </c>
      <c r="X58" s="57" t="n">
        <f aca="false">L58*$Q3</f>
        <v>22</v>
      </c>
      <c r="Y58" s="27" t="n">
        <f aca="false">M58*$Q3</f>
        <v>9.2</v>
      </c>
    </row>
    <row r="59" customFormat="false" ht="15" hidden="false" customHeight="false" outlineLevel="0" collapsed="false">
      <c r="D59" s="9" t="s">
        <v>63</v>
      </c>
      <c r="E59" s="9"/>
      <c r="F59" s="9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6</v>
      </c>
      <c r="H62" s="26" t="n">
        <v>2</v>
      </c>
      <c r="I62" s="26" t="n">
        <v>4</v>
      </c>
      <c r="J62" s="26" t="n">
        <v>2</v>
      </c>
      <c r="K62" s="26" t="n">
        <v>6</v>
      </c>
      <c r="L62" s="26" t="n">
        <v>4</v>
      </c>
      <c r="M62" s="26" t="n">
        <v>1</v>
      </c>
      <c r="P62" s="9" t="s">
        <v>66</v>
      </c>
      <c r="Q62" s="9"/>
      <c r="R62" s="9"/>
      <c r="S62" s="57" t="n">
        <f aca="false">G62*$Q3</f>
        <v>2.4</v>
      </c>
      <c r="T62" s="57" t="n">
        <f aca="false">H62*$Q3</f>
        <v>0.8</v>
      </c>
      <c r="U62" s="57" t="n">
        <f aca="false">I62*$Q3</f>
        <v>1.6</v>
      </c>
      <c r="V62" s="57" t="n">
        <f aca="false">J62*$Q3</f>
        <v>0.8</v>
      </c>
      <c r="W62" s="57" t="n">
        <f aca="false">K62*$Q3</f>
        <v>2.4</v>
      </c>
      <c r="X62" s="57" t="n">
        <f aca="false">L62*$Q3</f>
        <v>1.6</v>
      </c>
      <c r="Y62" s="27" t="n">
        <f aca="false">M62*$Q3</f>
        <v>0.4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 t="n">
        <v>1</v>
      </c>
      <c r="M63" s="26" t="n">
        <v>1</v>
      </c>
      <c r="P63" s="9" t="s">
        <v>67</v>
      </c>
      <c r="Q63" s="9"/>
      <c r="R63" s="9"/>
      <c r="S63" s="57"/>
      <c r="T63" s="57"/>
      <c r="U63" s="57"/>
      <c r="V63" s="57"/>
      <c r="W63" s="57"/>
      <c r="X63" s="57" t="n">
        <f aca="false">L63*$Q3</f>
        <v>0.4</v>
      </c>
      <c r="Y63" s="57" t="n">
        <f aca="false">M63*$Q3</f>
        <v>0.4</v>
      </c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57"/>
      <c r="U64" s="57"/>
      <c r="V64" s="57"/>
      <c r="W64" s="57"/>
      <c r="X64" s="5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41</v>
      </c>
      <c r="H65" s="30" t="n">
        <v>2</v>
      </c>
      <c r="I65" s="30"/>
      <c r="J65" s="26" t="n">
        <v>1</v>
      </c>
      <c r="K65" s="26"/>
      <c r="L65" s="26" t="n">
        <v>1</v>
      </c>
      <c r="M65" s="26" t="n">
        <v>2</v>
      </c>
      <c r="P65" s="9" t="s">
        <v>69</v>
      </c>
      <c r="Q65" s="9"/>
      <c r="R65" s="9"/>
      <c r="S65" s="57" t="n">
        <f aca="false">G65*$Q3</f>
        <v>16.4</v>
      </c>
      <c r="T65" s="57" t="n">
        <f aca="false">H65*$Q3</f>
        <v>0.8</v>
      </c>
      <c r="U65" s="57"/>
      <c r="V65" s="57" t="n">
        <f aca="false">J65*$Q3</f>
        <v>0.4</v>
      </c>
      <c r="W65" s="57"/>
      <c r="X65" s="57" t="n">
        <f aca="false">L65*$Q3</f>
        <v>0.4</v>
      </c>
      <c r="Y65" s="27" t="n">
        <f aca="false">M65*$Q3</f>
        <v>0.8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37</v>
      </c>
      <c r="H67" s="139" t="n">
        <v>6</v>
      </c>
      <c r="I67" s="139" t="n">
        <v>8</v>
      </c>
      <c r="J67" s="26" t="n">
        <v>4</v>
      </c>
      <c r="K67" s="26" t="n">
        <v>2</v>
      </c>
      <c r="L67" s="26" t="n">
        <v>5</v>
      </c>
      <c r="M67" s="26" t="n">
        <v>4</v>
      </c>
      <c r="P67" s="9" t="s">
        <v>71</v>
      </c>
      <c r="Q67" s="9"/>
      <c r="R67" s="9"/>
      <c r="S67" s="57" t="n">
        <f aca="false">G67*$Q3</f>
        <v>14.8</v>
      </c>
      <c r="T67" s="57" t="n">
        <f aca="false">H67*$Q3</f>
        <v>2.4</v>
      </c>
      <c r="U67" s="57" t="n">
        <f aca="false">I67*$Q3</f>
        <v>3.2</v>
      </c>
      <c r="V67" s="57" t="n">
        <f aca="false">J67*$Q3</f>
        <v>1.6</v>
      </c>
      <c r="W67" s="57" t="n">
        <f aca="false">K67*$Q3</f>
        <v>0.8</v>
      </c>
      <c r="X67" s="57" t="n">
        <f aca="false">L67*$Q3</f>
        <v>2</v>
      </c>
      <c r="Y67" s="57" t="n">
        <f aca="false">M67*$Q3</f>
        <v>1.6</v>
      </c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 t="n">
        <v>1</v>
      </c>
      <c r="J68" s="30"/>
      <c r="K68" s="30"/>
      <c r="L68" s="30"/>
      <c r="M68" s="30"/>
      <c r="P68" s="9" t="s">
        <v>72</v>
      </c>
      <c r="Q68" s="9"/>
      <c r="R68" s="9"/>
      <c r="S68" s="57"/>
      <c r="T68" s="57"/>
      <c r="U68" s="57" t="n">
        <f aca="false">I68*$Q3</f>
        <v>0.4</v>
      </c>
      <c r="V68" s="57"/>
      <c r="W68" s="57"/>
      <c r="X68" s="57"/>
      <c r="Y68" s="2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 t="n">
        <v>1</v>
      </c>
      <c r="J69" s="30"/>
      <c r="K69" s="30" t="n">
        <v>11</v>
      </c>
      <c r="L69" s="30" t="n">
        <v>2</v>
      </c>
      <c r="M69" s="30" t="n">
        <v>2</v>
      </c>
      <c r="P69" s="9" t="s">
        <v>73</v>
      </c>
      <c r="Q69" s="9"/>
      <c r="R69" s="9"/>
      <c r="S69" s="57"/>
      <c r="T69" s="57"/>
      <c r="U69" s="57" t="n">
        <f aca="false">I69*$Q3</f>
        <v>0.4</v>
      </c>
      <c r="V69" s="57"/>
      <c r="W69" s="57" t="n">
        <f aca="false">K69*$Q3</f>
        <v>4.4</v>
      </c>
      <c r="X69" s="57" t="n">
        <f aca="false">L69*$Q3</f>
        <v>0.8</v>
      </c>
      <c r="Y69" s="57" t="n">
        <f aca="false">M69*$Q3</f>
        <v>0.8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116</v>
      </c>
      <c r="H70" s="60" t="n">
        <f aca="false">SUM(H58:H69)</f>
        <v>54</v>
      </c>
      <c r="I70" s="60" t="n">
        <f aca="false">SUM(I58:I69)</f>
        <v>36</v>
      </c>
      <c r="J70" s="60" t="n">
        <f aca="false">SUM(J58:J69)</f>
        <v>33</v>
      </c>
      <c r="K70" s="60" t="n">
        <f aca="false">SUM(K58:K69)</f>
        <v>48</v>
      </c>
      <c r="L70" s="60" t="n">
        <f aca="false">SUM(L58:L69)</f>
        <v>68</v>
      </c>
      <c r="M70" s="60" t="n">
        <f aca="false">SUM(M58:M69)</f>
        <v>33</v>
      </c>
      <c r="P70" s="9" t="s">
        <v>60</v>
      </c>
      <c r="Q70" s="9"/>
      <c r="R70" s="9"/>
      <c r="S70" s="61" t="n">
        <f aca="false">G70*$Q3</f>
        <v>46.4</v>
      </c>
      <c r="T70" s="61" t="n">
        <f aca="false">H70*$Q3</f>
        <v>21.6</v>
      </c>
      <c r="U70" s="61" t="n">
        <f aca="false">I70*$Q3</f>
        <v>14.4</v>
      </c>
      <c r="V70" s="61" t="n">
        <f aca="false">J70*$Q3</f>
        <v>13.2</v>
      </c>
      <c r="W70" s="61" t="n">
        <f aca="false">K70*$Q3</f>
        <v>19.2</v>
      </c>
      <c r="X70" s="61" t="n">
        <f aca="false">L70*$Q3</f>
        <v>27.2</v>
      </c>
      <c r="Y70" s="32" t="n">
        <f aca="false">M70*$Q3</f>
        <v>13.2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3" activeCellId="0" sqref="Y3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99</v>
      </c>
      <c r="I3" s="119" t="s">
        <v>2</v>
      </c>
      <c r="J3" s="4" t="n">
        <v>45341</v>
      </c>
      <c r="K3" s="5" t="n">
        <v>45347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99</v>
      </c>
      <c r="U3" s="119" t="s">
        <v>2</v>
      </c>
      <c r="V3" s="4" t="n">
        <v>45334</v>
      </c>
      <c r="W3" s="5" t="n">
        <v>45340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Tabella52791124791618202224262830323436384042444648505254565860626468707274767880828486908892949698100102104106108110112114116118120122124126130128132134[[#This Row],[Colonna1]]*$Q3</f>
        <v>0</v>
      </c>
      <c r="T7" s="14" t="n">
        <f aca="false">Tabella52791124791618202224262830323436384042444648505254565860626468707274767880828486908892949698100102104106108110112114116118120122124126130128132134[[#This Row],[Colonna2]]*$Q3</f>
        <v>0</v>
      </c>
      <c r="U7" s="14" t="n">
        <f aca="false">Tabella52791124791618202224262830323436384042444648505254565860626468707274767880828486908892949698100102104106108110112114116118120122124126130128132134[[#This Row],[Colonna3]]*$Q3</f>
        <v>0</v>
      </c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Tabella52791124791618202224262830323436384042444648505254565860626468707274767880828486908892949698100102104106108110112114116118120122124126130128132134[[#This Row],[Colonna1]]*$Q3</f>
        <v>0</v>
      </c>
      <c r="T9" s="14" t="n">
        <f aca="false">Tabella52791124791618202224262830323436384042444648505254565860626468707274767880828486908892949698100102104106108110112114116118120122124126130128132134[[#This Row],[Colonna2]]*$Q3</f>
        <v>0</v>
      </c>
      <c r="U9" s="14" t="n">
        <f aca="false">Tabella52791124791618202224262830323436384042444648505254565860626468707274767880828486908892949698100102104106108110112114116118120122124126130128132134[[#This Row],[Colonna3]]*$Q3</f>
        <v>0</v>
      </c>
      <c r="V9" s="14" t="n">
        <f aca="false">Tabella52791124791618202224262830323436384042444648505254565860626468707274767880828486908892949698100102104106108110112114116118120122124126130128132134[[#This Row],[Colonna4]]*$Q3</f>
        <v>0</v>
      </c>
      <c r="W9" s="14" t="n">
        <f aca="false">Tabella52791124791618202224262830323436384042444648505254565860626468707274767880828486908892949698100102104106108110112114116118120122124126130128132134[[#This Row],[Colonna5]]*$Q3</f>
        <v>0</v>
      </c>
      <c r="X9" s="14" t="n">
        <f aca="false">Tabella52791124791618202224262830323436384042444648505254565860626468707274767880828486908892949698100102104106108110112114116118120122124126130128132134[[#This Row],[Colonna6]]*$Q3</f>
        <v>0</v>
      </c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 t="n">
        <f aca="false">Tabella52791124791618202224262830323436384042444648505254565860626468707274767880828486908892949698100102104106108110112114116118120122124126130128132134[[#This Row],[Colonna5]]*$Q3</f>
        <v>0</v>
      </c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Tabella52791124791618202224262830323436384042444648505254565860626468707274767880828486908892949698100102104106108110112114116118120122124126130128132134[[#This Row],[Colonna1]]*$Q3</f>
        <v>0</v>
      </c>
      <c r="T21" s="14" t="n">
        <f aca="false">Tabella52791124791618202224262830323436384042444648505254565860626468707274767880828486908892949698100102104106108110112114116118120122124126130128132134[[#This Row],[Colonna2]]*$Q3</f>
        <v>0</v>
      </c>
      <c r="U21" s="14" t="n">
        <f aca="false">Tabella52791124791618202224262830323436384042444648505254565860626468707274767880828486908892949698100102104106108110112114116118120122124126130128132134[[#This Row],[Colonna3]]*$Q3</f>
        <v>0</v>
      </c>
      <c r="V21" s="14" t="n">
        <f aca="false">Tabella52791124791618202224262830323436384042444648505254565860626468707274767880828486908892949698100102104106108110112114116118120122124126130128132134[[#This Row],[Colonna4]]*$Q3</f>
        <v>0</v>
      </c>
      <c r="W21" s="14" t="n">
        <f aca="false">Tabella52791124791618202224262830323436384042444648505254565860626468707274767880828486908892949698100102104106108110112114116118120122124126130128132134[[#This Row],[Colonna5]]*$Q3</f>
        <v>0</v>
      </c>
      <c r="X21" s="14" t="n">
        <f aca="false">Tabella52791124791618202224262830323436384042444648505254565860626468707274767880828486908892949698100102104106108110112114116118120122124126130128132134[[#This Row],[Colonna6]]*$Q3</f>
        <v>0</v>
      </c>
      <c r="Y21" s="14" t="n">
        <f aca="false">Tabella52791124791618202224262830323436384042444648505254565860626468707274767880828486908892949698100102104106108110112114116118120122124126130128132134[[#This Row],[Colonna7]]*$Q3</f>
        <v>0</v>
      </c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Tabella52791124791618202224262830323436384042444648505254565860626468707274767880828486908892949698100102104106108110112114116118120122124126130128132134[[#This Row],[Colonna1]]*$Q3</f>
        <v>0</v>
      </c>
      <c r="T22" s="14" t="n">
        <f aca="false">Tabella52791124791618202224262830323436384042444648505254565860626468707274767880828486908892949698100102104106108110112114116118120122124126130128132134[[#This Row],[Colonna2]]*$Q3</f>
        <v>0</v>
      </c>
      <c r="U22" s="14" t="n">
        <f aca="false">Tabella52791124791618202224262830323436384042444648505254565860626468707274767880828486908892949698100102104106108110112114116118120122124126130128132134[[#This Row],[Colonna3]]*$Q3</f>
        <v>0</v>
      </c>
      <c r="V22" s="14" t="n">
        <f aca="false">Tabella52791124791618202224262830323436384042444648505254565860626468707274767880828486908892949698100102104106108110112114116118120122124126130128132134[[#This Row],[Colonna4]]*$Q3</f>
        <v>0</v>
      </c>
      <c r="W22" s="14" t="n">
        <f aca="false">Tabella52791124791618202224262830323436384042444648505254565860626468707274767880828486908892949698100102104106108110112114116118120122124126130128132134[[#This Row],[Colonna5]]*$Q3</f>
        <v>0</v>
      </c>
      <c r="X22" s="14" t="n">
        <f aca="false">Tabella52791124791618202224262830323436384042444648505254565860626468707274767880828486908892949698100102104106108110112114116118120122124126130128132134[[#This Row],[Colonna6]]*$Q3</f>
        <v>0</v>
      </c>
      <c r="Y22" s="14" t="n">
        <f aca="false">Tabella52791124791618202224262830323436384042444648505254565860626468707274767880828486908892949698100102104106108110112114116118120122124126130128132134[[#This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Tabella52791124791618202224262830323436384042444648505254565860626468707274767880828486908892949698100102104106108110112114116118120122124126130128132134[[#This Row],[Colonna1]]*$Q3</f>
        <v>0</v>
      </c>
      <c r="T38" s="14" t="n">
        <f aca="false">Tabella52791124791618202224262830323436384042444648505254565860626468707274767880828486908892949698100102104106108110112114116118120122124126130128132134[[#This Row],[Colonna2]]*$Q3</f>
        <v>0</v>
      </c>
      <c r="U38" s="14" t="n">
        <f aca="false">Tabella52791124791618202224262830323436384042444648505254565860626468707274767880828486908892949698100102104106108110112114116118120122124126130128132134[[#This Row],[Colonna3]]*$Q3</f>
        <v>0</v>
      </c>
      <c r="V38" s="14" t="n">
        <f aca="false">Tabella52791124791618202224262830323436384042444648505254565860626468707274767880828486908892949698100102104106108110112114116118120122124126130128132134[[#This Row],[Colonna4]]*$Q3</f>
        <v>0</v>
      </c>
      <c r="W38" s="14" t="n">
        <f aca="false">Tabella52791124791618202224262830323436384042444648505254565860626468707274767880828486908892949698100102104106108110112114116118120122124126130128132134[[#This Row],[Colonna5]]*$Q3</f>
        <v>0</v>
      </c>
      <c r="X38" s="14" t="n">
        <f aca="false">Tabella52791124791618202224262830323436384042444648505254565860626468707274767880828486908892949698100102104106108110112114116118120122124126130128132134[[#This Row],[Colonna6]]*$Q3</f>
        <v>0</v>
      </c>
      <c r="Y38" s="14" t="n">
        <f aca="false">Tabella52791124791618202224262830323436384042444648505254565860626468707274767880828486908892949698100102104106108110112114116118120122124126130128132134[[#This Row],[Colonna7]]*$Q3</f>
        <v>0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3"/>
      <c r="L44" s="13"/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Tabella52791124791618202224262830323436384042444648505254565860626468707274767880828486908892949698100102104106108110112114116118120122124126130128132134[[#This Row],[Colonna1]]*$Q3</f>
        <v>0</v>
      </c>
      <c r="T44" s="14" t="n">
        <f aca="false">Tabella52791124791618202224262830323436384042444648505254565860626468707274767880828486908892949698100102104106108110112114116118120122124126130128132134[[#This Row],[Colonna2]]*$Q3</f>
        <v>0</v>
      </c>
      <c r="U44" s="14" t="n">
        <f aca="false">Tabella52791124791618202224262830323436384042444648505254565860626468707274767880828486908892949698100102104106108110112114116118120122124126130128132134[[#This Row],[Colonna3]]*$Q3</f>
        <v>0</v>
      </c>
      <c r="V44" s="14" t="n">
        <f aca="false">Tabella52791124791618202224262830323436384042444648505254565860626468707274767880828486908892949698100102104106108110112114116118120122124126130128132134[[#This Row],[Colonna4]]*$Q3</f>
        <v>0</v>
      </c>
      <c r="W44" s="14" t="n">
        <f aca="false">Tabella52791124791618202224262830323436384042444648505254565860626468707274767880828486908892949698100102104106108110112114116118120122124126130128132134[[#This Row],[Colonna5]]*$Q3</f>
        <v>0</v>
      </c>
      <c r="X44" s="14" t="n">
        <f aca="false">Tabella52791124791618202224262830323436384042444648505254565860626468707274767880828486908892949698100102104106108110112114116118120122124126130128132134[[#This Row],[Colonna6]]*$Q3</f>
        <v>0</v>
      </c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 t="n">
        <f aca="false">Tabella52791124791618202224262830323436384042444648505254565860626468707274767880828486908892949698100102104106108110112114116118120122124126130128132134[[#This Row],[Colonna2]]*$Q3</f>
        <v>0</v>
      </c>
      <c r="U47" s="14"/>
      <c r="V47" s="14" t="n">
        <f aca="false">Tabella52791124791618202224262830323436384042444648505254565860626468707274767880828486908892949698100102104106108110112114116118120122124126130128132134[[#This Row],[Colonna4]]*$Q3</f>
        <v>0</v>
      </c>
      <c r="W47" s="14" t="n">
        <f aca="false">Tabella52791124791618202224262830323436384042444648505254565860626468707274767880828486908892949698100102104106108110112114116118120122124126130128132134[[#This Row],[Colonna5]]*$Q3</f>
        <v>0</v>
      </c>
      <c r="X47" s="14" t="n">
        <f aca="false">Tabella52791124791618202224262830323436384042444648505254565860626468707274767880828486908892949698100102104106108110112114116118120122124126130128132134[[#This Row],[Colonna6]]*$Q3</f>
        <v>0</v>
      </c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 t="n">
        <f aca="false">Tabella52791124791618202224262830323436384042444648505254565860626468707274767880828486908892949698100102104106108110112114116118120122124126130128132134[[#This Row],[Colonna1]]*$Q3</f>
        <v>0</v>
      </c>
      <c r="T50" s="14" t="n">
        <f aca="false">Tabella52791124791618202224262830323436384042444648505254565860626468707274767880828486908892949698100102104106108110112114116118120122124126130128132134[[#This Row],[Colonna2]]*$Q3</f>
        <v>0</v>
      </c>
      <c r="U50" s="14" t="n">
        <f aca="false">Tabella52791124791618202224262830323436384042444648505254565860626468707274767880828486908892949698100102104106108110112114116118120122124126130128132134[[#This Row],[Colonna3]]*$Q3</f>
        <v>0</v>
      </c>
      <c r="V50" s="14" t="n">
        <f aca="false">Tabella52791124791618202224262830323436384042444648505254565860626468707274767880828486908892949698100102104106108110112114116118120122124126130128132134[[#This Row],[Colonna4]]*$Q3</f>
        <v>0</v>
      </c>
      <c r="W50" s="14" t="n">
        <f aca="false">Tabella52791124791618202224262830323436384042444648505254565860626468707274767880828486908892949698100102104106108110112114116118120122124126130128132134[[#This Row],[Colonna5]]*$Q3</f>
        <v>0</v>
      </c>
      <c r="X50" s="14" t="n">
        <f aca="false">Tabella52791124791618202224262830323436384042444648505254565860626468707274767880828486908892949698100102104106108110112114116118120122124126130128132134[[#This Row],[Colonna6]]*$Q3</f>
        <v>0</v>
      </c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55" t="n">
        <f aca="false">SUM(L6:L52)</f>
        <v>0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Tabella52791124791618202224262830323436384042444648505254565860626468707274767880828486908892949698100102104106108110112114116118120122124126130128132134[[#This Row],[Colonna1]]*$Q3</f>
        <v>0</v>
      </c>
      <c r="T53" s="56" t="n">
        <f aca="false">Tabella52791124791618202224262830323436384042444648505254565860626468707274767880828486908892949698100102104106108110112114116118120122124126130128132134[[#This Row],[Colonna2]]*$Q3</f>
        <v>0</v>
      </c>
      <c r="U53" s="56" t="n">
        <f aca="false">Tabella52791124791618202224262830323436384042444648505254565860626468707274767880828486908892949698100102104106108110112114116118120122124126130128132134[[#This Row],[Colonna3]]*$Q3</f>
        <v>0</v>
      </c>
      <c r="V53" s="56" t="n">
        <f aca="false">Tabella52791124791618202224262830323436384042444648505254565860626468707274767880828486908892949698100102104106108110112114116118120122124126130128132134[[#This Row],[Colonna4]]*$Q3</f>
        <v>0</v>
      </c>
      <c r="W53" s="56" t="n">
        <f aca="false">Tabella52791124791618202224262830323436384042444648505254565860626468707274767880828486908892949698100102104106108110112114116118120122124126130128132134[[#This Row],[Colonna5]]*$Q3</f>
        <v>0</v>
      </c>
      <c r="X53" s="56" t="n">
        <f aca="false">Tabella52791124791618202224262830323436384042444648505254565860626468707274767880828486908892949698100102104106108110112114116118120122124126130128132134[[#This Row],[Colonna6]]*$Q3</f>
        <v>0</v>
      </c>
      <c r="Y53" s="56" t="n">
        <f aca="false">Tabella52791124791618202224262830323436384042444648505254565860626468707274767880828486908892949698100102104106108110112114116118120122124126130128132134[[#This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/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27" t="n">
        <f aca="false">M58*$Q3</f>
        <v>0</v>
      </c>
    </row>
    <row r="59" customFormat="false" ht="15" hidden="false" customHeight="false" outlineLevel="0" collapsed="false">
      <c r="D59" s="9" t="s">
        <v>63</v>
      </c>
      <c r="E59" s="9"/>
      <c r="F59" s="9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 t="n">
        <f aca="false">J62*$Q3</f>
        <v>0</v>
      </c>
      <c r="W62" s="57" t="n">
        <f aca="false">K62*$Q3</f>
        <v>0</v>
      </c>
      <c r="X62" s="57" t="n">
        <f aca="false">L62*$Q3</f>
        <v>0</v>
      </c>
      <c r="Y62" s="2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/>
      <c r="M63" s="26"/>
      <c r="P63" s="9" t="s">
        <v>67</v>
      </c>
      <c r="Q63" s="9"/>
      <c r="R63" s="9"/>
      <c r="S63" s="57"/>
      <c r="T63" s="57"/>
      <c r="U63" s="57"/>
      <c r="V63" s="57"/>
      <c r="W63" s="57"/>
      <c r="X63" s="57" t="n">
        <f aca="false">L63*$Q3</f>
        <v>0</v>
      </c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57"/>
      <c r="U64" s="57"/>
      <c r="V64" s="57"/>
      <c r="W64" s="57"/>
      <c r="X64" s="5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 t="n">
        <f aca="false">G65*$Q3</f>
        <v>0</v>
      </c>
      <c r="T65" s="57" t="n">
        <f aca="false">H65*$Q3</f>
        <v>0</v>
      </c>
      <c r="U65" s="57"/>
      <c r="V65" s="57" t="n">
        <f aca="false">J65*$Q3</f>
        <v>0</v>
      </c>
      <c r="W65" s="57"/>
      <c r="X65" s="57" t="n">
        <f aca="false">L65*$Q3</f>
        <v>0</v>
      </c>
      <c r="Y65" s="27" t="n">
        <f aca="false">M65*$Q3</f>
        <v>0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 t="n">
        <f aca="false">G67*$Q3</f>
        <v>0</v>
      </c>
      <c r="T67" s="57" t="n">
        <f aca="false">H67*$Q3</f>
        <v>0</v>
      </c>
      <c r="U67" s="57" t="n">
        <f aca="false">I67*$Q3</f>
        <v>0</v>
      </c>
      <c r="V67" s="57" t="n">
        <f aca="false">J67*$Q3</f>
        <v>0</v>
      </c>
      <c r="W67" s="57" t="n">
        <f aca="false">K67*$Q3</f>
        <v>0</v>
      </c>
      <c r="X67" s="57" t="n">
        <f aca="false">L67*$Q3</f>
        <v>0</v>
      </c>
      <c r="Y67" s="2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/>
      <c r="T68" s="57"/>
      <c r="U68" s="57" t="n">
        <f aca="false">I68*$Q3</f>
        <v>0</v>
      </c>
      <c r="V68" s="57"/>
      <c r="W68" s="57"/>
      <c r="X68" s="57"/>
      <c r="Y68" s="2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7"/>
      <c r="T69" s="57"/>
      <c r="U69" s="57" t="n">
        <f aca="false">I69*$Q3</f>
        <v>0</v>
      </c>
      <c r="V69" s="57"/>
      <c r="W69" s="57" t="n">
        <f aca="false">K69*$Q3</f>
        <v>0</v>
      </c>
      <c r="X69" s="57" t="n">
        <f aca="false">L69*$Q3</f>
        <v>0</v>
      </c>
      <c r="Y69" s="2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32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3" activeCellId="0" sqref="Y3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99</v>
      </c>
      <c r="I3" s="119" t="s">
        <v>2</v>
      </c>
      <c r="J3" s="4" t="n">
        <v>45349</v>
      </c>
      <c r="K3" s="5" t="n">
        <v>45354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99</v>
      </c>
      <c r="U3" s="119" t="s">
        <v>2</v>
      </c>
      <c r="V3" s="4" t="n">
        <v>45349</v>
      </c>
      <c r="W3" s="5" t="n">
        <v>45354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Tabella52791124791618202224262830323436384042444648505254565860626468707274767880828486908892949698100102104106108110112114116118120122124126130128132134136[[#This Row],[Colonna1]]*$Q3</f>
        <v>0</v>
      </c>
      <c r="T7" s="14" t="n">
        <f aca="false">Tabella52791124791618202224262830323436384042444648505254565860626468707274767880828486908892949698100102104106108110112114116118120122124126130128132134136[[#This Row],[Colonna2]]*$Q3</f>
        <v>0</v>
      </c>
      <c r="U7" s="14" t="n">
        <f aca="false">Tabella52791124791618202224262830323436384042444648505254565860626468707274767880828486908892949698100102104106108110112114116118120122124126130128132134136[[#This Row],[Colonna3]]*$Q3</f>
        <v>0</v>
      </c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Tabella52791124791618202224262830323436384042444648505254565860626468707274767880828486908892949698100102104106108110112114116118120122124126130128132134136[[#This Row],[Colonna1]]*$Q3</f>
        <v>0</v>
      </c>
      <c r="T9" s="14" t="n">
        <f aca="false">Tabella52791124791618202224262830323436384042444648505254565860626468707274767880828486908892949698100102104106108110112114116118120122124126130128132134136[[#This Row],[Colonna2]]*$Q3</f>
        <v>0</v>
      </c>
      <c r="U9" s="14" t="n">
        <f aca="false">Tabella52791124791618202224262830323436384042444648505254565860626468707274767880828486908892949698100102104106108110112114116118120122124126130128132134136[[#This Row],[Colonna3]]*$Q3</f>
        <v>0</v>
      </c>
      <c r="V9" s="14" t="n">
        <f aca="false">Tabella52791124791618202224262830323436384042444648505254565860626468707274767880828486908892949698100102104106108110112114116118120122124126130128132134136[[#This Row],[Colonna4]]*$Q3</f>
        <v>0</v>
      </c>
      <c r="W9" s="14" t="n">
        <f aca="false">Tabella52791124791618202224262830323436384042444648505254565860626468707274767880828486908892949698100102104106108110112114116118120122124126130128132134136[[#This Row],[Colonna5]]*$Q3</f>
        <v>0</v>
      </c>
      <c r="X9" s="14" t="n">
        <f aca="false">Tabella52791124791618202224262830323436384042444648505254565860626468707274767880828486908892949698100102104106108110112114116118120122124126130128132134136[[#This Row],[Colonna6]]*$Q3</f>
        <v>0</v>
      </c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 t="n">
        <f aca="false">Tabella52791124791618202224262830323436384042444648505254565860626468707274767880828486908892949698100102104106108110112114116118120122124126130128132134136[[#This Row],[Colonna5]]*$Q3</f>
        <v>0</v>
      </c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Tabella52791124791618202224262830323436384042444648505254565860626468707274767880828486908892949698100102104106108110112114116118120122124126130128132134136[[#This Row],[Colonna1]]*$Q3</f>
        <v>0</v>
      </c>
      <c r="T21" s="14" t="n">
        <f aca="false">Tabella52791124791618202224262830323436384042444648505254565860626468707274767880828486908892949698100102104106108110112114116118120122124126130128132134136[[#This Row],[Colonna2]]*$Q3</f>
        <v>0</v>
      </c>
      <c r="U21" s="14" t="n">
        <f aca="false">Tabella52791124791618202224262830323436384042444648505254565860626468707274767880828486908892949698100102104106108110112114116118120122124126130128132134136[[#This Row],[Colonna3]]*$Q3</f>
        <v>0</v>
      </c>
      <c r="V21" s="14" t="n">
        <f aca="false">Tabella52791124791618202224262830323436384042444648505254565860626468707274767880828486908892949698100102104106108110112114116118120122124126130128132134136[[#This Row],[Colonna4]]*$Q3</f>
        <v>0</v>
      </c>
      <c r="W21" s="14" t="n">
        <f aca="false">Tabella52791124791618202224262830323436384042444648505254565860626468707274767880828486908892949698100102104106108110112114116118120122124126130128132134136[[#This Row],[Colonna5]]*$Q3</f>
        <v>0</v>
      </c>
      <c r="X21" s="14" t="n">
        <f aca="false">Tabella52791124791618202224262830323436384042444648505254565860626468707274767880828486908892949698100102104106108110112114116118120122124126130128132134136[[#This Row],[Colonna6]]*$Q3</f>
        <v>0</v>
      </c>
      <c r="Y21" s="14" t="n">
        <f aca="false">Tabella52791124791618202224262830323436384042444648505254565860626468707274767880828486908892949698100102104106108110112114116118120122124126130128132134136[[#This Row],[Colonna7]]*$Q3</f>
        <v>0</v>
      </c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Tabella52791124791618202224262830323436384042444648505254565860626468707274767880828486908892949698100102104106108110112114116118120122124126130128132134136[[#This Row],[Colonna1]]*$Q3</f>
        <v>0</v>
      </c>
      <c r="T22" s="14" t="n">
        <f aca="false">Tabella52791124791618202224262830323436384042444648505254565860626468707274767880828486908892949698100102104106108110112114116118120122124126130128132134136[[#This Row],[Colonna2]]*$Q3</f>
        <v>0</v>
      </c>
      <c r="U22" s="14" t="n">
        <f aca="false">Tabella52791124791618202224262830323436384042444648505254565860626468707274767880828486908892949698100102104106108110112114116118120122124126130128132134136[[#This Row],[Colonna3]]*$Q3</f>
        <v>0</v>
      </c>
      <c r="V22" s="14" t="n">
        <f aca="false">Tabella52791124791618202224262830323436384042444648505254565860626468707274767880828486908892949698100102104106108110112114116118120122124126130128132134136[[#This Row],[Colonna4]]*$Q3</f>
        <v>0</v>
      </c>
      <c r="W22" s="14" t="n">
        <f aca="false">Tabella52791124791618202224262830323436384042444648505254565860626468707274767880828486908892949698100102104106108110112114116118120122124126130128132134136[[#This Row],[Colonna5]]*$Q3</f>
        <v>0</v>
      </c>
      <c r="X22" s="14" t="n">
        <f aca="false">Tabella52791124791618202224262830323436384042444648505254565860626468707274767880828486908892949698100102104106108110112114116118120122124126130128132134136[[#This Row],[Colonna6]]*$Q3</f>
        <v>0</v>
      </c>
      <c r="Y22" s="14" t="n">
        <f aca="false">Tabella52791124791618202224262830323436384042444648505254565860626468707274767880828486908892949698100102104106108110112114116118120122124126130128132134136[[#This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Tabella52791124791618202224262830323436384042444648505254565860626468707274767880828486908892949698100102104106108110112114116118120122124126130128132134136[[#This Row],[Colonna1]]*$Q3</f>
        <v>0</v>
      </c>
      <c r="T38" s="14" t="n">
        <f aca="false">Tabella52791124791618202224262830323436384042444648505254565860626468707274767880828486908892949698100102104106108110112114116118120122124126130128132134136[[#This Row],[Colonna2]]*$Q3</f>
        <v>0</v>
      </c>
      <c r="U38" s="14" t="n">
        <f aca="false">Tabella52791124791618202224262830323436384042444648505254565860626468707274767880828486908892949698100102104106108110112114116118120122124126130128132134136[[#This Row],[Colonna3]]*$Q3</f>
        <v>0</v>
      </c>
      <c r="V38" s="14" t="n">
        <f aca="false">Tabella52791124791618202224262830323436384042444648505254565860626468707274767880828486908892949698100102104106108110112114116118120122124126130128132134136[[#This Row],[Colonna4]]*$Q3</f>
        <v>0</v>
      </c>
      <c r="W38" s="14" t="n">
        <f aca="false">Tabella52791124791618202224262830323436384042444648505254565860626468707274767880828486908892949698100102104106108110112114116118120122124126130128132134136[[#This Row],[Colonna5]]*$Q3</f>
        <v>0</v>
      </c>
      <c r="X38" s="14" t="n">
        <f aca="false">Tabella52791124791618202224262830323436384042444648505254565860626468707274767880828486908892949698100102104106108110112114116118120122124126130128132134136[[#This Row],[Colonna6]]*$Q3</f>
        <v>0</v>
      </c>
      <c r="Y38" s="14" t="n">
        <f aca="false">Tabella52791124791618202224262830323436384042444648505254565860626468707274767880828486908892949698100102104106108110112114116118120122124126130128132134136[[#This Row],[Colonna7]]*$Q3</f>
        <v>0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3"/>
      <c r="L44" s="13"/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Tabella52791124791618202224262830323436384042444648505254565860626468707274767880828486908892949698100102104106108110112114116118120122124126130128132134136[[#This Row],[Colonna1]]*$Q3</f>
        <v>0</v>
      </c>
      <c r="T44" s="14" t="n">
        <f aca="false">Tabella52791124791618202224262830323436384042444648505254565860626468707274767880828486908892949698100102104106108110112114116118120122124126130128132134136[[#This Row],[Colonna2]]*$Q3</f>
        <v>0</v>
      </c>
      <c r="U44" s="14" t="n">
        <f aca="false">Tabella52791124791618202224262830323436384042444648505254565860626468707274767880828486908892949698100102104106108110112114116118120122124126130128132134136[[#This Row],[Colonna3]]*$Q3</f>
        <v>0</v>
      </c>
      <c r="V44" s="14" t="n">
        <f aca="false">Tabella52791124791618202224262830323436384042444648505254565860626468707274767880828486908892949698100102104106108110112114116118120122124126130128132134136[[#This Row],[Colonna4]]*$Q3</f>
        <v>0</v>
      </c>
      <c r="W44" s="14" t="n">
        <f aca="false">Tabella52791124791618202224262830323436384042444648505254565860626468707274767880828486908892949698100102104106108110112114116118120122124126130128132134136[[#This Row],[Colonna5]]*$Q3</f>
        <v>0</v>
      </c>
      <c r="X44" s="14" t="n">
        <f aca="false">Tabella52791124791618202224262830323436384042444648505254565860626468707274767880828486908892949698100102104106108110112114116118120122124126130128132134136[[#This Row],[Colonna6]]*$Q3</f>
        <v>0</v>
      </c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 t="n">
        <f aca="false">Tabella52791124791618202224262830323436384042444648505254565860626468707274767880828486908892949698100102104106108110112114116118120122124126130128132134136[[#This Row],[Colonna2]]*$Q3</f>
        <v>0</v>
      </c>
      <c r="U47" s="14"/>
      <c r="V47" s="14" t="n">
        <f aca="false">Tabella52791124791618202224262830323436384042444648505254565860626468707274767880828486908892949698100102104106108110112114116118120122124126130128132134136[[#This Row],[Colonna4]]*$Q3</f>
        <v>0</v>
      </c>
      <c r="W47" s="14" t="n">
        <f aca="false">Tabella52791124791618202224262830323436384042444648505254565860626468707274767880828486908892949698100102104106108110112114116118120122124126130128132134136[[#This Row],[Colonna5]]*$Q3</f>
        <v>0</v>
      </c>
      <c r="X47" s="14" t="n">
        <f aca="false">Tabella52791124791618202224262830323436384042444648505254565860626468707274767880828486908892949698100102104106108110112114116118120122124126130128132134136[[#This Row],[Colonna6]]*$Q3</f>
        <v>0</v>
      </c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 t="n">
        <f aca="false">Tabella52791124791618202224262830323436384042444648505254565860626468707274767880828486908892949698100102104106108110112114116118120122124126130128132134136[[#This Row],[Colonna1]]*$Q3</f>
        <v>0</v>
      </c>
      <c r="T50" s="14" t="n">
        <f aca="false">Tabella52791124791618202224262830323436384042444648505254565860626468707274767880828486908892949698100102104106108110112114116118120122124126130128132134136[[#This Row],[Colonna2]]*$Q3</f>
        <v>0</v>
      </c>
      <c r="U50" s="14" t="n">
        <f aca="false">Tabella52791124791618202224262830323436384042444648505254565860626468707274767880828486908892949698100102104106108110112114116118120122124126130128132134136[[#This Row],[Colonna3]]*$Q3</f>
        <v>0</v>
      </c>
      <c r="V50" s="14" t="n">
        <f aca="false">Tabella52791124791618202224262830323436384042444648505254565860626468707274767880828486908892949698100102104106108110112114116118120122124126130128132134136[[#This Row],[Colonna4]]*$Q3</f>
        <v>0</v>
      </c>
      <c r="W50" s="14" t="n">
        <f aca="false">Tabella52791124791618202224262830323436384042444648505254565860626468707274767880828486908892949698100102104106108110112114116118120122124126130128132134136[[#This Row],[Colonna5]]*$Q3</f>
        <v>0</v>
      </c>
      <c r="X50" s="14" t="n">
        <f aca="false">Tabella52791124791618202224262830323436384042444648505254565860626468707274767880828486908892949698100102104106108110112114116118120122124126130128132134136[[#This Row],[Colonna6]]*$Q3</f>
        <v>0</v>
      </c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55" t="n">
        <f aca="false">SUM(L6:L52)</f>
        <v>0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Tabella52791124791618202224262830323436384042444648505254565860626468707274767880828486908892949698100102104106108110112114116118120122124126130128132134136[[#This Row],[Colonna1]]*$Q3</f>
        <v>0</v>
      </c>
      <c r="T53" s="56" t="n">
        <f aca="false">Tabella52791124791618202224262830323436384042444648505254565860626468707274767880828486908892949698100102104106108110112114116118120122124126130128132134136[[#This Row],[Colonna2]]*$Q3</f>
        <v>0</v>
      </c>
      <c r="U53" s="56" t="n">
        <f aca="false">Tabella52791124791618202224262830323436384042444648505254565860626468707274767880828486908892949698100102104106108110112114116118120122124126130128132134136[[#This Row],[Colonna3]]*$Q3</f>
        <v>0</v>
      </c>
      <c r="V53" s="56" t="n">
        <f aca="false">Tabella52791124791618202224262830323436384042444648505254565860626468707274767880828486908892949698100102104106108110112114116118120122124126130128132134136[[#This Row],[Colonna4]]*$Q3</f>
        <v>0</v>
      </c>
      <c r="W53" s="56" t="n">
        <f aca="false">Tabella52791124791618202224262830323436384042444648505254565860626468707274767880828486908892949698100102104106108110112114116118120122124126130128132134136[[#This Row],[Colonna5]]*$Q3</f>
        <v>0</v>
      </c>
      <c r="X53" s="56" t="n">
        <f aca="false">Tabella52791124791618202224262830323436384042444648505254565860626468707274767880828486908892949698100102104106108110112114116118120122124126130128132134136[[#This Row],[Colonna6]]*$Q3</f>
        <v>0</v>
      </c>
      <c r="Y53" s="56" t="n">
        <f aca="false">Tabella52791124791618202224262830323436384042444648505254565860626468707274767880828486908892949698100102104106108110112114116118120122124126130128132134136[[#This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/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27" t="n">
        <f aca="false">M58*$Q3</f>
        <v>0</v>
      </c>
    </row>
    <row r="59" customFormat="false" ht="15" hidden="false" customHeight="false" outlineLevel="0" collapsed="false">
      <c r="D59" s="9" t="s">
        <v>63</v>
      </c>
      <c r="E59" s="9"/>
      <c r="F59" s="9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 t="n">
        <f aca="false">J62*$Q3</f>
        <v>0</v>
      </c>
      <c r="W62" s="57" t="n">
        <f aca="false">K62*$Q3</f>
        <v>0</v>
      </c>
      <c r="X62" s="57" t="n">
        <f aca="false">L62*$Q3</f>
        <v>0</v>
      </c>
      <c r="Y62" s="2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/>
      <c r="M63" s="26"/>
      <c r="P63" s="9" t="s">
        <v>67</v>
      </c>
      <c r="Q63" s="9"/>
      <c r="R63" s="9"/>
      <c r="S63" s="57"/>
      <c r="T63" s="57"/>
      <c r="U63" s="57"/>
      <c r="V63" s="57"/>
      <c r="W63" s="57"/>
      <c r="X63" s="57" t="n">
        <f aca="false">L63*$Q3</f>
        <v>0</v>
      </c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57"/>
      <c r="U64" s="57"/>
      <c r="V64" s="57"/>
      <c r="W64" s="57"/>
      <c r="X64" s="5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 t="n">
        <f aca="false">G65*$Q3</f>
        <v>0</v>
      </c>
      <c r="T65" s="57" t="n">
        <f aca="false">H65*$Q3</f>
        <v>0</v>
      </c>
      <c r="U65" s="57"/>
      <c r="V65" s="57" t="n">
        <f aca="false">J65*$Q3</f>
        <v>0</v>
      </c>
      <c r="W65" s="57"/>
      <c r="X65" s="57" t="n">
        <f aca="false">L65*$Q3</f>
        <v>0</v>
      </c>
      <c r="Y65" s="27" t="n">
        <f aca="false">M65*$Q3</f>
        <v>0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 t="n">
        <f aca="false">G67*$Q3</f>
        <v>0</v>
      </c>
      <c r="T67" s="57" t="n">
        <f aca="false">H67*$Q3</f>
        <v>0</v>
      </c>
      <c r="U67" s="57" t="n">
        <f aca="false">I67*$Q3</f>
        <v>0</v>
      </c>
      <c r="V67" s="57" t="n">
        <f aca="false">J67*$Q3</f>
        <v>0</v>
      </c>
      <c r="W67" s="57" t="n">
        <f aca="false">K67*$Q3</f>
        <v>0</v>
      </c>
      <c r="X67" s="57" t="n">
        <f aca="false">L67*$Q3</f>
        <v>0</v>
      </c>
      <c r="Y67" s="2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/>
      <c r="T68" s="57"/>
      <c r="U68" s="57" t="n">
        <f aca="false">I68*$Q3</f>
        <v>0</v>
      </c>
      <c r="V68" s="57"/>
      <c r="W68" s="57"/>
      <c r="X68" s="57"/>
      <c r="Y68" s="2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7"/>
      <c r="T69" s="57"/>
      <c r="U69" s="57" t="n">
        <f aca="false">I69*$Q3</f>
        <v>0</v>
      </c>
      <c r="V69" s="57"/>
      <c r="W69" s="57" t="n">
        <f aca="false">K69*$Q3</f>
        <v>0</v>
      </c>
      <c r="X69" s="57" t="n">
        <f aca="false">L69*$Q3</f>
        <v>0</v>
      </c>
      <c r="Y69" s="2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32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3" activeCellId="0" sqref="Y3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99</v>
      </c>
      <c r="I3" s="119" t="s">
        <v>2</v>
      </c>
      <c r="J3" s="4" t="n">
        <v>45355</v>
      </c>
      <c r="K3" s="5" t="n">
        <v>45361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99</v>
      </c>
      <c r="U3" s="119" t="s">
        <v>2</v>
      </c>
      <c r="V3" s="4" t="n">
        <v>45355</v>
      </c>
      <c r="W3" s="5" t="n">
        <v>45361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Tabella52791124791618202224262830323436384042444648505254565860626468707274767880828486908892949698100102104106108110112114116118120122124126130128132134136138[[#This Row],[Colonna1]]*$Q3</f>
        <v>0</v>
      </c>
      <c r="T7" s="14" t="n">
        <f aca="false">Tabella52791124791618202224262830323436384042444648505254565860626468707274767880828486908892949698100102104106108110112114116118120122124126130128132134136138[[#This Row],[Colonna2]]*$Q3</f>
        <v>0</v>
      </c>
      <c r="U7" s="14" t="n">
        <f aca="false">Tabella52791124791618202224262830323436384042444648505254565860626468707274767880828486908892949698100102104106108110112114116118120122124126130128132134136138[[#This Row],[Colonna3]]*$Q3</f>
        <v>0</v>
      </c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Tabella52791124791618202224262830323436384042444648505254565860626468707274767880828486908892949698100102104106108110112114116118120122124126130128132134136138[[#This Row],[Colonna1]]*$Q3</f>
        <v>0</v>
      </c>
      <c r="T9" s="14" t="n">
        <f aca="false">Tabella52791124791618202224262830323436384042444648505254565860626468707274767880828486908892949698100102104106108110112114116118120122124126130128132134136138[[#This Row],[Colonna2]]*$Q3</f>
        <v>0</v>
      </c>
      <c r="U9" s="14" t="n">
        <f aca="false">Tabella52791124791618202224262830323436384042444648505254565860626468707274767880828486908892949698100102104106108110112114116118120122124126130128132134136138[[#This Row],[Colonna3]]*$Q3</f>
        <v>0</v>
      </c>
      <c r="V9" s="14" t="n">
        <f aca="false">Tabella52791124791618202224262830323436384042444648505254565860626468707274767880828486908892949698100102104106108110112114116118120122124126130128132134136138[[#This Row],[Colonna4]]*$Q3</f>
        <v>0</v>
      </c>
      <c r="W9" s="14" t="n">
        <f aca="false">Tabella52791124791618202224262830323436384042444648505254565860626468707274767880828486908892949698100102104106108110112114116118120122124126130128132134136138[[#This Row],[Colonna5]]*$Q3</f>
        <v>0</v>
      </c>
      <c r="X9" s="14" t="n">
        <f aca="false">Tabella52791124791618202224262830323436384042444648505254565860626468707274767880828486908892949698100102104106108110112114116118120122124126130128132134136138[[#This Row],[Colonna6]]*$Q3</f>
        <v>0</v>
      </c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 t="n">
        <f aca="false">Tabella52791124791618202224262830323436384042444648505254565860626468707274767880828486908892949698100102104106108110112114116118120122124126130128132134136138[[#This Row],[Colonna5]]*$Q3</f>
        <v>0</v>
      </c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Tabella52791124791618202224262830323436384042444648505254565860626468707274767880828486908892949698100102104106108110112114116118120122124126130128132134136138[[#This Row],[Colonna1]]*$Q3</f>
        <v>0</v>
      </c>
      <c r="T21" s="14" t="n">
        <f aca="false">Tabella52791124791618202224262830323436384042444648505254565860626468707274767880828486908892949698100102104106108110112114116118120122124126130128132134136138[[#This Row],[Colonna2]]*$Q3</f>
        <v>0</v>
      </c>
      <c r="U21" s="14" t="n">
        <f aca="false">Tabella52791124791618202224262830323436384042444648505254565860626468707274767880828486908892949698100102104106108110112114116118120122124126130128132134136138[[#This Row],[Colonna3]]*$Q3</f>
        <v>0</v>
      </c>
      <c r="V21" s="14" t="n">
        <f aca="false">Tabella52791124791618202224262830323436384042444648505254565860626468707274767880828486908892949698100102104106108110112114116118120122124126130128132134136138[[#This Row],[Colonna4]]*$Q3</f>
        <v>0</v>
      </c>
      <c r="W21" s="14" t="n">
        <f aca="false">Tabella52791124791618202224262830323436384042444648505254565860626468707274767880828486908892949698100102104106108110112114116118120122124126130128132134136138[[#This Row],[Colonna5]]*$Q3</f>
        <v>0</v>
      </c>
      <c r="X21" s="14" t="n">
        <f aca="false">Tabella52791124791618202224262830323436384042444648505254565860626468707274767880828486908892949698100102104106108110112114116118120122124126130128132134136138[[#This Row],[Colonna6]]*$Q3</f>
        <v>0</v>
      </c>
      <c r="Y21" s="14" t="n">
        <f aca="false">Tabella52791124791618202224262830323436384042444648505254565860626468707274767880828486908892949698100102104106108110112114116118120122124126130128132134136138[[#This Row],[Colonna7]]*$Q3</f>
        <v>0</v>
      </c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Tabella52791124791618202224262830323436384042444648505254565860626468707274767880828486908892949698100102104106108110112114116118120122124126130128132134136138[[#This Row],[Colonna1]]*$Q3</f>
        <v>0</v>
      </c>
      <c r="T22" s="14" t="n">
        <f aca="false">Tabella52791124791618202224262830323436384042444648505254565860626468707274767880828486908892949698100102104106108110112114116118120122124126130128132134136138[[#This Row],[Colonna2]]*$Q3</f>
        <v>0</v>
      </c>
      <c r="U22" s="14" t="n">
        <f aca="false">Tabella52791124791618202224262830323436384042444648505254565860626468707274767880828486908892949698100102104106108110112114116118120122124126130128132134136138[[#This Row],[Colonna3]]*$Q3</f>
        <v>0</v>
      </c>
      <c r="V22" s="14" t="n">
        <f aca="false">Tabella52791124791618202224262830323436384042444648505254565860626468707274767880828486908892949698100102104106108110112114116118120122124126130128132134136138[[#This Row],[Colonna4]]*$Q3</f>
        <v>0</v>
      </c>
      <c r="W22" s="14" t="n">
        <f aca="false">Tabella52791124791618202224262830323436384042444648505254565860626468707274767880828486908892949698100102104106108110112114116118120122124126130128132134136138[[#This Row],[Colonna5]]*$Q3</f>
        <v>0</v>
      </c>
      <c r="X22" s="14" t="n">
        <f aca="false">Tabella52791124791618202224262830323436384042444648505254565860626468707274767880828486908892949698100102104106108110112114116118120122124126130128132134136138[[#This Row],[Colonna6]]*$Q3</f>
        <v>0</v>
      </c>
      <c r="Y22" s="14" t="n">
        <f aca="false">Tabella52791124791618202224262830323436384042444648505254565860626468707274767880828486908892949698100102104106108110112114116118120122124126130128132134136138[[#This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Tabella52791124791618202224262830323436384042444648505254565860626468707274767880828486908892949698100102104106108110112114116118120122124126130128132134136138[[#This Row],[Colonna1]]*$Q3</f>
        <v>0</v>
      </c>
      <c r="T38" s="14" t="n">
        <f aca="false">Tabella52791124791618202224262830323436384042444648505254565860626468707274767880828486908892949698100102104106108110112114116118120122124126130128132134136138[[#This Row],[Colonna2]]*$Q3</f>
        <v>0</v>
      </c>
      <c r="U38" s="14" t="n">
        <f aca="false">Tabella52791124791618202224262830323436384042444648505254565860626468707274767880828486908892949698100102104106108110112114116118120122124126130128132134136138[[#This Row],[Colonna3]]*$Q3</f>
        <v>0</v>
      </c>
      <c r="V38" s="14" t="n">
        <f aca="false">Tabella52791124791618202224262830323436384042444648505254565860626468707274767880828486908892949698100102104106108110112114116118120122124126130128132134136138[[#This Row],[Colonna4]]*$Q3</f>
        <v>0</v>
      </c>
      <c r="W38" s="14" t="n">
        <f aca="false">Tabella52791124791618202224262830323436384042444648505254565860626468707274767880828486908892949698100102104106108110112114116118120122124126130128132134136138[[#This Row],[Colonna5]]*$Q3</f>
        <v>0</v>
      </c>
      <c r="X38" s="14" t="n">
        <f aca="false">Tabella52791124791618202224262830323436384042444648505254565860626468707274767880828486908892949698100102104106108110112114116118120122124126130128132134136138[[#This Row],[Colonna6]]*$Q3</f>
        <v>0</v>
      </c>
      <c r="Y38" s="14" t="n">
        <f aca="false">Tabella52791124791618202224262830323436384042444648505254565860626468707274767880828486908892949698100102104106108110112114116118120122124126130128132134136138[[#This Row],[Colonna7]]*$Q3</f>
        <v>0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3"/>
      <c r="L44" s="13"/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Tabella52791124791618202224262830323436384042444648505254565860626468707274767880828486908892949698100102104106108110112114116118120122124126130128132134136138[[#This Row],[Colonna1]]*$Q3</f>
        <v>0</v>
      </c>
      <c r="T44" s="14" t="n">
        <f aca="false">Tabella52791124791618202224262830323436384042444648505254565860626468707274767880828486908892949698100102104106108110112114116118120122124126130128132134136138[[#This Row],[Colonna2]]*$Q3</f>
        <v>0</v>
      </c>
      <c r="U44" s="14" t="n">
        <f aca="false">Tabella52791124791618202224262830323436384042444648505254565860626468707274767880828486908892949698100102104106108110112114116118120122124126130128132134136138[[#This Row],[Colonna3]]*$Q3</f>
        <v>0</v>
      </c>
      <c r="V44" s="14" t="n">
        <f aca="false">Tabella52791124791618202224262830323436384042444648505254565860626468707274767880828486908892949698100102104106108110112114116118120122124126130128132134136138[[#This Row],[Colonna4]]*$Q3</f>
        <v>0</v>
      </c>
      <c r="W44" s="14" t="n">
        <f aca="false">Tabella52791124791618202224262830323436384042444648505254565860626468707274767880828486908892949698100102104106108110112114116118120122124126130128132134136138[[#This Row],[Colonna5]]*$Q3</f>
        <v>0</v>
      </c>
      <c r="X44" s="14" t="n">
        <f aca="false">Tabella52791124791618202224262830323436384042444648505254565860626468707274767880828486908892949698100102104106108110112114116118120122124126130128132134136138[[#This Row],[Colonna6]]*$Q3</f>
        <v>0</v>
      </c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 t="n">
        <f aca="false">Tabella52791124791618202224262830323436384042444648505254565860626468707274767880828486908892949698100102104106108110112114116118120122124126130128132134136138[[#This Row],[Colonna2]]*$Q3</f>
        <v>0</v>
      </c>
      <c r="U47" s="14"/>
      <c r="V47" s="14" t="n">
        <f aca="false">Tabella52791124791618202224262830323436384042444648505254565860626468707274767880828486908892949698100102104106108110112114116118120122124126130128132134136138[[#This Row],[Colonna4]]*$Q3</f>
        <v>0</v>
      </c>
      <c r="W47" s="14" t="n">
        <f aca="false">Tabella52791124791618202224262830323436384042444648505254565860626468707274767880828486908892949698100102104106108110112114116118120122124126130128132134136138[[#This Row],[Colonna5]]*$Q3</f>
        <v>0</v>
      </c>
      <c r="X47" s="14" t="n">
        <f aca="false">Tabella52791124791618202224262830323436384042444648505254565860626468707274767880828486908892949698100102104106108110112114116118120122124126130128132134136138[[#This Row],[Colonna6]]*$Q3</f>
        <v>0</v>
      </c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 t="n">
        <f aca="false">Tabella52791124791618202224262830323436384042444648505254565860626468707274767880828486908892949698100102104106108110112114116118120122124126130128132134136138[[#This Row],[Colonna1]]*$Q3</f>
        <v>0</v>
      </c>
      <c r="T50" s="14" t="n">
        <f aca="false">Tabella52791124791618202224262830323436384042444648505254565860626468707274767880828486908892949698100102104106108110112114116118120122124126130128132134136138[[#This Row],[Colonna2]]*$Q3</f>
        <v>0</v>
      </c>
      <c r="U50" s="14" t="n">
        <f aca="false">Tabella52791124791618202224262830323436384042444648505254565860626468707274767880828486908892949698100102104106108110112114116118120122124126130128132134136138[[#This Row],[Colonna3]]*$Q3</f>
        <v>0</v>
      </c>
      <c r="V50" s="14" t="n">
        <f aca="false">Tabella52791124791618202224262830323436384042444648505254565860626468707274767880828486908892949698100102104106108110112114116118120122124126130128132134136138[[#This Row],[Colonna4]]*$Q3</f>
        <v>0</v>
      </c>
      <c r="W50" s="14" t="n">
        <f aca="false">Tabella52791124791618202224262830323436384042444648505254565860626468707274767880828486908892949698100102104106108110112114116118120122124126130128132134136138[[#This Row],[Colonna5]]*$Q3</f>
        <v>0</v>
      </c>
      <c r="X50" s="14" t="n">
        <f aca="false">Tabella52791124791618202224262830323436384042444648505254565860626468707274767880828486908892949698100102104106108110112114116118120122124126130128132134136138[[#This Row],[Colonna6]]*$Q3</f>
        <v>0</v>
      </c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55" t="n">
        <f aca="false">SUM(L6:L52)</f>
        <v>0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Tabella52791124791618202224262830323436384042444648505254565860626468707274767880828486908892949698100102104106108110112114116118120122124126130128132134136138[[#This Row],[Colonna1]]*$Q3</f>
        <v>0</v>
      </c>
      <c r="T53" s="56" t="n">
        <f aca="false">Tabella52791124791618202224262830323436384042444648505254565860626468707274767880828486908892949698100102104106108110112114116118120122124126130128132134136138[[#This Row],[Colonna2]]*$Q3</f>
        <v>0</v>
      </c>
      <c r="U53" s="56" t="n">
        <f aca="false">Tabella52791124791618202224262830323436384042444648505254565860626468707274767880828486908892949698100102104106108110112114116118120122124126130128132134136138[[#This Row],[Colonna3]]*$Q3</f>
        <v>0</v>
      </c>
      <c r="V53" s="56" t="n">
        <f aca="false">Tabella52791124791618202224262830323436384042444648505254565860626468707274767880828486908892949698100102104106108110112114116118120122124126130128132134136138[[#This Row],[Colonna4]]*$Q3</f>
        <v>0</v>
      </c>
      <c r="W53" s="56" t="n">
        <f aca="false">Tabella52791124791618202224262830323436384042444648505254565860626468707274767880828486908892949698100102104106108110112114116118120122124126130128132134136138[[#This Row],[Colonna5]]*$Q3</f>
        <v>0</v>
      </c>
      <c r="X53" s="56" t="n">
        <f aca="false">Tabella52791124791618202224262830323436384042444648505254565860626468707274767880828486908892949698100102104106108110112114116118120122124126130128132134136138[[#This Row],[Colonna6]]*$Q3</f>
        <v>0</v>
      </c>
      <c r="Y53" s="56" t="n">
        <f aca="false">Tabella52791124791618202224262830323436384042444648505254565860626468707274767880828486908892949698100102104106108110112114116118120122124126130128132134136138[[#This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/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27" t="n">
        <f aca="false">M58*$Q3</f>
        <v>0</v>
      </c>
    </row>
    <row r="59" customFormat="false" ht="15" hidden="false" customHeight="false" outlineLevel="0" collapsed="false">
      <c r="D59" s="9" t="s">
        <v>63</v>
      </c>
      <c r="E59" s="9"/>
      <c r="F59" s="9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 t="n">
        <f aca="false">J62*$Q3</f>
        <v>0</v>
      </c>
      <c r="W62" s="57" t="n">
        <f aca="false">K62*$Q3</f>
        <v>0</v>
      </c>
      <c r="X62" s="57" t="n">
        <f aca="false">L62*$Q3</f>
        <v>0</v>
      </c>
      <c r="Y62" s="2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/>
      <c r="M63" s="26"/>
      <c r="P63" s="9" t="s">
        <v>67</v>
      </c>
      <c r="Q63" s="9"/>
      <c r="R63" s="9"/>
      <c r="S63" s="57"/>
      <c r="T63" s="57"/>
      <c r="U63" s="57"/>
      <c r="V63" s="57"/>
      <c r="W63" s="57"/>
      <c r="X63" s="57" t="n">
        <f aca="false">L63*$Q3</f>
        <v>0</v>
      </c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57"/>
      <c r="U64" s="57"/>
      <c r="V64" s="57"/>
      <c r="W64" s="57"/>
      <c r="X64" s="5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 t="n">
        <f aca="false">G65*$Q3</f>
        <v>0</v>
      </c>
      <c r="T65" s="57" t="n">
        <f aca="false">H65*$Q3</f>
        <v>0</v>
      </c>
      <c r="U65" s="57"/>
      <c r="V65" s="57" t="n">
        <f aca="false">J65*$Q3</f>
        <v>0</v>
      </c>
      <c r="W65" s="57"/>
      <c r="X65" s="57" t="n">
        <f aca="false">L65*$Q3</f>
        <v>0</v>
      </c>
      <c r="Y65" s="27" t="n">
        <f aca="false">M65*$Q3</f>
        <v>0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 t="n">
        <f aca="false">G67*$Q3</f>
        <v>0</v>
      </c>
      <c r="T67" s="57" t="n">
        <f aca="false">H67*$Q3</f>
        <v>0</v>
      </c>
      <c r="U67" s="57" t="n">
        <f aca="false">I67*$Q3</f>
        <v>0</v>
      </c>
      <c r="V67" s="57" t="n">
        <f aca="false">J67*$Q3</f>
        <v>0</v>
      </c>
      <c r="W67" s="57" t="n">
        <f aca="false">K67*$Q3</f>
        <v>0</v>
      </c>
      <c r="X67" s="57" t="n">
        <f aca="false">L67*$Q3</f>
        <v>0</v>
      </c>
      <c r="Y67" s="2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/>
      <c r="T68" s="57"/>
      <c r="U68" s="57" t="n">
        <f aca="false">I68*$Q3</f>
        <v>0</v>
      </c>
      <c r="V68" s="57"/>
      <c r="W68" s="57"/>
      <c r="X68" s="57"/>
      <c r="Y68" s="2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7"/>
      <c r="T69" s="57"/>
      <c r="U69" s="57" t="n">
        <f aca="false">I69*$Q3</f>
        <v>0</v>
      </c>
      <c r="V69" s="57"/>
      <c r="W69" s="57" t="n">
        <f aca="false">K69*$Q3</f>
        <v>0</v>
      </c>
      <c r="X69" s="57" t="n">
        <f aca="false">L69*$Q3</f>
        <v>0</v>
      </c>
      <c r="Y69" s="2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32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99</v>
      </c>
      <c r="I3" s="119" t="s">
        <v>2</v>
      </c>
      <c r="J3" s="4" t="n">
        <v>45362</v>
      </c>
      <c r="K3" s="5" t="n">
        <v>45368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99</v>
      </c>
      <c r="U3" s="119" t="s">
        <v>2</v>
      </c>
      <c r="V3" s="4" t="n">
        <v>45362</v>
      </c>
      <c r="W3" s="5" t="n">
        <v>45368</v>
      </c>
      <c r="X3" s="120" t="s">
        <v>3</v>
      </c>
      <c r="Y3" s="120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 t="n">
        <v>3</v>
      </c>
      <c r="H6" s="13" t="n">
        <v>19</v>
      </c>
      <c r="I6" s="13" t="n">
        <v>9</v>
      </c>
      <c r="J6" s="13" t="n">
        <v>29</v>
      </c>
      <c r="K6" s="13" t="n">
        <v>32</v>
      </c>
      <c r="L6" s="13" t="n">
        <v>34</v>
      </c>
      <c r="M6" s="13" t="n">
        <v>30</v>
      </c>
      <c r="P6" s="9" t="s">
        <v>13</v>
      </c>
      <c r="Q6" s="9"/>
      <c r="R6" s="9"/>
      <c r="S6" s="14" t="n">
        <f aca="false">Tabella52791124791618202224262830323436384042444648505254565860626468707274767880828486908892949698100102104106108110112114116118120122124126130128132134136138140[[#This Row],[Colonna1]]*$Q3</f>
        <v>1.2</v>
      </c>
      <c r="T6" s="14" t="n">
        <f aca="false">Tabella52791124791618202224262830323436384042444648505254565860626468707274767880828486908892949698100102104106108110112114116118120122124126130128132134136138140[[#This Row],[Colonna2]]*$Q3</f>
        <v>7.6</v>
      </c>
      <c r="U6" s="14" t="n">
        <f aca="false">Tabella52791124791618202224262830323436384042444648505254565860626468707274767880828486908892949698100102104106108110112114116118120122124126130128132134136138140[[#This Row],[Colonna3]]*$Q3</f>
        <v>3.6</v>
      </c>
      <c r="V6" s="14" t="n">
        <f aca="false">Tabella52791124791618202224262830323436384042444648505254565860626468707274767880828486908892949698100102104106108110112114116118120122124126130128132134136138140[[#This Row],[Colonna4]]*$Q3</f>
        <v>11.6</v>
      </c>
      <c r="W6" s="14" t="n">
        <f aca="false">Tabella52791124791618202224262830323436384042444648505254565860626468707274767880828486908892949698100102104106108110112114116118120122124126130128132134136138140[[#This Row],[Colonna5]]*$Q3</f>
        <v>12.8</v>
      </c>
      <c r="X6" s="14" t="n">
        <f aca="false">Tabella52791124791618202224262830323436384042444648505254565860626468707274767880828486908892949698100102104106108110112114116118120122124126130128132134136138140[[#This Row],[Colonna6]]*$Q3</f>
        <v>13.6</v>
      </c>
      <c r="Y6" s="14" t="n">
        <f aca="false">Tabella52791124791618202224262830323436384042444648505254565860626468707274767880828486908892949698100102104106108110112114116118120122124126130128132134136138140[[#This Row],[Colonna7]]*$Q3</f>
        <v>12</v>
      </c>
    </row>
    <row r="7" customFormat="false" ht="15" hidden="false" customHeight="false" outlineLevel="0" collapsed="false">
      <c r="D7" s="12" t="s">
        <v>14</v>
      </c>
      <c r="E7" s="12"/>
      <c r="F7" s="12"/>
      <c r="G7" s="13" t="n">
        <v>4</v>
      </c>
      <c r="H7" s="13" t="n">
        <v>13</v>
      </c>
      <c r="I7" s="13" t="n">
        <v>3</v>
      </c>
      <c r="J7" s="13" t="n">
        <v>15</v>
      </c>
      <c r="K7" s="13"/>
      <c r="L7" s="13" t="n">
        <v>7</v>
      </c>
      <c r="M7" s="13" t="n">
        <v>10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Tabella52791124791618202224262830323436384042444648505254565860626468707274767880828486908892949698100102104106108110112114116118120122124126130128132134136138140[[#This Row],[Colonna1]]*$Q3</f>
        <v>1.6</v>
      </c>
      <c r="T7" s="14" t="n">
        <f aca="false">Tabella52791124791618202224262830323436384042444648505254565860626468707274767880828486908892949698100102104106108110112114116118120122124126130128132134136138140[[#This Row],[Colonna2]]*$Q3</f>
        <v>5.2</v>
      </c>
      <c r="U7" s="14" t="n">
        <f aca="false">Tabella52791124791618202224262830323436384042444648505254565860626468707274767880828486908892949698100102104106108110112114116118120122124126130128132134136138140[[#This Row],[Colonna3]]*$Q3</f>
        <v>1.2</v>
      </c>
      <c r="V7" s="14" t="n">
        <f aca="false">Tabella52791124791618202224262830323436384042444648505254565860626468707274767880828486908892949698100102104106108110112114116118120122124126130128132134136138140[[#This Row],[Colonna4]]*$Q3</f>
        <v>6</v>
      </c>
      <c r="W7" s="14"/>
      <c r="X7" s="14" t="n">
        <f aca="false">Tabella52791124791618202224262830323436384042444648505254565860626468707274767880828486908892949698100102104106108110112114116118120122124126130128132134136138140[[#This Row],[Colonna6]]*$Q3</f>
        <v>2.8</v>
      </c>
      <c r="Y7" s="14" t="n">
        <f aca="false">Tabella52791124791618202224262830323436384042444648505254565860626468707274767880828486908892949698100102104106108110112114116118120122124126130128132134136138140[[#This Row],[Colonna7]]*$Q3</f>
        <v>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3</v>
      </c>
      <c r="H9" s="13" t="n">
        <v>5</v>
      </c>
      <c r="I9" s="13" t="n">
        <v>7</v>
      </c>
      <c r="J9" s="13" t="n">
        <v>6</v>
      </c>
      <c r="K9" s="13" t="n">
        <v>1</v>
      </c>
      <c r="L9" s="13" t="n">
        <v>4</v>
      </c>
      <c r="M9" s="13" t="n">
        <v>3</v>
      </c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Tabella52791124791618202224262830323436384042444648505254565860626468707274767880828486908892949698100102104106108110112114116118120122124126130128132134136138140[[#This Row],[Colonna1]]*$Q3</f>
        <v>1.2</v>
      </c>
      <c r="T9" s="14" t="n">
        <f aca="false">Tabella52791124791618202224262830323436384042444648505254565860626468707274767880828486908892949698100102104106108110112114116118120122124126130128132134136138140[[#This Row],[Colonna2]]*$Q3</f>
        <v>2</v>
      </c>
      <c r="U9" s="14" t="n">
        <f aca="false">Tabella52791124791618202224262830323436384042444648505254565860626468707274767880828486908892949698100102104106108110112114116118120122124126130128132134136138140[[#This Row],[Colonna3]]*$Q3</f>
        <v>2.8</v>
      </c>
      <c r="V9" s="14" t="n">
        <f aca="false">Tabella52791124791618202224262830323436384042444648505254565860626468707274767880828486908892949698100102104106108110112114116118120122124126130128132134136138140[[#This Row],[Colonna4]]*$Q3</f>
        <v>2.4</v>
      </c>
      <c r="W9" s="14" t="n">
        <f aca="false">Tabella52791124791618202224262830323436384042444648505254565860626468707274767880828486908892949698100102104106108110112114116118120122124126130128132134136138140[[#This Row],[Colonna5]]*$Q3</f>
        <v>0.4</v>
      </c>
      <c r="X9" s="14" t="n">
        <f aca="false">Tabella52791124791618202224262830323436384042444648505254565860626468707274767880828486908892949698100102104106108110112114116118120122124126130128132134136138140[[#This Row],[Colonna6]]*$Q3</f>
        <v>1.6</v>
      </c>
      <c r="Y9" s="14" t="n">
        <f aca="false">Tabella52791124791618202224262830323436384042444648505254565860626468707274767880828486908892949698100102104106108110112114116118120122124126130128132134136138140[[#This Row],[Colonna7]]*$Q3</f>
        <v>1.2</v>
      </c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 t="n">
        <v>1</v>
      </c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 t="n">
        <f aca="false">Tabella52791124791618202224262830323436384042444648505254565860626468707274767880828486908892949698100102104106108110112114116118120122124126130128132134136138140[[#This Row],[Colonna4]]*$Q3</f>
        <v>0.4</v>
      </c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1</v>
      </c>
      <c r="H21" s="13" t="n">
        <v>4</v>
      </c>
      <c r="I21" s="13" t="n">
        <v>4</v>
      </c>
      <c r="J21" s="13" t="n">
        <v>4</v>
      </c>
      <c r="K21" s="13" t="n">
        <v>2</v>
      </c>
      <c r="L21" s="13" t="n">
        <v>5</v>
      </c>
      <c r="M21" s="13" t="n">
        <v>18</v>
      </c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Tabella52791124791618202224262830323436384042444648505254565860626468707274767880828486908892949698100102104106108110112114116118120122124126130128132134136138140[[#This Row],[Colonna1]]*$Q3</f>
        <v>0.4</v>
      </c>
      <c r="T21" s="14" t="n">
        <f aca="false">Tabella52791124791618202224262830323436384042444648505254565860626468707274767880828486908892949698100102104106108110112114116118120122124126130128132134136138140[[#This Row],[Colonna2]]*$Q3</f>
        <v>1.6</v>
      </c>
      <c r="U21" s="14" t="n">
        <f aca="false">Tabella52791124791618202224262830323436384042444648505254565860626468707274767880828486908892949698100102104106108110112114116118120122124126130128132134136138140[[#This Row],[Colonna3]]*$Q3</f>
        <v>1.6</v>
      </c>
      <c r="V21" s="14" t="n">
        <f aca="false">Tabella52791124791618202224262830323436384042444648505254565860626468707274767880828486908892949698100102104106108110112114116118120122124126130128132134136138140[[#This Row],[Colonna4]]*$Q3</f>
        <v>1.6</v>
      </c>
      <c r="W21" s="14" t="n">
        <f aca="false">Tabella52791124791618202224262830323436384042444648505254565860626468707274767880828486908892949698100102104106108110112114116118120122124126130128132134136138140[[#This Row],[Colonna5]]*$Q3</f>
        <v>0.8</v>
      </c>
      <c r="X21" s="14" t="n">
        <f aca="false">Tabella52791124791618202224262830323436384042444648505254565860626468707274767880828486908892949698100102104106108110112114116118120122124126130128132134136138140[[#This Row],[Colonna6]]*$Q3</f>
        <v>2</v>
      </c>
      <c r="Y21" s="14" t="n">
        <f aca="false">Tabella52791124791618202224262830323436384042444648505254565860626468707274767880828486908892949698100102104106108110112114116118120122124126130128132134136138140[[#This Row],[Colonna7]]*$Q3</f>
        <v>7.2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12</v>
      </c>
      <c r="H22" s="13" t="n">
        <v>118</v>
      </c>
      <c r="I22" s="13" t="n">
        <v>90</v>
      </c>
      <c r="J22" s="13" t="n">
        <v>40</v>
      </c>
      <c r="K22" s="13" t="n">
        <v>13</v>
      </c>
      <c r="L22" s="13" t="n">
        <v>12</v>
      </c>
      <c r="M22" s="13" t="n">
        <v>17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Tabella52791124791618202224262830323436384042444648505254565860626468707274767880828486908892949698100102104106108110112114116118120122124126130128132134136138140[[#This Row],[Colonna1]]*$Q3</f>
        <v>4.8</v>
      </c>
      <c r="T22" s="14" t="n">
        <f aca="false">Tabella52791124791618202224262830323436384042444648505254565860626468707274767880828486908892949698100102104106108110112114116118120122124126130128132134136138140[[#This Row],[Colonna2]]*$Q3</f>
        <v>47.2</v>
      </c>
      <c r="U22" s="14" t="n">
        <f aca="false">Tabella52791124791618202224262830323436384042444648505254565860626468707274767880828486908892949698100102104106108110112114116118120122124126130128132134136138140[[#This Row],[Colonna3]]*$Q3</f>
        <v>36</v>
      </c>
      <c r="V22" s="14" t="n">
        <f aca="false">Tabella52791124791618202224262830323436384042444648505254565860626468707274767880828486908892949698100102104106108110112114116118120122124126130128132134136138140[[#This Row],[Colonna4]]*$Q3</f>
        <v>16</v>
      </c>
      <c r="W22" s="14" t="n">
        <f aca="false">Tabella52791124791618202224262830323436384042444648505254565860626468707274767880828486908892949698100102104106108110112114116118120122124126130128132134136138140[[#This Row],[Colonna5]]*$Q3</f>
        <v>5.2</v>
      </c>
      <c r="X22" s="14" t="n">
        <f aca="false">Tabella52791124791618202224262830323436384042444648505254565860626468707274767880828486908892949698100102104106108110112114116118120122124126130128132134136138140[[#This Row],[Colonna6]]*$Q3</f>
        <v>4.8</v>
      </c>
      <c r="Y22" s="14" t="n">
        <f aca="false">Tabella52791124791618202224262830323436384042444648505254565860626468707274767880828486908892949698100102104106108110112114116118120122124126130128132134136138140[[#This Row],[Colonna7]]*$Q3</f>
        <v>6.8</v>
      </c>
    </row>
    <row r="23" customFormat="false" ht="15" hidden="false" customHeight="false" outlineLevel="0" collapsed="false">
      <c r="D23" s="17" t="s">
        <v>30</v>
      </c>
      <c r="E23" s="17"/>
      <c r="F23" s="17"/>
      <c r="G23" s="13" t="n">
        <v>1</v>
      </c>
      <c r="H23" s="13"/>
      <c r="I23" s="13"/>
      <c r="J23" s="13"/>
      <c r="K23" s="13"/>
      <c r="L23" s="13"/>
      <c r="M23" s="13" t="n">
        <v>1</v>
      </c>
      <c r="P23" s="17" t="s">
        <v>30</v>
      </c>
      <c r="Q23" s="17"/>
      <c r="R23" s="17"/>
      <c r="S23" s="14" t="n">
        <f aca="false">Tabella52791124791618202224262830323436384042444648505254565860626468707274767880828486908892949698100102104106108110112114116118120122124126130128132134136138140[[#This Row],[Colonna1]]*$Q3</f>
        <v>0.4</v>
      </c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 t="n">
        <v>1</v>
      </c>
      <c r="I29" s="13" t="n">
        <v>5</v>
      </c>
      <c r="J29" s="13"/>
      <c r="K29" s="13" t="n">
        <v>2</v>
      </c>
      <c r="L29" s="13" t="n">
        <v>4</v>
      </c>
      <c r="M29" s="13" t="n">
        <v>7</v>
      </c>
      <c r="P29" s="12" t="s">
        <v>36</v>
      </c>
      <c r="Q29" s="12"/>
      <c r="R29" s="12"/>
      <c r="S29" s="14"/>
      <c r="T29" s="14" t="n">
        <f aca="false">Tabella52791124791618202224262830323436384042444648505254565860626468707274767880828486908892949698100102104106108110112114116118120122124126130128132134136138140[[#This Row],[Colonna2]]*$Q3</f>
        <v>0.4</v>
      </c>
      <c r="U29" s="14" t="n">
        <f aca="false">Tabella52791124791618202224262830323436384042444648505254565860626468707274767880828486908892949698100102104106108110112114116118120122124126130128132134136138140[[#This Row],[Colonna3]]*$Q3</f>
        <v>2</v>
      </c>
      <c r="V29" s="14"/>
      <c r="W29" s="14" t="n">
        <f aca="false">Tabella52791124791618202224262830323436384042444648505254565860626468707274767880828486908892949698100102104106108110112114116118120122124126130128132134136138140[[#This Row],[Colonna5]]*$Q3</f>
        <v>0.8</v>
      </c>
      <c r="X29" s="14" t="n">
        <f aca="false">Tabella52791124791618202224262830323436384042444648505254565860626468707274767880828486908892949698100102104106108110112114116118120122124126130128132134136138140[[#This Row],[Colonna6]]*$Q3</f>
        <v>1.6</v>
      </c>
      <c r="Y29" s="14" t="n">
        <f aca="false">Tabella52791124791618202224262830323436384042444648505254565860626468707274767880828486908892949698100102104106108110112114116118120122124126130128132134136138140[[#This Row],[Colonna7]]*$Q3</f>
        <v>2.8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2</v>
      </c>
      <c r="H38" s="13" t="n">
        <v>24</v>
      </c>
      <c r="I38" s="13" t="n">
        <v>22</v>
      </c>
      <c r="J38" s="13" t="n">
        <v>23</v>
      </c>
      <c r="K38" s="13" t="n">
        <v>5</v>
      </c>
      <c r="L38" s="13" t="n">
        <v>10</v>
      </c>
      <c r="M38" s="13" t="n">
        <v>23</v>
      </c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Tabella52791124791618202224262830323436384042444648505254565860626468707274767880828486908892949698100102104106108110112114116118120122124126130128132134136138140[[#This Row],[Colonna1]]*$Q3</f>
        <v>0.8</v>
      </c>
      <c r="T38" s="14" t="n">
        <f aca="false">Tabella52791124791618202224262830323436384042444648505254565860626468707274767880828486908892949698100102104106108110112114116118120122124126130128132134136138140[[#This Row],[Colonna2]]*$Q3</f>
        <v>9.6</v>
      </c>
      <c r="U38" s="14" t="n">
        <f aca="false">Tabella52791124791618202224262830323436384042444648505254565860626468707274767880828486908892949698100102104106108110112114116118120122124126130128132134136138140[[#This Row],[Colonna3]]*$Q3</f>
        <v>8.8</v>
      </c>
      <c r="V38" s="14" t="n">
        <f aca="false">Tabella52791124791618202224262830323436384042444648505254565860626468707274767880828486908892949698100102104106108110112114116118120122124126130128132134136138140[[#This Row],[Colonna4]]*$Q3</f>
        <v>9.2</v>
      </c>
      <c r="W38" s="14" t="n">
        <f aca="false">Tabella52791124791618202224262830323436384042444648505254565860626468707274767880828486908892949698100102104106108110112114116118120122124126130128132134136138140[[#This Row],[Colonna5]]*$Q3</f>
        <v>2</v>
      </c>
      <c r="X38" s="14" t="n">
        <f aca="false">Tabella52791124791618202224262830323436384042444648505254565860626468707274767880828486908892949698100102104106108110112114116118120122124126130128132134136138140[[#This Row],[Colonna6]]*$Q3</f>
        <v>4</v>
      </c>
      <c r="Y38" s="14" t="n">
        <f aca="false">Tabella52791124791618202224262830323436384042444648505254565860626468707274767880828486908892949698100102104106108110112114116118120122124126130128132134136138140[[#This Row],[Colonna7]]*$Q3</f>
        <v>9.2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1</v>
      </c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 t="n">
        <f aca="false">Tabella52791124791618202224262830323436384042444648505254565860626468707274767880828486908892949698100102104106108110112114116118120122124126130128132134136138140[[#This Row],[Colonna1]]*$Q3</f>
        <v>0.4</v>
      </c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9</v>
      </c>
      <c r="H44" s="13" t="n">
        <v>21</v>
      </c>
      <c r="I44" s="13" t="n">
        <v>13</v>
      </c>
      <c r="J44" s="13" t="n">
        <v>13</v>
      </c>
      <c r="K44" s="13" t="n">
        <v>10</v>
      </c>
      <c r="L44" s="13" t="n">
        <v>18</v>
      </c>
      <c r="M44" s="13" t="n">
        <v>18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Tabella52791124791618202224262830323436384042444648505254565860626468707274767880828486908892949698100102104106108110112114116118120122124126130128132134136138140[[#This Row],[Colonna1]]*$Q3</f>
        <v>3.6</v>
      </c>
      <c r="T44" s="14" t="n">
        <f aca="false">Tabella52791124791618202224262830323436384042444648505254565860626468707274767880828486908892949698100102104106108110112114116118120122124126130128132134136138140[[#This Row],[Colonna2]]*$Q3</f>
        <v>8.4</v>
      </c>
      <c r="U44" s="14" t="n">
        <f aca="false">Tabella52791124791618202224262830323436384042444648505254565860626468707274767880828486908892949698100102104106108110112114116118120122124126130128132134136138140[[#This Row],[Colonna3]]*$Q3</f>
        <v>5.2</v>
      </c>
      <c r="V44" s="14" t="n">
        <f aca="false">Tabella52791124791618202224262830323436384042444648505254565860626468707274767880828486908892949698100102104106108110112114116118120122124126130128132134136138140[[#This Row],[Colonna4]]*$Q3</f>
        <v>5.2</v>
      </c>
      <c r="W44" s="14" t="n">
        <f aca="false">Tabella52791124791618202224262830323436384042444648505254565860626468707274767880828486908892949698100102104106108110112114116118120122124126130128132134136138140[[#This Row],[Colonna5]]*$Q3</f>
        <v>4</v>
      </c>
      <c r="X44" s="14" t="n">
        <f aca="false">Tabella52791124791618202224262830323436384042444648505254565860626468707274767880828486908892949698100102104106108110112114116118120122124126130128132134136138140[[#This Row],[Colonna6]]*$Q3</f>
        <v>7.2</v>
      </c>
      <c r="Y44" s="14" t="n">
        <f aca="false">Tabella52791124791618202224262830323436384042444648505254565860626468707274767880828486908892949698100102104106108110112114116118120122124126130128132134136138140[[#This Row],[Colonna7]]*$Q3</f>
        <v>7.2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23</v>
      </c>
      <c r="H47" s="13" t="n">
        <v>107</v>
      </c>
      <c r="I47" s="13" t="n">
        <v>48</v>
      </c>
      <c r="J47" s="13" t="n">
        <v>95</v>
      </c>
      <c r="K47" s="13" t="n">
        <v>62</v>
      </c>
      <c r="L47" s="13" t="n">
        <v>53</v>
      </c>
      <c r="M47" s="13" t="n">
        <v>41</v>
      </c>
      <c r="P47" s="16" t="s">
        <v>54</v>
      </c>
      <c r="Q47" s="16"/>
      <c r="R47" s="16"/>
      <c r="S47" s="14" t="n">
        <f aca="false">Tabella52791124791618202224262830323436384042444648505254565860626468707274767880828486908892949698100102104106108110112114116118120122124126130128132134136138140[[#This Row],[Colonna1]]*$Q3</f>
        <v>9.2</v>
      </c>
      <c r="T47" s="14" t="n">
        <f aca="false">Tabella52791124791618202224262830323436384042444648505254565860626468707274767880828486908892949698100102104106108110112114116118120122124126130128132134136138140[[#This Row],[Colonna2]]*$Q3</f>
        <v>42.8</v>
      </c>
      <c r="U47" s="14" t="n">
        <f aca="false">Tabella52791124791618202224262830323436384042444648505254565860626468707274767880828486908892949698100102104106108110112114116118120122124126130128132134136138140[[#This Row],[Colonna3]]*$Q3</f>
        <v>19.2</v>
      </c>
      <c r="V47" s="14" t="n">
        <f aca="false">Tabella52791124791618202224262830323436384042444648505254565860626468707274767880828486908892949698100102104106108110112114116118120122124126130128132134136138140[[#This Row],[Colonna4]]*$Q3</f>
        <v>38</v>
      </c>
      <c r="W47" s="14" t="n">
        <f aca="false">Tabella52791124791618202224262830323436384042444648505254565860626468707274767880828486908892949698100102104106108110112114116118120122124126130128132134136138140[[#This Row],[Colonna5]]*$Q3</f>
        <v>24.8</v>
      </c>
      <c r="X47" s="14" t="n">
        <f aca="false">Tabella52791124791618202224262830323436384042444648505254565860626468707274767880828486908892949698100102104106108110112114116118120122124126130128132134136138140[[#This Row],[Colonna6]]*$Q3</f>
        <v>21.2</v>
      </c>
      <c r="Y47" s="14" t="n">
        <f aca="false">Tabella52791124791618202224262830323436384042444648505254565860626468707274767880828486908892949698100102104106108110112114116118120122124126130128132134136138140[[#This Row],[Colonna7]]*$Q3</f>
        <v>16.4</v>
      </c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 t="n">
        <v>4</v>
      </c>
      <c r="I50" s="13" t="n">
        <v>11</v>
      </c>
      <c r="J50" s="13" t="n">
        <v>19</v>
      </c>
      <c r="K50" s="13" t="n">
        <v>6</v>
      </c>
      <c r="L50" s="13" t="n">
        <v>17</v>
      </c>
      <c r="M50" s="13" t="n">
        <v>32</v>
      </c>
      <c r="P50" s="9" t="s">
        <v>57</v>
      </c>
      <c r="Q50" s="9"/>
      <c r="R50" s="9"/>
      <c r="S50" s="14"/>
      <c r="T50" s="14" t="n">
        <f aca="false">Tabella52791124791618202224262830323436384042444648505254565860626468707274767880828486908892949698100102104106108110112114116118120122124126130128132134136138140[[#This Row],[Colonna2]]*$Q3</f>
        <v>1.6</v>
      </c>
      <c r="U50" s="14" t="n">
        <f aca="false">Tabella52791124791618202224262830323436384042444648505254565860626468707274767880828486908892949698100102104106108110112114116118120122124126130128132134136138140[[#This Row],[Colonna3]]*$Q3</f>
        <v>4.4</v>
      </c>
      <c r="V50" s="14" t="n">
        <f aca="false">Tabella52791124791618202224262830323436384042444648505254565860626468707274767880828486908892949698100102104106108110112114116118120122124126130128132134136138140[[#This Row],[Colonna4]]*$Q3</f>
        <v>7.6</v>
      </c>
      <c r="W50" s="14" t="n">
        <f aca="false">Tabella52791124791618202224262830323436384042444648505254565860626468707274767880828486908892949698100102104106108110112114116118120122124126130128132134136138140[[#This Row],[Colonna5]]*$Q3</f>
        <v>2.4</v>
      </c>
      <c r="X50" s="14" t="n">
        <f aca="false">Tabella52791124791618202224262830323436384042444648505254565860626468707274767880828486908892949698100102104106108110112114116118120122124126130128132134136138140[[#This Row],[Colonna6]]*$Q3</f>
        <v>6.8</v>
      </c>
      <c r="Y50" s="14" t="n">
        <f aca="false">Tabella52791124791618202224262830323436384042444648505254565860626468707274767880828486908892949698100102104106108110112114116118120122124126130128132134136138140[[#This Row],[Colonna7]]*$Q3</f>
        <v>12.8</v>
      </c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 t="n">
        <v>1</v>
      </c>
      <c r="J52" s="13" t="n">
        <v>1</v>
      </c>
      <c r="K52" s="13"/>
      <c r="L52" s="13"/>
      <c r="M52" s="13" t="n">
        <v>2</v>
      </c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59</v>
      </c>
      <c r="H53" s="55" t="n">
        <f aca="false">SUM(H6:H52)</f>
        <v>316</v>
      </c>
      <c r="I53" s="55" t="n">
        <f aca="false">SUM(I6:I52)</f>
        <v>213</v>
      </c>
      <c r="J53" s="55" t="n">
        <f aca="false">SUM(J6:J52)</f>
        <v>246</v>
      </c>
      <c r="K53" s="55" t="n">
        <f aca="false">SUM(K6:K52)</f>
        <v>133</v>
      </c>
      <c r="L53" s="55" t="n">
        <f aca="false">SUM(L6:L52)</f>
        <v>164</v>
      </c>
      <c r="M53" s="55" t="n">
        <f aca="false">SUM(M6:M52)</f>
        <v>202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Tabella52791124791618202224262830323436384042444648505254565860626468707274767880828486908892949698100102104106108110112114116118120122124126130128132134136138140[[#This Row],[Colonna1]]*$Q3</f>
        <v>23.6</v>
      </c>
      <c r="T53" s="56" t="n">
        <f aca="false">Tabella52791124791618202224262830323436384042444648505254565860626468707274767880828486908892949698100102104106108110112114116118120122124126130128132134136138140[[#This Row],[Colonna2]]*$Q3</f>
        <v>126.4</v>
      </c>
      <c r="U53" s="56" t="n">
        <f aca="false">Tabella52791124791618202224262830323436384042444648505254565860626468707274767880828486908892949698100102104106108110112114116118120122124126130128132134136138140[[#This Row],[Colonna3]]*$Q3</f>
        <v>85.2</v>
      </c>
      <c r="V53" s="56" t="n">
        <f aca="false">Tabella52791124791618202224262830323436384042444648505254565860626468707274767880828486908892949698100102104106108110112114116118120122124126130128132134136138140[[#This Row],[Colonna4]]*$Q3</f>
        <v>98.4</v>
      </c>
      <c r="W53" s="56" t="n">
        <f aca="false">Tabella52791124791618202224262830323436384042444648505254565860626468707274767880828486908892949698100102104106108110112114116118120122124126130128132134136138140[[#This Row],[Colonna5]]*$Q3</f>
        <v>53.2</v>
      </c>
      <c r="X53" s="56" t="n">
        <f aca="false">Tabella52791124791618202224262830323436384042444648505254565860626468707274767880828486908892949698100102104106108110112114116118120122124126130128132134136138140[[#This Row],[Colonna6]]*$Q3</f>
        <v>65.6</v>
      </c>
      <c r="Y53" s="56" t="n">
        <f aca="false">Tabella52791124791618202224262830323436384042444648505254565860626468707274767880828486908892949698100102104106108110112114116118120122124126130128132134136138140[[#This Row],[Colonna7]]*$Q3</f>
        <v>80.8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9</v>
      </c>
      <c r="H58" s="26" t="n">
        <v>12</v>
      </c>
      <c r="I58" s="26" t="n">
        <v>13</v>
      </c>
      <c r="J58" s="26" t="n">
        <v>11</v>
      </c>
      <c r="K58" s="26" t="n">
        <v>2</v>
      </c>
      <c r="L58" s="26" t="n">
        <v>18</v>
      </c>
      <c r="M58" s="26" t="n">
        <v>4</v>
      </c>
      <c r="P58" s="23" t="s">
        <v>62</v>
      </c>
      <c r="Q58" s="23"/>
      <c r="R58" s="23"/>
      <c r="S58" s="57" t="n">
        <f aca="false">G58*$Q3</f>
        <v>3.6</v>
      </c>
      <c r="T58" s="57" t="n">
        <f aca="false">H58*$Q3</f>
        <v>4.8</v>
      </c>
      <c r="U58" s="57" t="n">
        <f aca="false">I58*$Q3</f>
        <v>5.2</v>
      </c>
      <c r="V58" s="57" t="n">
        <f aca="false">J58*$Q3</f>
        <v>4.4</v>
      </c>
      <c r="W58" s="57" t="n">
        <f aca="false">K58*$Q3</f>
        <v>0.8</v>
      </c>
      <c r="X58" s="57" t="n">
        <f aca="false">L58*$Q3</f>
        <v>7.2</v>
      </c>
      <c r="Y58" s="27" t="n">
        <f aca="false">M58*$Q3</f>
        <v>1.6</v>
      </c>
    </row>
    <row r="59" customFormat="false" ht="15" hidden="false" customHeight="false" outlineLevel="0" collapsed="false">
      <c r="D59" s="9" t="s">
        <v>63</v>
      </c>
      <c r="E59" s="9"/>
      <c r="F59" s="9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 t="n">
        <v>2</v>
      </c>
      <c r="K62" s="26"/>
      <c r="L62" s="26" t="n">
        <v>1</v>
      </c>
      <c r="M62" s="26"/>
      <c r="P62" s="9" t="s">
        <v>66</v>
      </c>
      <c r="Q62" s="9"/>
      <c r="R62" s="9"/>
      <c r="S62" s="57"/>
      <c r="T62" s="57"/>
      <c r="U62" s="57"/>
      <c r="V62" s="57" t="n">
        <f aca="false">J62*$Q3</f>
        <v>0.8</v>
      </c>
      <c r="W62" s="57"/>
      <c r="X62" s="57" t="n">
        <f aca="false">L62*$Q3</f>
        <v>0.4</v>
      </c>
      <c r="Y62" s="27"/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 t="n">
        <v>1</v>
      </c>
      <c r="J63" s="26"/>
      <c r="K63" s="26"/>
      <c r="L63" s="26"/>
      <c r="M63" s="26"/>
      <c r="P63" s="9" t="s">
        <v>67</v>
      </c>
      <c r="Q63" s="9"/>
      <c r="R63" s="9"/>
      <c r="S63" s="57"/>
      <c r="T63" s="57"/>
      <c r="U63" s="57" t="n">
        <f aca="false">I63*$Q3</f>
        <v>0.4</v>
      </c>
      <c r="V63" s="57"/>
      <c r="W63" s="57"/>
      <c r="X63" s="5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 t="n">
        <v>1</v>
      </c>
      <c r="L64" s="26"/>
      <c r="M64" s="26"/>
      <c r="P64" s="9" t="s">
        <v>68</v>
      </c>
      <c r="Q64" s="9"/>
      <c r="R64" s="9"/>
      <c r="S64" s="57"/>
      <c r="T64" s="57"/>
      <c r="U64" s="57"/>
      <c r="V64" s="57"/>
      <c r="W64" s="57" t="n">
        <f aca="false">K64*$Q3</f>
        <v>0.4</v>
      </c>
      <c r="X64" s="5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13</v>
      </c>
      <c r="H65" s="30" t="n">
        <v>3</v>
      </c>
      <c r="I65" s="30" t="n">
        <v>1</v>
      </c>
      <c r="J65" s="26" t="n">
        <v>3</v>
      </c>
      <c r="K65" s="26" t="n">
        <v>1</v>
      </c>
      <c r="L65" s="26" t="n">
        <v>3</v>
      </c>
      <c r="M65" s="26" t="n">
        <v>2</v>
      </c>
      <c r="P65" s="9" t="s">
        <v>69</v>
      </c>
      <c r="Q65" s="9"/>
      <c r="R65" s="9"/>
      <c r="S65" s="57" t="n">
        <f aca="false">G65*$Q3</f>
        <v>5.2</v>
      </c>
      <c r="T65" s="57" t="n">
        <f aca="false">H65*$Q3</f>
        <v>1.2</v>
      </c>
      <c r="U65" s="57" t="n">
        <f aca="false">I65*$Q3</f>
        <v>0.4</v>
      </c>
      <c r="V65" s="57" t="n">
        <f aca="false">J65*$Q3</f>
        <v>1.2</v>
      </c>
      <c r="W65" s="57" t="n">
        <f aca="false">K65*$Q3</f>
        <v>0.4</v>
      </c>
      <c r="X65" s="57" t="n">
        <f aca="false">L65*$Q3</f>
        <v>1.2</v>
      </c>
      <c r="Y65" s="27" t="n">
        <f aca="false">M65*$Q3</f>
        <v>0.8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 t="n">
        <v>1</v>
      </c>
      <c r="I67" s="139"/>
      <c r="J67" s="26"/>
      <c r="K67" s="26"/>
      <c r="L67" s="26" t="n">
        <v>1</v>
      </c>
      <c r="M67" s="26"/>
      <c r="P67" s="9" t="s">
        <v>71</v>
      </c>
      <c r="Q67" s="9"/>
      <c r="R67" s="9"/>
      <c r="S67" s="57"/>
      <c r="T67" s="57" t="n">
        <f aca="false">H67*$Q3</f>
        <v>0.4</v>
      </c>
      <c r="U67" s="57"/>
      <c r="V67" s="57"/>
      <c r="W67" s="57"/>
      <c r="X67" s="57" t="n">
        <f aca="false">L67*$Q3</f>
        <v>0.4</v>
      </c>
      <c r="Y67" s="2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 t="n">
        <v>3</v>
      </c>
      <c r="I68" s="30"/>
      <c r="J68" s="30" t="n">
        <v>2</v>
      </c>
      <c r="K68" s="30" t="n">
        <v>3</v>
      </c>
      <c r="L68" s="30" t="n">
        <v>1</v>
      </c>
      <c r="M68" s="30" t="n">
        <v>5</v>
      </c>
      <c r="P68" s="9" t="s">
        <v>72</v>
      </c>
      <c r="Q68" s="9"/>
      <c r="R68" s="9"/>
      <c r="S68" s="57"/>
      <c r="T68" s="57" t="n">
        <f aca="false">H68*$Q3</f>
        <v>1.2</v>
      </c>
      <c r="U68" s="57"/>
      <c r="V68" s="57" t="n">
        <f aca="false">J68*$Q3</f>
        <v>0.8</v>
      </c>
      <c r="W68" s="57" t="n">
        <f aca="false">K68*$Q3</f>
        <v>1.2</v>
      </c>
      <c r="X68" s="57" t="n">
        <f aca="false">L68*$Q3</f>
        <v>0.4</v>
      </c>
      <c r="Y68" s="2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 t="n">
        <v>3</v>
      </c>
      <c r="J69" s="30" t="n">
        <v>8</v>
      </c>
      <c r="K69" s="30"/>
      <c r="L69" s="30" t="n">
        <v>3</v>
      </c>
      <c r="M69" s="30" t="n">
        <v>1</v>
      </c>
      <c r="P69" s="9" t="s">
        <v>73</v>
      </c>
      <c r="Q69" s="9"/>
      <c r="R69" s="9"/>
      <c r="S69" s="57"/>
      <c r="T69" s="57"/>
      <c r="U69" s="57" t="n">
        <f aca="false">I69*$Q3</f>
        <v>1.2</v>
      </c>
      <c r="V69" s="57" t="n">
        <f aca="false">J69*$Q3</f>
        <v>3.2</v>
      </c>
      <c r="W69" s="57"/>
      <c r="X69" s="57" t="n">
        <f aca="false">L69*$Q3</f>
        <v>1.2</v>
      </c>
      <c r="Y69" s="2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22</v>
      </c>
      <c r="H70" s="60" t="n">
        <f aca="false">SUM(H58:H69)</f>
        <v>19</v>
      </c>
      <c r="I70" s="60" t="n">
        <f aca="false">SUM(I58:I69)</f>
        <v>18</v>
      </c>
      <c r="J70" s="60" t="n">
        <f aca="false">SUM(J58:J69)</f>
        <v>26</v>
      </c>
      <c r="K70" s="60" t="n">
        <f aca="false">SUM(K58:K69)</f>
        <v>7</v>
      </c>
      <c r="L70" s="60" t="n">
        <f aca="false">SUM(L58:L69)</f>
        <v>27</v>
      </c>
      <c r="M70" s="60" t="n">
        <f aca="false">SUM(M58:M69)</f>
        <v>12</v>
      </c>
      <c r="P70" s="9" t="s">
        <v>60</v>
      </c>
      <c r="Q70" s="9"/>
      <c r="R70" s="9"/>
      <c r="S70" s="61" t="n">
        <f aca="false">G70*$Q3</f>
        <v>8.8</v>
      </c>
      <c r="T70" s="61" t="n">
        <f aca="false">H70*$Q3</f>
        <v>7.6</v>
      </c>
      <c r="U70" s="61" t="n">
        <f aca="false">I70*$Q3</f>
        <v>7.2</v>
      </c>
      <c r="V70" s="61" t="n">
        <f aca="false">J70*$Q3</f>
        <v>10.4</v>
      </c>
      <c r="W70" s="61" t="n">
        <f aca="false">K70*$Q3</f>
        <v>2.8</v>
      </c>
      <c r="X70" s="61" t="n">
        <f aca="false">L70*$Q3</f>
        <v>10.8</v>
      </c>
      <c r="Y70" s="32" t="n">
        <f aca="false">M70*$Q3</f>
        <v>4.8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3" activeCellId="0" sqref="Y3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100</v>
      </c>
      <c r="I3" s="119" t="s">
        <v>2</v>
      </c>
      <c r="J3" s="4" t="n">
        <v>45369</v>
      </c>
      <c r="K3" s="5" t="n">
        <v>45375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99</v>
      </c>
      <c r="U3" s="119" t="s">
        <v>2</v>
      </c>
      <c r="V3" s="4" t="n">
        <v>45369</v>
      </c>
      <c r="W3" s="5" t="n">
        <v>45375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 t="n">
        <v>40</v>
      </c>
      <c r="H6" s="13" t="n">
        <v>31</v>
      </c>
      <c r="I6" s="13" t="n">
        <v>21</v>
      </c>
      <c r="J6" s="13" t="n">
        <v>49</v>
      </c>
      <c r="K6" s="13" t="n">
        <v>61</v>
      </c>
      <c r="L6" s="13" t="n">
        <v>30</v>
      </c>
      <c r="M6" s="13" t="n">
        <v>46</v>
      </c>
      <c r="P6" s="9" t="s">
        <v>13</v>
      </c>
      <c r="Q6" s="9"/>
      <c r="R6" s="9"/>
      <c r="S6" s="14" t="n">
        <f aca="false">Tabella52791124791618202224262830323436384042444648505254565860626468707274767880828486908892949698100102104106108110112114116118120122124126130128132134136138140142[[#This Row],[Colonna1]]*$Q3</f>
        <v>16</v>
      </c>
      <c r="T6" s="14" t="n">
        <f aca="false">Tabella52791124791618202224262830323436384042444648505254565860626468707274767880828486908892949698100102104106108110112114116118120122124126130128132134136138140142[[#This Row],[Colonna2]]*$Q3</f>
        <v>12.4</v>
      </c>
      <c r="U6" s="14" t="n">
        <f aca="false">Tabella52791124791618202224262830323436384042444648505254565860626468707274767880828486908892949698100102104106108110112114116118120122124126130128132134136138140142[[#This Row],[Colonna3]]*$Q3</f>
        <v>8.4</v>
      </c>
      <c r="V6" s="14" t="n">
        <f aca="false">Tabella52791124791618202224262830323436384042444648505254565860626468707274767880828486908892949698100102104106108110112114116118120122124126130128132134136138140142[[#This Row],[Colonna4]]*$Q3</f>
        <v>19.6</v>
      </c>
      <c r="W6" s="14" t="n">
        <f aca="false">Tabella52791124791618202224262830323436384042444648505254565860626468707274767880828486908892949698100102104106108110112114116118120122124126130128132134136138140142[[#This Row],[Colonna5]]*$Q3</f>
        <v>24.4</v>
      </c>
      <c r="X6" s="14" t="n">
        <f aca="false">Tabella52791124791618202224262830323436384042444648505254565860626468707274767880828486908892949698100102104106108110112114116118120122124126130128132134136138140142[[#This Row],[Colonna6]]*$Q3</f>
        <v>12</v>
      </c>
      <c r="Y6" s="14" t="n">
        <f aca="false">Tabella52791124791618202224262830323436384042444648505254565860626468707274767880828486908892949698100102104106108110112114116118120122124126130128132134136138140142[[#This Row],[Colonna7]]*$Q3</f>
        <v>18.4</v>
      </c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15</v>
      </c>
      <c r="H7" s="13" t="n">
        <v>7</v>
      </c>
      <c r="I7" s="13" t="n">
        <v>3</v>
      </c>
      <c r="J7" s="13" t="n">
        <v>31</v>
      </c>
      <c r="K7" s="13" t="n">
        <v>31</v>
      </c>
      <c r="L7" s="13" t="n">
        <v>35</v>
      </c>
      <c r="M7" s="13" t="n">
        <v>25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Tabella52791124791618202224262830323436384042444648505254565860626468707274767880828486908892949698100102104106108110112114116118120122124126130128132134136138140142[[#This Row],[Colonna1]]*$Q3</f>
        <v>6</v>
      </c>
      <c r="T7" s="14" t="n">
        <f aca="false">Tabella52791124791618202224262830323436384042444648505254565860626468707274767880828486908892949698100102104106108110112114116118120122124126130128132134136138140142[[#This Row],[Colonna2]]*$Q3</f>
        <v>2.8</v>
      </c>
      <c r="U7" s="14" t="n">
        <f aca="false">Tabella52791124791618202224262830323436384042444648505254565860626468707274767880828486908892949698100102104106108110112114116118120122124126130128132134136138140142[[#This Row],[Colonna3]]*$Q3</f>
        <v>1.2</v>
      </c>
      <c r="V7" s="14" t="n">
        <f aca="false">Tabella52791124791618202224262830323436384042444648505254565860626468707274767880828486908892949698100102104106108110112114116118120122124126130128132134136138140142[[#This Row],[Colonna4]]*$Q3</f>
        <v>12.4</v>
      </c>
      <c r="W7" s="14"/>
      <c r="X7" s="14" t="n">
        <f aca="false">Tabella52791124791618202224262830323436384042444648505254565860626468707274767880828486908892949698100102104106108110112114116118120122124126130128132134136138140142[[#This Row],[Colonna6]]*$Q3</f>
        <v>14</v>
      </c>
      <c r="Y7" s="14" t="n">
        <f aca="false">Tabella52791124791618202224262830323436384042444648505254565860626468707274767880828486908892949698100102104106108110112114116118120122124126130128132134136138140142[[#This Row],[Colonna7]]*$Q3</f>
        <v>10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5</v>
      </c>
      <c r="H9" s="13"/>
      <c r="I9" s="13" t="n">
        <v>2</v>
      </c>
      <c r="J9" s="13" t="n">
        <v>1</v>
      </c>
      <c r="K9" s="13" t="n">
        <v>2</v>
      </c>
      <c r="L9" s="13"/>
      <c r="M9" s="13"/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Tabella52791124791618202224262830323436384042444648505254565860626468707274767880828486908892949698100102104106108110112114116118120122124126130128132134136138140142[[#This Row],[Colonna1]]*$Q3</f>
        <v>2</v>
      </c>
      <c r="T9" s="14"/>
      <c r="U9" s="14" t="n">
        <f aca="false">Tabella52791124791618202224262830323436384042444648505254565860626468707274767880828486908892949698100102104106108110112114116118120122124126130128132134136138140142[[#This Row],[Colonna3]]*$Q3</f>
        <v>0.8</v>
      </c>
      <c r="V9" s="14" t="n">
        <f aca="false">Tabella52791124791618202224262830323436384042444648505254565860626468707274767880828486908892949698100102104106108110112114116118120122124126130128132134136138140142[[#This Row],[Colonna4]]*$Q3</f>
        <v>0.4</v>
      </c>
      <c r="W9" s="14" t="n">
        <f aca="false">Tabella52791124791618202224262830323436384042444648505254565860626468707274767880828486908892949698100102104106108110112114116118120122124126130128132134136138140142[[#This Row],[Colonna5]]*$Q3</f>
        <v>0.8</v>
      </c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 t="n">
        <v>1</v>
      </c>
      <c r="I10" s="13" t="n">
        <v>7</v>
      </c>
      <c r="J10" s="13" t="n">
        <v>34</v>
      </c>
      <c r="K10" s="13" t="n">
        <v>16</v>
      </c>
      <c r="L10" s="13" t="n">
        <v>23</v>
      </c>
      <c r="M10" s="13" t="n">
        <v>7</v>
      </c>
      <c r="P10" s="12" t="s">
        <v>17</v>
      </c>
      <c r="Q10" s="12"/>
      <c r="R10" s="12"/>
      <c r="S10" s="14"/>
      <c r="T10" s="14" t="n">
        <f aca="false">Tabella52791124791618202224262830323436384042444648505254565860626468707274767880828486908892949698100102104106108110112114116118120122124126130128132134136138140142[[#This Row],[Colonna2]]*$Q3</f>
        <v>0.4</v>
      </c>
      <c r="U10" s="14" t="n">
        <f aca="false">Tabella52791124791618202224262830323436384042444648505254565860626468707274767880828486908892949698100102104106108110112114116118120122124126130128132134136138140142[[#This Row],[Colonna3]]*$Q3</f>
        <v>2.8</v>
      </c>
      <c r="V10" s="14" t="n">
        <f aca="false">Tabella52791124791618202224262830323436384042444648505254565860626468707274767880828486908892949698100102104106108110112114116118120122124126130128132134136138140142[[#This Row],[Colonna4]]*$Q3</f>
        <v>13.6</v>
      </c>
      <c r="W10" s="14" t="n">
        <f aca="false">Tabella52791124791618202224262830323436384042444648505254565860626468707274767880828486908892949698100102104106108110112114116118120122124126130128132134136138140142[[#This Row],[Colonna5]]*$Q3</f>
        <v>6.4</v>
      </c>
      <c r="X10" s="14" t="n">
        <f aca="false">Tabella52791124791618202224262830323436384042444648505254565860626468707274767880828486908892949698100102104106108110112114116118120122124126130128132134136138140142[[#This Row],[Colonna6]]*$Q3</f>
        <v>9.2</v>
      </c>
      <c r="Y10" s="14" t="n">
        <f aca="false">Tabella52791124791618202224262830323436384042444648505254565860626468707274767880828486908892949698100102104106108110112114116118120122124126130128132134136138140142[[#This Row],[Colonna7]]*$Q3</f>
        <v>2.8</v>
      </c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 t="n">
        <v>6</v>
      </c>
      <c r="H19" s="13" t="n">
        <v>3</v>
      </c>
      <c r="I19" s="13" t="n">
        <v>3</v>
      </c>
      <c r="J19" s="13" t="n">
        <v>8</v>
      </c>
      <c r="K19" s="13" t="n">
        <v>14</v>
      </c>
      <c r="L19" s="13" t="n">
        <v>10</v>
      </c>
      <c r="M19" s="13" t="n">
        <v>10</v>
      </c>
      <c r="P19" s="9" t="s">
        <v>26</v>
      </c>
      <c r="Q19" s="9"/>
      <c r="R19" s="9"/>
      <c r="S19" s="14" t="n">
        <f aca="false">Tabella52791124791618202224262830323436384042444648505254565860626468707274767880828486908892949698100102104106108110112114116118120122124126130128132134136138140142[[#This Row],[Colonna1]]*$Q3</f>
        <v>2.4</v>
      </c>
      <c r="T19" s="14" t="n">
        <f aca="false">Tabella52791124791618202224262830323436384042444648505254565860626468707274767880828486908892949698100102104106108110112114116118120122124126130128132134136138140142[[#This Row],[Colonna2]]*$Q3</f>
        <v>1.2</v>
      </c>
      <c r="U19" s="14" t="n">
        <f aca="false">Tabella52791124791618202224262830323436384042444648505254565860626468707274767880828486908892949698100102104106108110112114116118120122124126130128132134136138140142[[#This Row],[Colonna3]]*$Q3</f>
        <v>1.2</v>
      </c>
      <c r="V19" s="14" t="n">
        <f aca="false">Tabella52791124791618202224262830323436384042444648505254565860626468707274767880828486908892949698100102104106108110112114116118120122124126130128132134136138140142[[#This Row],[Colonna4]]*$Q3</f>
        <v>3.2</v>
      </c>
      <c r="W19" s="14" t="n">
        <f aca="false">Tabella52791124791618202224262830323436384042444648505254565860626468707274767880828486908892949698100102104106108110112114116118120122124126130128132134136138140142[[#This Row],[Colonna5]]*$Q3</f>
        <v>5.6</v>
      </c>
      <c r="X19" s="14" t="n">
        <f aca="false">Tabella52791124791618202224262830323436384042444648505254565860626468707274767880828486908892949698100102104106108110112114116118120122124126130128132134136138140142[[#This Row],[Colonna6]]*$Q3</f>
        <v>4</v>
      </c>
      <c r="Y19" s="14" t="n">
        <f aca="false">Tabella52791124791618202224262830323436384042444648505254565860626468707274767880828486908892949698100102104106108110112114116118120122124126130128132134136138140142[[#This Row],[Colonna7]]*$Q3</f>
        <v>4</v>
      </c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3</v>
      </c>
      <c r="H21" s="13" t="n">
        <v>7</v>
      </c>
      <c r="I21" s="13" t="n">
        <v>4</v>
      </c>
      <c r="J21" s="13" t="n">
        <v>24</v>
      </c>
      <c r="K21" s="13" t="n">
        <v>38</v>
      </c>
      <c r="L21" s="13" t="n">
        <v>37</v>
      </c>
      <c r="M21" s="13" t="n">
        <v>9</v>
      </c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Tabella52791124791618202224262830323436384042444648505254565860626468707274767880828486908892949698100102104106108110112114116118120122124126130128132134136138140142[[#This Row],[Colonna1]]*$Q3</f>
        <v>1.2</v>
      </c>
      <c r="T21" s="14" t="n">
        <f aca="false">Tabella52791124791618202224262830323436384042444648505254565860626468707274767880828486908892949698100102104106108110112114116118120122124126130128132134136138140142[[#This Row],[Colonna2]]*$Q3</f>
        <v>2.8</v>
      </c>
      <c r="U21" s="14" t="n">
        <f aca="false">Tabella52791124791618202224262830323436384042444648505254565860626468707274767880828486908892949698100102104106108110112114116118120122124126130128132134136138140142[[#This Row],[Colonna3]]*$Q3</f>
        <v>1.6</v>
      </c>
      <c r="V21" s="14" t="n">
        <f aca="false">Tabella52791124791618202224262830323436384042444648505254565860626468707274767880828486908892949698100102104106108110112114116118120122124126130128132134136138140142[[#This Row],[Colonna4]]*$Q3</f>
        <v>9.6</v>
      </c>
      <c r="W21" s="14" t="n">
        <f aca="false">Tabella52791124791618202224262830323436384042444648505254565860626468707274767880828486908892949698100102104106108110112114116118120122124126130128132134136138140142[[#This Row],[Colonna5]]*$Q3</f>
        <v>15.2</v>
      </c>
      <c r="X21" s="14" t="n">
        <f aca="false">Tabella52791124791618202224262830323436384042444648505254565860626468707274767880828486908892949698100102104106108110112114116118120122124126130128132134136138140142[[#This Row],[Colonna6]]*$Q3</f>
        <v>14.8</v>
      </c>
      <c r="Y21" s="14" t="n">
        <f aca="false">Tabella52791124791618202224262830323436384042444648505254565860626468707274767880828486908892949698100102104106108110112114116118120122124126130128132134136138140142[[#This Row],[Colonna7]]*$Q3</f>
        <v>3.6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15</v>
      </c>
      <c r="H22" s="13" t="n">
        <v>8</v>
      </c>
      <c r="I22" s="13" t="n">
        <v>8</v>
      </c>
      <c r="J22" s="13" t="n">
        <v>31</v>
      </c>
      <c r="K22" s="13" t="n">
        <v>17</v>
      </c>
      <c r="L22" s="13" t="n">
        <v>50</v>
      </c>
      <c r="M22" s="13" t="n">
        <v>15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Tabella52791124791618202224262830323436384042444648505254565860626468707274767880828486908892949698100102104106108110112114116118120122124126130128132134136138140142[[#This Row],[Colonna1]]*$Q3</f>
        <v>6</v>
      </c>
      <c r="T22" s="14" t="n">
        <f aca="false">Tabella52791124791618202224262830323436384042444648505254565860626468707274767880828486908892949698100102104106108110112114116118120122124126130128132134136138140142[[#This Row],[Colonna2]]*$Q3</f>
        <v>3.2</v>
      </c>
      <c r="U22" s="14" t="n">
        <f aca="false">Tabella52791124791618202224262830323436384042444648505254565860626468707274767880828486908892949698100102104106108110112114116118120122124126130128132134136138140142[[#This Row],[Colonna3]]*$Q3</f>
        <v>3.2</v>
      </c>
      <c r="V22" s="14" t="n">
        <f aca="false">Tabella52791124791618202224262830323436384042444648505254565860626468707274767880828486908892949698100102104106108110112114116118120122124126130128132134136138140142[[#This Row],[Colonna4]]*$Q3</f>
        <v>12.4</v>
      </c>
      <c r="W22" s="14" t="n">
        <f aca="false">Tabella52791124791618202224262830323436384042444648505254565860626468707274767880828486908892949698100102104106108110112114116118120122124126130128132134136138140142[[#This Row],[Colonna5]]*$Q3</f>
        <v>6.8</v>
      </c>
      <c r="X22" s="14" t="n">
        <f aca="false">Tabella52791124791618202224262830323436384042444648505254565860626468707274767880828486908892949698100102104106108110112114116118120122124126130128132134136138140142[[#This Row],[Colonna6]]*$Q3</f>
        <v>20</v>
      </c>
      <c r="Y22" s="14" t="n">
        <f aca="false">Tabella52791124791618202224262830323436384042444648505254565860626468707274767880828486908892949698100102104106108110112114116118120122124126130128132134136138140142[[#This Row],[Colonna7]]*$Q3</f>
        <v>6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 t="n">
        <v>3</v>
      </c>
      <c r="K23" s="13" t="n">
        <v>2</v>
      </c>
      <c r="L23" s="13" t="n">
        <v>12</v>
      </c>
      <c r="M23" s="13"/>
      <c r="P23" s="17" t="s">
        <v>30</v>
      </c>
      <c r="Q23" s="17"/>
      <c r="R23" s="17"/>
      <c r="S23" s="14"/>
      <c r="T23" s="14"/>
      <c r="U23" s="14"/>
      <c r="V23" s="14" t="n">
        <f aca="false">Tabella52791124791618202224262830323436384042444648505254565860626468707274767880828486908892949698100102104106108110112114116118120122124126130128132134136138140142[[#This Row],[Colonna4]]*$Q3</f>
        <v>1.2</v>
      </c>
      <c r="W23" s="14" t="n">
        <f aca="false">Tabella52791124791618202224262830323436384042444648505254565860626468707274767880828486908892949698100102104106108110112114116118120122124126130128132134136138140142[[#This Row],[Colonna5]]*$Q3</f>
        <v>0.8</v>
      </c>
      <c r="X23" s="14" t="n">
        <f aca="false">Tabella52791124791618202224262830323436384042444648505254565860626468707274767880828486908892949698100102104106108110112114116118120122124126130128132134136138140142[[#This Row],[Colonna6]]*$Q3</f>
        <v>4.8</v>
      </c>
      <c r="Y23" s="14" t="n">
        <f aca="false">Tabella52791124791618202224262830323436384042444648505254565860626468707274767880828486908892949698100102104106108110112114116118120122124126130128132134136138140142[[#This Row],[Colonna7]]*$Q3</f>
        <v>0</v>
      </c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3</v>
      </c>
      <c r="H29" s="13" t="n">
        <v>15</v>
      </c>
      <c r="I29" s="13" t="n">
        <v>4</v>
      </c>
      <c r="J29" s="13" t="n">
        <v>15</v>
      </c>
      <c r="K29" s="13" t="n">
        <v>12</v>
      </c>
      <c r="L29" s="13" t="n">
        <v>25</v>
      </c>
      <c r="M29" s="13" t="n">
        <v>10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Tabella52791124791618202224262830323436384042444648505254565860626468707274767880828486908892949698100102104106108110112114116118120122124126130128132134136138140142[[#This Row],[Colonna1]]*$Q3</f>
        <v>1.2</v>
      </c>
      <c r="T29" s="14" t="n">
        <f aca="false">Tabella52791124791618202224262830323436384042444648505254565860626468707274767880828486908892949698100102104106108110112114116118120122124126130128132134136138140142[[#This Row],[Colonna2]]*$Q3</f>
        <v>6</v>
      </c>
      <c r="U29" s="14" t="n">
        <f aca="false">Tabella52791124791618202224262830323436384042444648505254565860626468707274767880828486908892949698100102104106108110112114116118120122124126130128132134136138140142[[#This Row],[Colonna3]]*$Q3</f>
        <v>1.6</v>
      </c>
      <c r="V29" s="14" t="n">
        <f aca="false">Tabella52791124791618202224262830323436384042444648505254565860626468707274767880828486908892949698100102104106108110112114116118120122124126130128132134136138140142[[#This Row],[Colonna4]]*$Q3</f>
        <v>6</v>
      </c>
      <c r="W29" s="14" t="n">
        <f aca="false">Tabella52791124791618202224262830323436384042444648505254565860626468707274767880828486908892949698100102104106108110112114116118120122124126130128132134136138140142[[#This Row],[Colonna5]]*$Q3</f>
        <v>4.8</v>
      </c>
      <c r="X29" s="14" t="n">
        <f aca="false">Tabella52791124791618202224262830323436384042444648505254565860626468707274767880828486908892949698100102104106108110112114116118120122124126130128132134136138140142[[#This Row],[Colonna6]]*$Q3</f>
        <v>10</v>
      </c>
      <c r="Y29" s="14" t="n">
        <f aca="false">Tabella52791124791618202224262830323436384042444648505254565860626468707274767880828486908892949698100102104106108110112114116118120122124126130128132134136138140142[[#This Row],[Colonna7]]*$Q3</f>
        <v>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 t="n">
        <v>2</v>
      </c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 t="n">
        <f aca="false">Tabella52791124791618202224262830323436384042444648505254565860626468707274767880828486908892949698100102104106108110112114116118120122124126130128132134136138140142[[#This Row],[Colonna6]]*$Q3</f>
        <v>0.8</v>
      </c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14</v>
      </c>
      <c r="H38" s="13" t="n">
        <v>19</v>
      </c>
      <c r="I38" s="13" t="n">
        <v>5</v>
      </c>
      <c r="J38" s="13" t="n">
        <v>34</v>
      </c>
      <c r="K38" s="13" t="n">
        <v>26</v>
      </c>
      <c r="L38" s="13" t="n">
        <v>21</v>
      </c>
      <c r="M38" s="13" t="n">
        <v>10</v>
      </c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Tabella52791124791618202224262830323436384042444648505254565860626468707274767880828486908892949698100102104106108110112114116118120122124126130128132134136138140142[[#This Row],[Colonna1]]*$Q3</f>
        <v>5.6</v>
      </c>
      <c r="T38" s="14" t="n">
        <f aca="false">Tabella52791124791618202224262830323436384042444648505254565860626468707274767880828486908892949698100102104106108110112114116118120122124126130128132134136138140142[[#This Row],[Colonna2]]*$Q3</f>
        <v>7.6</v>
      </c>
      <c r="U38" s="14" t="n">
        <f aca="false">Tabella52791124791618202224262830323436384042444648505254565860626468707274767880828486908892949698100102104106108110112114116118120122124126130128132134136138140142[[#This Row],[Colonna3]]*$Q3</f>
        <v>2</v>
      </c>
      <c r="V38" s="14" t="n">
        <f aca="false">Tabella52791124791618202224262830323436384042444648505254565860626468707274767880828486908892949698100102104106108110112114116118120122124126130128132134136138140142[[#This Row],[Colonna4]]*$Q3</f>
        <v>13.6</v>
      </c>
      <c r="W38" s="14" t="n">
        <f aca="false">Tabella52791124791618202224262830323436384042444648505254565860626468707274767880828486908892949698100102104106108110112114116118120122124126130128132134136138140142[[#This Row],[Colonna5]]*$Q3</f>
        <v>10.4</v>
      </c>
      <c r="X38" s="14" t="n">
        <f aca="false">Tabella52791124791618202224262830323436384042444648505254565860626468707274767880828486908892949698100102104106108110112114116118120122124126130128132134136138140142[[#This Row],[Colonna6]]*$Q3</f>
        <v>8.4</v>
      </c>
      <c r="Y38" s="14" t="n">
        <f aca="false">Tabella52791124791618202224262830323436384042444648505254565860626468707274767880828486908892949698100102104106108110112114116118120122124126130128132134136138140142[[#This Row],[Colonna7]]*$Q3</f>
        <v>4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13"/>
      <c r="I41" s="13"/>
      <c r="J41" s="13"/>
      <c r="K41" s="13" t="n">
        <v>1</v>
      </c>
      <c r="L41" s="13" t="n">
        <v>5</v>
      </c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Tabella52791124791618202224262830323436384042444648505254565860626468707274767880828486908892949698100102104106108110112114116118120122124126130128132134136138140142[[#This Row],[Colonna1]]*$Q3</f>
        <v>0.4</v>
      </c>
      <c r="T41" s="14"/>
      <c r="U41" s="14"/>
      <c r="V41" s="14"/>
      <c r="W41" s="14" t="n">
        <f aca="false">Tabella52791124791618202224262830323436384042444648505254565860626468707274767880828486908892949698100102104106108110112114116118120122124126130128132134136138140142[[#This Row],[Colonna5]]*$Q3</f>
        <v>0.4</v>
      </c>
      <c r="X41" s="14" t="n">
        <f aca="false">Tabella52791124791618202224262830323436384042444648505254565860626468707274767880828486908892949698100102104106108110112114116118120122124126130128132134136138140142[[#This Row],[Colonna6]]*$Q3</f>
        <v>2</v>
      </c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4</v>
      </c>
      <c r="H43" s="13" t="n">
        <v>3</v>
      </c>
      <c r="I43" s="13" t="n">
        <v>2</v>
      </c>
      <c r="J43" s="13" t="n">
        <v>26</v>
      </c>
      <c r="K43" s="13" t="n">
        <v>128</v>
      </c>
      <c r="L43" s="13" t="n">
        <v>501</v>
      </c>
      <c r="M43" s="13" t="n">
        <v>188</v>
      </c>
      <c r="P43" s="18" t="s">
        <v>50</v>
      </c>
      <c r="Q43" s="18"/>
      <c r="R43" s="18"/>
      <c r="S43" s="14" t="n">
        <f aca="false">Tabella52791124791618202224262830323436384042444648505254565860626468707274767880828486908892949698100102104106108110112114116118120122124126130128132134136138140142[[#This Row],[Colonna1]]*$Q3</f>
        <v>1.6</v>
      </c>
      <c r="T43" s="14" t="n">
        <f aca="false">Tabella52791124791618202224262830323436384042444648505254565860626468707274767880828486908892949698100102104106108110112114116118120122124126130128132134136138140142[[#This Row],[Colonna2]]*$Q3</f>
        <v>1.2</v>
      </c>
      <c r="U43" s="14" t="n">
        <f aca="false">Tabella52791124791618202224262830323436384042444648505254565860626468707274767880828486908892949698100102104106108110112114116118120122124126130128132134136138140142[[#This Row],[Colonna3]]*$Q3</f>
        <v>0.8</v>
      </c>
      <c r="V43" s="14" t="n">
        <f aca="false">Tabella52791124791618202224262830323436384042444648505254565860626468707274767880828486908892949698100102104106108110112114116118120122124126130128132134136138140142[[#This Row],[Colonna4]]*$Q3</f>
        <v>10.4</v>
      </c>
      <c r="W43" s="14" t="n">
        <f aca="false">Tabella52791124791618202224262830323436384042444648505254565860626468707274767880828486908892949698100102104106108110112114116118120122124126130128132134136138140142[[#This Row],[Colonna5]]*$Q3</f>
        <v>51.2</v>
      </c>
      <c r="X43" s="14" t="n">
        <f aca="false">Tabella52791124791618202224262830323436384042444648505254565860626468707274767880828486908892949698100102104106108110112114116118120122124126130128132134136138140142[[#This Row],[Colonna6]]*$Q3</f>
        <v>200.4</v>
      </c>
      <c r="Y43" s="14" t="n">
        <f aca="false">Tabella52791124791618202224262830323436384042444648505254565860626468707274767880828486908892949698100102104106108110112114116118120122124126130128132134136138140142[[#This Row],[Colonna7]]*$Q3</f>
        <v>75.2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11</v>
      </c>
      <c r="H44" s="13" t="n">
        <v>14</v>
      </c>
      <c r="I44" s="13" t="n">
        <v>9</v>
      </c>
      <c r="J44" s="13" t="n">
        <v>10</v>
      </c>
      <c r="K44" s="13" t="n">
        <v>14</v>
      </c>
      <c r="L44" s="13" t="n">
        <v>12</v>
      </c>
      <c r="M44" s="13" t="n">
        <v>4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Tabella52791124791618202224262830323436384042444648505254565860626468707274767880828486908892949698100102104106108110112114116118120122124126130128132134136138140142[[#This Row],[Colonna1]]*$Q3</f>
        <v>4.4</v>
      </c>
      <c r="T44" s="14" t="n">
        <f aca="false">Tabella52791124791618202224262830323436384042444648505254565860626468707274767880828486908892949698100102104106108110112114116118120122124126130128132134136138140142[[#This Row],[Colonna2]]*$Q3</f>
        <v>5.6</v>
      </c>
      <c r="U44" s="14" t="n">
        <f aca="false">Tabella52791124791618202224262830323436384042444648505254565860626468707274767880828486908892949698100102104106108110112114116118120122124126130128132134136138140142[[#This Row],[Colonna3]]*$Q3</f>
        <v>3.6</v>
      </c>
      <c r="V44" s="14" t="n">
        <f aca="false">Tabella52791124791618202224262830323436384042444648505254565860626468707274767880828486908892949698100102104106108110112114116118120122124126130128132134136138140142[[#This Row],[Colonna4]]*$Q3</f>
        <v>4</v>
      </c>
      <c r="W44" s="14" t="n">
        <f aca="false">Tabella52791124791618202224262830323436384042444648505254565860626468707274767880828486908892949698100102104106108110112114116118120122124126130128132134136138140142[[#This Row],[Colonna5]]*$Q3</f>
        <v>5.6</v>
      </c>
      <c r="X44" s="14" t="n">
        <f aca="false">Tabella52791124791618202224262830323436384042444648505254565860626468707274767880828486908892949698100102104106108110112114116118120122124126130128132134136138140142[[#This Row],[Colonna6]]*$Q3</f>
        <v>4.8</v>
      </c>
      <c r="Y44" s="14" t="n">
        <f aca="false">Tabella52791124791618202224262830323436384042444648505254565860626468707274767880828486908892949698100102104106108110112114116118120122124126130128132134136138140142[[#This Row],[Colonna7]]*$Q3</f>
        <v>1.6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48</v>
      </c>
      <c r="H47" s="13" t="n">
        <v>8</v>
      </c>
      <c r="I47" s="13" t="n">
        <v>7</v>
      </c>
      <c r="J47" s="13" t="n">
        <v>16</v>
      </c>
      <c r="K47" s="13" t="n">
        <v>6</v>
      </c>
      <c r="L47" s="13" t="n">
        <v>5</v>
      </c>
      <c r="M47" s="13" t="n">
        <v>1</v>
      </c>
      <c r="P47" s="16" t="s">
        <v>54</v>
      </c>
      <c r="Q47" s="16"/>
      <c r="R47" s="16"/>
      <c r="S47" s="14" t="n">
        <f aca="false">Tabella52791124791618202224262830323436384042444648505254565860626468707274767880828486908892949698100102104106108110112114116118120122124126130128132134136138140142[[#This Row],[Colonna1]]*$Q3</f>
        <v>19.2</v>
      </c>
      <c r="T47" s="14" t="n">
        <f aca="false">Tabella52791124791618202224262830323436384042444648505254565860626468707274767880828486908892949698100102104106108110112114116118120122124126130128132134136138140142[[#This Row],[Colonna2]]*$Q3</f>
        <v>3.2</v>
      </c>
      <c r="U47" s="14" t="n">
        <f aca="false">Tabella52791124791618202224262830323436384042444648505254565860626468707274767880828486908892949698100102104106108110112114116118120122124126130128132134136138140142[[#This Row],[Colonna3]]*$Q3</f>
        <v>2.8</v>
      </c>
      <c r="V47" s="14" t="n">
        <f aca="false">Tabella52791124791618202224262830323436384042444648505254565860626468707274767880828486908892949698100102104106108110112114116118120122124126130128132134136138140142[[#This Row],[Colonna4]]*$Q3</f>
        <v>6.4</v>
      </c>
      <c r="W47" s="14" t="n">
        <f aca="false">Tabella52791124791618202224262830323436384042444648505254565860626468707274767880828486908892949698100102104106108110112114116118120122124126130128132134136138140142[[#This Row],[Colonna5]]*$Q3</f>
        <v>2.4</v>
      </c>
      <c r="X47" s="14" t="n">
        <f aca="false">Tabella52791124791618202224262830323436384042444648505254565860626468707274767880828486908892949698100102104106108110112114116118120122124126130128132134136138140142[[#This Row],[Colonna6]]*$Q3</f>
        <v>2</v>
      </c>
      <c r="Y47" s="14" t="n">
        <f aca="false">Tabella52791124791618202224262830323436384042444648505254565860626468707274767880828486908892949698100102104106108110112114116118120122124126130128132134136138140142[[#This Row],[Colonna7]]*$Q3</f>
        <v>0.4</v>
      </c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 t="n">
        <v>20</v>
      </c>
      <c r="H50" s="13" t="n">
        <v>3</v>
      </c>
      <c r="I50" s="13" t="n">
        <v>4</v>
      </c>
      <c r="J50" s="13" t="n">
        <v>11</v>
      </c>
      <c r="K50" s="13" t="n">
        <v>13</v>
      </c>
      <c r="L50" s="13" t="n">
        <v>24</v>
      </c>
      <c r="M50" s="13" t="n">
        <v>8</v>
      </c>
      <c r="P50" s="9" t="s">
        <v>57</v>
      </c>
      <c r="Q50" s="9"/>
      <c r="R50" s="9"/>
      <c r="S50" s="14" t="n">
        <f aca="false">Tabella52791124791618202224262830323436384042444648505254565860626468707274767880828486908892949698100102104106108110112114116118120122124126130128132134136138140142[[#This Row],[Colonna1]]*$Q3</f>
        <v>8</v>
      </c>
      <c r="T50" s="14" t="n">
        <f aca="false">Tabella52791124791618202224262830323436384042444648505254565860626468707274767880828486908892949698100102104106108110112114116118120122124126130128132134136138140142[[#This Row],[Colonna2]]*$Q3</f>
        <v>1.2</v>
      </c>
      <c r="U50" s="14" t="n">
        <f aca="false">Tabella52791124791618202224262830323436384042444648505254565860626468707274767880828486908892949698100102104106108110112114116118120122124126130128132134136138140142[[#This Row],[Colonna3]]*$Q3</f>
        <v>1.6</v>
      </c>
      <c r="V50" s="14" t="n">
        <f aca="false">Tabella52791124791618202224262830323436384042444648505254565860626468707274767880828486908892949698100102104106108110112114116118120122124126130128132134136138140142[[#This Row],[Colonna4]]*$Q3</f>
        <v>4.4</v>
      </c>
      <c r="W50" s="14" t="n">
        <f aca="false">Tabella52791124791618202224262830323436384042444648505254565860626468707274767880828486908892949698100102104106108110112114116118120122124126130128132134136138140142[[#This Row],[Colonna5]]*$Q3</f>
        <v>5.2</v>
      </c>
      <c r="X50" s="14" t="n">
        <f aca="false">Tabella52791124791618202224262830323436384042444648505254565860626468707274767880828486908892949698100102104106108110112114116118120122124126130128132134136138140142[[#This Row],[Colonna6]]*$Q3</f>
        <v>9.6</v>
      </c>
      <c r="Y50" s="14" t="n">
        <f aca="false">Tabella52791124791618202224262830323436384042444648505254565860626468707274767880828486908892949698100102104106108110112114116118120122124126130128132134136138140142[[#This Row],[Colonna7]]*$Q3</f>
        <v>3.2</v>
      </c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</v>
      </c>
      <c r="H52" s="13"/>
      <c r="I52" s="13" t="n">
        <v>3</v>
      </c>
      <c r="J52" s="13"/>
      <c r="K52" s="13" t="n">
        <v>8</v>
      </c>
      <c r="L52" s="13" t="n">
        <v>2</v>
      </c>
      <c r="M52" s="13" t="n">
        <v>9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Tabella52791124791618202224262830323436384042444648505254565860626468707274767880828486908892949698100102104106108110112114116118120122124126130128132134136138140142[[#This Row],[Colonna1]]*$Q3</f>
        <v>0.8</v>
      </c>
      <c r="T52" s="14"/>
      <c r="U52" s="14" t="n">
        <f aca="false">Tabella52791124791618202224262830323436384042444648505254565860626468707274767880828486908892949698100102104106108110112114116118120122124126130128132134136138140142[[#This Row],[Colonna3]]*$Q3</f>
        <v>1.2</v>
      </c>
      <c r="V52" s="14"/>
      <c r="W52" s="14" t="n">
        <f aca="false">Tabella52791124791618202224262830323436384042444648505254565860626468707274767880828486908892949698100102104106108110112114116118120122124126130128132134136138140142[[#This Row],[Colonna5]]*$Q3</f>
        <v>3.2</v>
      </c>
      <c r="X52" s="14" t="n">
        <f aca="false">Tabella52791124791618202224262830323436384042444648505254565860626468707274767880828486908892949698100102104106108110112114116118120122124126130128132134136138140142[[#This Row],[Colonna6]]*$Q3</f>
        <v>0.8</v>
      </c>
      <c r="Y52" s="14" t="n">
        <f aca="false">Tabella52791124791618202224262830323436384042444648505254565860626468707274767880828486908892949698100102104106108110112114116118120122124126130128132134136138140142[[#This Row],[Colonna7]]*$Q3</f>
        <v>3.6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187</v>
      </c>
      <c r="H53" s="55" t="n">
        <f aca="false">SUM(H6:H52)</f>
        <v>119</v>
      </c>
      <c r="I53" s="55" t="n">
        <f aca="false">SUM(I6:I52)</f>
        <v>82</v>
      </c>
      <c r="J53" s="55" t="n">
        <f aca="false">SUM(J6:J52)</f>
        <v>293</v>
      </c>
      <c r="K53" s="55" t="n">
        <f aca="false">SUM(K6:K52)</f>
        <v>389</v>
      </c>
      <c r="L53" s="55" t="n">
        <f aca="false">SUM(L6:L52)</f>
        <v>794</v>
      </c>
      <c r="M53" s="55" t="n">
        <f aca="false">SUM(M6:M52)</f>
        <v>342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Tabella52791124791618202224262830323436384042444648505254565860626468707274767880828486908892949698100102104106108110112114116118120122124126130128132134136138140142[[#This Row],[Colonna1]]*$Q3</f>
        <v>74.8</v>
      </c>
      <c r="T53" s="56" t="n">
        <f aca="false">Tabella52791124791618202224262830323436384042444648505254565860626468707274767880828486908892949698100102104106108110112114116118120122124126130128132134136138140142[[#This Row],[Colonna2]]*$Q3</f>
        <v>47.6</v>
      </c>
      <c r="U53" s="56" t="n">
        <f aca="false">Tabella52791124791618202224262830323436384042444648505254565860626468707274767880828486908892949698100102104106108110112114116118120122124126130128132134136138140142[[#This Row],[Colonna3]]*$Q3</f>
        <v>32.8</v>
      </c>
      <c r="V53" s="56" t="n">
        <f aca="false">Tabella52791124791618202224262830323436384042444648505254565860626468707274767880828486908892949698100102104106108110112114116118120122124126130128132134136138140142[[#This Row],[Colonna4]]*$Q3</f>
        <v>117.2</v>
      </c>
      <c r="W53" s="56" t="n">
        <f aca="false">Tabella52791124791618202224262830323436384042444648505254565860626468707274767880828486908892949698100102104106108110112114116118120122124126130128132134136138140142[[#This Row],[Colonna5]]*$Q3</f>
        <v>155.6</v>
      </c>
      <c r="X53" s="56" t="n">
        <f aca="false">Tabella52791124791618202224262830323436384042444648505254565860626468707274767880828486908892949698100102104106108110112114116118120122124126130128132134136138140142[[#This Row],[Colonna6]]*$Q3</f>
        <v>317.6</v>
      </c>
      <c r="Y53" s="56" t="n">
        <f aca="false">Tabella52791124791618202224262830323436384042444648505254565860626468707274767880828486908892949698100102104106108110112114116118120122124126130128132134136138140142[[#This Row],[Colonna7]]*$Q3</f>
        <v>136.8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12</v>
      </c>
      <c r="H58" s="26" t="n">
        <v>9</v>
      </c>
      <c r="I58" s="26" t="n">
        <v>17</v>
      </c>
      <c r="J58" s="26" t="n">
        <v>4</v>
      </c>
      <c r="K58" s="26" t="n">
        <v>7</v>
      </c>
      <c r="L58" s="26" t="n">
        <v>11</v>
      </c>
      <c r="M58" s="26" t="n">
        <v>8</v>
      </c>
      <c r="P58" s="23" t="s">
        <v>62</v>
      </c>
      <c r="Q58" s="23"/>
      <c r="R58" s="23"/>
      <c r="S58" s="57" t="n">
        <f aca="false">G58*$Q3</f>
        <v>4.8</v>
      </c>
      <c r="T58" s="57" t="n">
        <f aca="false">H58*$Q3</f>
        <v>3.6</v>
      </c>
      <c r="U58" s="57" t="n">
        <f aca="false">I58*$Q3</f>
        <v>6.8</v>
      </c>
      <c r="V58" s="57" t="n">
        <f aca="false">J58*$Q3</f>
        <v>1.6</v>
      </c>
      <c r="W58" s="57" t="n">
        <f aca="false">K58*$Q3</f>
        <v>2.8</v>
      </c>
      <c r="X58" s="57" t="n">
        <f aca="false">L58*$Q3</f>
        <v>4.4</v>
      </c>
      <c r="Y58" s="27" t="n">
        <f aca="false">M58*$Q3</f>
        <v>3.2</v>
      </c>
    </row>
    <row r="59" customFormat="false" ht="15" hidden="false" customHeight="false" outlineLevel="0" collapsed="false">
      <c r="D59" s="9" t="s">
        <v>63</v>
      </c>
      <c r="E59" s="9"/>
      <c r="F59" s="9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 t="n">
        <v>2</v>
      </c>
      <c r="I62" s="26" t="n">
        <v>1</v>
      </c>
      <c r="J62" s="26"/>
      <c r="K62" s="26"/>
      <c r="L62" s="26" t="n">
        <v>1</v>
      </c>
      <c r="M62" s="26" t="n">
        <v>1</v>
      </c>
      <c r="P62" s="9" t="s">
        <v>66</v>
      </c>
      <c r="Q62" s="9"/>
      <c r="R62" s="9"/>
      <c r="S62" s="57"/>
      <c r="T62" s="57" t="n">
        <f aca="false">H62*$Q3</f>
        <v>0.8</v>
      </c>
      <c r="U62" s="57" t="n">
        <f aca="false">I62*$Q3</f>
        <v>0.4</v>
      </c>
      <c r="V62" s="57"/>
      <c r="W62" s="57"/>
      <c r="X62" s="57" t="n">
        <f aca="false">L62*$Q3</f>
        <v>0.4</v>
      </c>
      <c r="Y62" s="57" t="n">
        <f aca="false">M62*$Q3</f>
        <v>0.4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/>
      <c r="M63" s="26"/>
      <c r="P63" s="9" t="s">
        <v>67</v>
      </c>
      <c r="Q63" s="9"/>
      <c r="R63" s="9"/>
      <c r="S63" s="57"/>
      <c r="T63" s="57"/>
      <c r="U63" s="57"/>
      <c r="V63" s="57"/>
      <c r="W63" s="57"/>
      <c r="X63" s="5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1</v>
      </c>
      <c r="H64" s="26"/>
      <c r="I64" s="26" t="n">
        <v>1</v>
      </c>
      <c r="J64" s="26"/>
      <c r="K64" s="26" t="n">
        <v>1</v>
      </c>
      <c r="L64" s="26"/>
      <c r="M64" s="26"/>
      <c r="P64" s="9" t="s">
        <v>68</v>
      </c>
      <c r="Q64" s="9"/>
      <c r="R64" s="9"/>
      <c r="S64" s="57" t="n">
        <f aca="false">G64*$Q3</f>
        <v>0.4</v>
      </c>
      <c r="T64" s="57"/>
      <c r="U64" s="57" t="n">
        <f aca="false">I64*$Q3</f>
        <v>0.4</v>
      </c>
      <c r="V64" s="57"/>
      <c r="W64" s="57" t="n">
        <f aca="false">K64*$Q3</f>
        <v>0.4</v>
      </c>
      <c r="X64" s="5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2</v>
      </c>
      <c r="H65" s="30" t="n">
        <v>12</v>
      </c>
      <c r="I65" s="30" t="n">
        <v>10</v>
      </c>
      <c r="J65" s="26" t="n">
        <v>1</v>
      </c>
      <c r="K65" s="26" t="n">
        <v>3</v>
      </c>
      <c r="L65" s="26"/>
      <c r="M65" s="26" t="n">
        <v>2</v>
      </c>
      <c r="P65" s="9" t="s">
        <v>69</v>
      </c>
      <c r="Q65" s="9"/>
      <c r="R65" s="9"/>
      <c r="S65" s="57" t="n">
        <f aca="false">G65*$Q3</f>
        <v>0.8</v>
      </c>
      <c r="T65" s="57" t="n">
        <f aca="false">H65*$Q3</f>
        <v>4.8</v>
      </c>
      <c r="U65" s="57" t="n">
        <f aca="false">I65*$Q3</f>
        <v>4</v>
      </c>
      <c r="V65" s="57" t="n">
        <f aca="false">J65*$Q3</f>
        <v>0.4</v>
      </c>
      <c r="W65" s="57" t="n">
        <f aca="false">K65*$Q3</f>
        <v>1.2</v>
      </c>
      <c r="X65" s="57"/>
      <c r="Y65" s="27" t="n">
        <f aca="false">M65*$Q3</f>
        <v>0.8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 t="n">
        <v>2</v>
      </c>
      <c r="I67" s="139"/>
      <c r="J67" s="26"/>
      <c r="K67" s="26"/>
      <c r="L67" s="26" t="n">
        <v>3</v>
      </c>
      <c r="M67" s="26"/>
      <c r="P67" s="9" t="s">
        <v>71</v>
      </c>
      <c r="Q67" s="9"/>
      <c r="R67" s="9"/>
      <c r="S67" s="57"/>
      <c r="T67" s="57" t="n">
        <f aca="false">H67*$Q3</f>
        <v>0.8</v>
      </c>
      <c r="U67" s="57"/>
      <c r="V67" s="57"/>
      <c r="W67" s="57"/>
      <c r="X67" s="57" t="n">
        <f aca="false">L67*$Q3</f>
        <v>1.2</v>
      </c>
      <c r="Y67" s="2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 t="n">
        <v>1</v>
      </c>
      <c r="I68" s="30"/>
      <c r="J68" s="30"/>
      <c r="K68" s="30"/>
      <c r="L68" s="30" t="n">
        <v>2</v>
      </c>
      <c r="M68" s="30"/>
      <c r="P68" s="9" t="s">
        <v>72</v>
      </c>
      <c r="Q68" s="9"/>
      <c r="R68" s="9"/>
      <c r="S68" s="57"/>
      <c r="T68" s="57" t="n">
        <f aca="false">H68*$Q3</f>
        <v>0.4</v>
      </c>
      <c r="U68" s="57"/>
      <c r="V68" s="57"/>
      <c r="W68" s="57"/>
      <c r="X68" s="57" t="n">
        <f aca="false">L68*$Q3</f>
        <v>0.8</v>
      </c>
      <c r="Y68" s="2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11</v>
      </c>
      <c r="H69" s="30" t="n">
        <v>12</v>
      </c>
      <c r="I69" s="30"/>
      <c r="J69" s="30" t="n">
        <v>1</v>
      </c>
      <c r="K69" s="30" t="n">
        <v>3</v>
      </c>
      <c r="L69" s="30"/>
      <c r="M69" s="30" t="n">
        <v>6</v>
      </c>
      <c r="P69" s="9" t="s">
        <v>73</v>
      </c>
      <c r="Q69" s="9"/>
      <c r="R69" s="9"/>
      <c r="S69" s="57" t="n">
        <f aca="false">G69*$Q3</f>
        <v>4.4</v>
      </c>
      <c r="T69" s="57" t="n">
        <f aca="false">H69*$Q3</f>
        <v>4.8</v>
      </c>
      <c r="U69" s="57"/>
      <c r="V69" s="57" t="n">
        <f aca="false">J69*$Q3</f>
        <v>0.4</v>
      </c>
      <c r="W69" s="57"/>
      <c r="X69" s="57"/>
      <c r="Y69" s="2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26</v>
      </c>
      <c r="H70" s="60" t="n">
        <f aca="false">SUM(H58:H69)</f>
        <v>38</v>
      </c>
      <c r="I70" s="60" t="n">
        <f aca="false">SUM(I58:I69)</f>
        <v>29</v>
      </c>
      <c r="J70" s="60" t="n">
        <f aca="false">SUM(J58:J69)</f>
        <v>6</v>
      </c>
      <c r="K70" s="60" t="n">
        <f aca="false">SUM(K58:K69)</f>
        <v>14</v>
      </c>
      <c r="L70" s="60" t="n">
        <f aca="false">SUM(L58:L69)</f>
        <v>17</v>
      </c>
      <c r="M70" s="60" t="n">
        <f aca="false">SUM(M58:M69)</f>
        <v>17</v>
      </c>
      <c r="P70" s="9" t="s">
        <v>60</v>
      </c>
      <c r="Q70" s="9"/>
      <c r="R70" s="9"/>
      <c r="S70" s="61" t="n">
        <f aca="false">G70*$Q3</f>
        <v>10.4</v>
      </c>
      <c r="T70" s="61" t="n">
        <f aca="false">H70*$Q3</f>
        <v>15.2</v>
      </c>
      <c r="U70" s="61" t="n">
        <f aca="false">I70*$Q3</f>
        <v>11.6</v>
      </c>
      <c r="V70" s="61" t="n">
        <f aca="false">J70*$Q3</f>
        <v>2.4</v>
      </c>
      <c r="W70" s="61" t="n">
        <f aca="false">K70*$Q3</f>
        <v>5.6</v>
      </c>
      <c r="X70" s="61" t="n">
        <f aca="false">L70*$Q3</f>
        <v>6.8</v>
      </c>
      <c r="Y70" s="32" t="n">
        <f aca="false">M70*$Q3</f>
        <v>6.8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101</v>
      </c>
      <c r="I3" s="119" t="s">
        <v>2</v>
      </c>
      <c r="J3" s="4" t="n">
        <v>45376</v>
      </c>
      <c r="K3" s="5" t="n">
        <v>45383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101</v>
      </c>
      <c r="U3" s="119" t="s">
        <v>2</v>
      </c>
      <c r="V3" s="4" t="n">
        <v>45376</v>
      </c>
      <c r="W3" s="5" t="n">
        <v>45383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 t="n">
        <v>22</v>
      </c>
      <c r="H6" s="13" t="n">
        <v>29</v>
      </c>
      <c r="I6" s="13" t="n">
        <v>46</v>
      </c>
      <c r="J6" s="13" t="n">
        <v>3</v>
      </c>
      <c r="K6" s="13" t="n">
        <v>2</v>
      </c>
      <c r="L6" s="13" t="n">
        <v>5</v>
      </c>
      <c r="M6" s="13" t="n">
        <v>3</v>
      </c>
      <c r="P6" s="9" t="s">
        <v>13</v>
      </c>
      <c r="Q6" s="9"/>
      <c r="R6" s="9"/>
      <c r="S6" s="14" t="n">
        <f aca="false">Tabella52791124791618202224262830323436384042444648505254565860626468707274767880828486908892949698100102104106108110112114116118120122124126130128132134136138140142144[[#This Row],[Colonna1]]*$Q3</f>
        <v>8.8</v>
      </c>
      <c r="T6" s="14" t="n">
        <f aca="false">Tabella52791124791618202224262830323436384042444648505254565860626468707274767880828486908892949698100102104106108110112114116118120122124126130128132134136138140142144[[#This Row],[Colonna2]]*$Q3</f>
        <v>11.6</v>
      </c>
      <c r="U6" s="14" t="n">
        <f aca="false">Tabella52791124791618202224262830323436384042444648505254565860626468707274767880828486908892949698100102104106108110112114116118120122124126130128132134136138140142144[[#This Row],[Colonna3]]*$Q3</f>
        <v>18.4</v>
      </c>
      <c r="V6" s="14" t="n">
        <f aca="false">Tabella52791124791618202224262830323436384042444648505254565860626468707274767880828486908892949698100102104106108110112114116118120122124126130128132134136138140142144[[#This Row],[Colonna4]]*$Q3</f>
        <v>1.2</v>
      </c>
      <c r="W6" s="14" t="n">
        <f aca="false">Tabella52791124791618202224262830323436384042444648505254565860626468707274767880828486908892949698100102104106108110112114116118120122124126130128132134136138140142144[[#This Row],[Colonna5]]*$Q3</f>
        <v>0.8</v>
      </c>
      <c r="X6" s="14" t="n">
        <f aca="false">Tabella52791124791618202224262830323436384042444648505254565860626468707274767880828486908892949698100102104106108110112114116118120122124126130128132134136138140142144[[#This Row],[Colonna6]]*$Q3</f>
        <v>2</v>
      </c>
      <c r="Y6" s="14" t="n">
        <f aca="false">Tabella52791124791618202224262830323436384042444648505254565860626468707274767880828486908892949698100102104106108110112114116118120122124126130128132134136138140142144[[#This Row],[Colonna7]]*$Q3</f>
        <v>1.2</v>
      </c>
    </row>
    <row r="7" customFormat="false" ht="15" hidden="false" customHeight="false" outlineLevel="0" collapsed="false">
      <c r="D7" s="12" t="s">
        <v>14</v>
      </c>
      <c r="E7" s="12"/>
      <c r="F7" s="12"/>
      <c r="G7" s="13" t="n">
        <v>26</v>
      </c>
      <c r="H7" s="13" t="n">
        <v>12</v>
      </c>
      <c r="I7" s="13" t="n">
        <v>21</v>
      </c>
      <c r="J7" s="13" t="n">
        <v>15</v>
      </c>
      <c r="K7" s="13" t="n">
        <v>5</v>
      </c>
      <c r="L7" s="13" t="n">
        <v>46</v>
      </c>
      <c r="M7" s="13" t="n">
        <v>6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Tabella52791124791618202224262830323436384042444648505254565860626468707274767880828486908892949698100102104106108110112114116118120122124126130128132134136138140142144[[#This Row],[Colonna1]]*$Q3</f>
        <v>10.4</v>
      </c>
      <c r="T7" s="14" t="n">
        <f aca="false">Tabella52791124791618202224262830323436384042444648505254565860626468707274767880828486908892949698100102104106108110112114116118120122124126130128132134136138140142144[[#This Row],[Colonna2]]*$Q3</f>
        <v>4.8</v>
      </c>
      <c r="U7" s="14" t="n">
        <f aca="false">Tabella52791124791618202224262830323436384042444648505254565860626468707274767880828486908892949698100102104106108110112114116118120122124126130128132134136138140142144[[#This Row],[Colonna3]]*$Q3</f>
        <v>8.4</v>
      </c>
      <c r="V7" s="14" t="n">
        <f aca="false">Tabella52791124791618202224262830323436384042444648505254565860626468707274767880828486908892949698100102104106108110112114116118120122124126130128132134136138140142144[[#This Row],[Colonna4]]*$Q3</f>
        <v>6</v>
      </c>
      <c r="W7" s="14" t="n">
        <f aca="false">Tabella52791124791618202224262830323436384042444648505254565860626468707274767880828486908892949698100102104106108110112114116118120122124126130128132134136138140142144[[#This Row],[Colonna5]]*$Q3</f>
        <v>2</v>
      </c>
      <c r="X7" s="14" t="n">
        <f aca="false">Tabella52791124791618202224262830323436384042444648505254565860626468707274767880828486908892949698100102104106108110112114116118120122124126130128132134136138140142144[[#This Row],[Colonna6]]*$Q3</f>
        <v>18.4</v>
      </c>
      <c r="Y7" s="14" t="n">
        <f aca="false">Tabella52791124791618202224262830323436384042444648505254565860626468707274767880828486908892949698100102104106108110112114116118120122124126130128132134136138140142144[[#This Row],[Colonna7]]*$Q3</f>
        <v>2.4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4</v>
      </c>
      <c r="H9" s="13" t="n">
        <v>1</v>
      </c>
      <c r="I9" s="13" t="n">
        <v>1</v>
      </c>
      <c r="J9" s="13"/>
      <c r="K9" s="13" t="n">
        <v>1</v>
      </c>
      <c r="L9" s="13" t="n">
        <v>3</v>
      </c>
      <c r="M9" s="13" t="n">
        <v>2</v>
      </c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Tabella52791124791618202224262830323436384042444648505254565860626468707274767880828486908892949698100102104106108110112114116118120122124126130128132134136138140142144[[#This Row],[Colonna1]]*$Q3</f>
        <v>1.6</v>
      </c>
      <c r="T9" s="14" t="n">
        <f aca="false">Tabella52791124791618202224262830323436384042444648505254565860626468707274767880828486908892949698100102104106108110112114116118120122124126130128132134136138140142144[[#This Row],[Colonna2]]*$Q3</f>
        <v>0.4</v>
      </c>
      <c r="U9" s="14" t="n">
        <f aca="false">Tabella52791124791618202224262830323436384042444648505254565860626468707274767880828486908892949698100102104106108110112114116118120122124126130128132134136138140142144[[#This Row],[Colonna3]]*$Q3</f>
        <v>0.4</v>
      </c>
      <c r="V9" s="14"/>
      <c r="W9" s="14" t="n">
        <f aca="false">Tabella52791124791618202224262830323436384042444648505254565860626468707274767880828486908892949698100102104106108110112114116118120122124126130128132134136138140142144[[#This Row],[Colonna5]]*$Q3</f>
        <v>0.4</v>
      </c>
      <c r="X9" s="14" t="n">
        <f aca="false">Tabella52791124791618202224262830323436384042444648505254565860626468707274767880828486908892949698100102104106108110112114116118120122124126130128132134136138140142144[[#This Row],[Colonna6]]*$Q3</f>
        <v>1.2</v>
      </c>
      <c r="Y9" s="14" t="n">
        <f aca="false">Tabella52791124791618202224262830323436384042444648505254565860626468707274767880828486908892949698100102104106108110112114116118120122124126130128132134136138140142144[[#This Row],[Colonna7]]*$Q3</f>
        <v>0.8</v>
      </c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5</v>
      </c>
      <c r="H10" s="13" t="n">
        <v>4</v>
      </c>
      <c r="I10" s="13" t="n">
        <v>14</v>
      </c>
      <c r="J10" s="13" t="n">
        <v>1</v>
      </c>
      <c r="K10" s="13" t="n">
        <v>14</v>
      </c>
      <c r="L10" s="13" t="n">
        <v>21</v>
      </c>
      <c r="M10" s="13" t="n">
        <v>26</v>
      </c>
      <c r="P10" s="12" t="s">
        <v>17</v>
      </c>
      <c r="Q10" s="12"/>
      <c r="R10" s="12"/>
      <c r="S10" s="14" t="n">
        <f aca="false">Tabella52791124791618202224262830323436384042444648505254565860626468707274767880828486908892949698100102104106108110112114116118120122124126130128132134136138140142144[[#This Row],[Colonna1]]*$Q3</f>
        <v>2</v>
      </c>
      <c r="T10" s="14" t="n">
        <f aca="false">Tabella52791124791618202224262830323436384042444648505254565860626468707274767880828486908892949698100102104106108110112114116118120122124126130128132134136138140142144[[#This Row],[Colonna2]]*$Q3</f>
        <v>1.6</v>
      </c>
      <c r="U10" s="14" t="n">
        <f aca="false">Tabella52791124791618202224262830323436384042444648505254565860626468707274767880828486908892949698100102104106108110112114116118120122124126130128132134136138140142144[[#This Row],[Colonna3]]*$Q3</f>
        <v>5.6</v>
      </c>
      <c r="V10" s="14" t="n">
        <f aca="false">Tabella52791124791618202224262830323436384042444648505254565860626468707274767880828486908892949698100102104106108110112114116118120122124126130128132134136138140142144[[#This Row],[Colonna4]]*$Q3</f>
        <v>0.4</v>
      </c>
      <c r="W10" s="14" t="n">
        <f aca="false">Tabella52791124791618202224262830323436384042444648505254565860626468707274767880828486908892949698100102104106108110112114116118120122124126130128132134136138140142144[[#This Row],[Colonna5]]*$Q3</f>
        <v>5.6</v>
      </c>
      <c r="X10" s="14" t="n">
        <f aca="false">Tabella52791124791618202224262830323436384042444648505254565860626468707274767880828486908892949698100102104106108110112114116118120122124126130128132134136138140142144[[#This Row],[Colonna6]]*$Q3</f>
        <v>8.4</v>
      </c>
      <c r="Y10" s="14" t="n">
        <f aca="false">Tabella52791124791618202224262830323436384042444648505254565860626468707274767880828486908892949698100102104106108110112114116118120122124126130128132134136138140142144[[#This Row],[Colonna7]]*$Q3</f>
        <v>10.4</v>
      </c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 t="n">
        <v>7</v>
      </c>
      <c r="H19" s="13" t="n">
        <v>8</v>
      </c>
      <c r="I19" s="13" t="n">
        <v>1</v>
      </c>
      <c r="J19" s="13" t="n">
        <v>20</v>
      </c>
      <c r="K19" s="13" t="n">
        <v>9</v>
      </c>
      <c r="L19" s="13" t="n">
        <v>49</v>
      </c>
      <c r="M19" s="13" t="n">
        <v>12</v>
      </c>
      <c r="P19" s="9" t="s">
        <v>26</v>
      </c>
      <c r="Q19" s="9"/>
      <c r="R19" s="9"/>
      <c r="S19" s="14" t="n">
        <f aca="false">Tabella52791124791618202224262830323436384042444648505254565860626468707274767880828486908892949698100102104106108110112114116118120122124126130128132134136138140142144[[#This Row],[Colonna1]]*$Q3</f>
        <v>2.8</v>
      </c>
      <c r="T19" s="14" t="n">
        <f aca="false">Tabella52791124791618202224262830323436384042444648505254565860626468707274767880828486908892949698100102104106108110112114116118120122124126130128132134136138140142144[[#This Row],[Colonna2]]*$Q3</f>
        <v>3.2</v>
      </c>
      <c r="U19" s="14" t="n">
        <f aca="false">Tabella52791124791618202224262830323436384042444648505254565860626468707274767880828486908892949698100102104106108110112114116118120122124126130128132134136138140142144[[#This Row],[Colonna3]]*$Q3</f>
        <v>0.4</v>
      </c>
      <c r="V19" s="14" t="n">
        <f aca="false">Tabella52791124791618202224262830323436384042444648505254565860626468707274767880828486908892949698100102104106108110112114116118120122124126130128132134136138140142144[[#This Row],[Colonna4]]*$Q3</f>
        <v>8</v>
      </c>
      <c r="W19" s="14" t="n">
        <f aca="false">Tabella52791124791618202224262830323436384042444648505254565860626468707274767880828486908892949698100102104106108110112114116118120122124126130128132134136138140142144[[#This Row],[Colonna5]]*$Q3</f>
        <v>3.6</v>
      </c>
      <c r="X19" s="14" t="n">
        <f aca="false">Tabella52791124791618202224262830323436384042444648505254565860626468707274767880828486908892949698100102104106108110112114116118120122124126130128132134136138140142144[[#This Row],[Colonna6]]*$Q3</f>
        <v>19.6</v>
      </c>
      <c r="Y19" s="14" t="n">
        <f aca="false">Tabella52791124791618202224262830323436384042444648505254565860626468707274767880828486908892949698100102104106108110112114116118120122124126130128132134136138140142144[[#This Row],[Colonna7]]*$Q3</f>
        <v>4.8</v>
      </c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 t="n">
        <v>6</v>
      </c>
      <c r="K20" s="13" t="n">
        <v>32</v>
      </c>
      <c r="L20" s="13" t="n">
        <v>71</v>
      </c>
      <c r="M20" s="13" t="n">
        <v>77</v>
      </c>
      <c r="P20" s="9" t="s">
        <v>27</v>
      </c>
      <c r="Q20" s="9"/>
      <c r="R20" s="9"/>
      <c r="S20" s="14"/>
      <c r="T20" s="14"/>
      <c r="U20" s="14"/>
      <c r="V20" s="14" t="n">
        <f aca="false">Tabella52791124791618202224262830323436384042444648505254565860626468707274767880828486908892949698100102104106108110112114116118120122124126130128132134136138140142144[[#This Row],[Colonna4]]*$Q3</f>
        <v>2.4</v>
      </c>
      <c r="W20" s="14" t="n">
        <f aca="false">Tabella52791124791618202224262830323436384042444648505254565860626468707274767880828486908892949698100102104106108110112114116118120122124126130128132134136138140142144[[#This Row],[Colonna5]]*$Q3</f>
        <v>12.8</v>
      </c>
      <c r="X20" s="14" t="n">
        <f aca="false">Tabella52791124791618202224262830323436384042444648505254565860626468707274767880828486908892949698100102104106108110112114116118120122124126130128132134136138140142144[[#This Row],[Colonna6]]*$Q3</f>
        <v>28.4</v>
      </c>
      <c r="Y20" s="14" t="n">
        <f aca="false">Tabella52791124791618202224262830323436384042444648505254565860626468707274767880828486908892949698100102104106108110112114116118120122124126130128132134136138140142144[[#This Row],[Colonna7]]*$Q3</f>
        <v>30.8</v>
      </c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37</v>
      </c>
      <c r="H21" s="13" t="n">
        <v>20</v>
      </c>
      <c r="I21" s="13" t="n">
        <v>21</v>
      </c>
      <c r="J21" s="13" t="n">
        <v>1</v>
      </c>
      <c r="K21" s="13" t="n">
        <v>4</v>
      </c>
      <c r="L21" s="13" t="n">
        <v>7</v>
      </c>
      <c r="M21" s="13" t="n">
        <v>3</v>
      </c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Tabella52791124791618202224262830323436384042444648505254565860626468707274767880828486908892949698100102104106108110112114116118120122124126130128132134136138140142144[[#This Row],[Colonna1]]*$Q3</f>
        <v>14.8</v>
      </c>
      <c r="T21" s="14" t="n">
        <f aca="false">Tabella52791124791618202224262830323436384042444648505254565860626468707274767880828486908892949698100102104106108110112114116118120122124126130128132134136138140142144[[#This Row],[Colonna2]]*$Q3</f>
        <v>8</v>
      </c>
      <c r="U21" s="14" t="n">
        <f aca="false">Tabella52791124791618202224262830323436384042444648505254565860626468707274767880828486908892949698100102104106108110112114116118120122124126130128132134136138140142144[[#This Row],[Colonna3]]*$Q3</f>
        <v>8.4</v>
      </c>
      <c r="V21" s="14" t="n">
        <f aca="false">Tabella52791124791618202224262830323436384042444648505254565860626468707274767880828486908892949698100102104106108110112114116118120122124126130128132134136138140142144[[#This Row],[Colonna4]]*$Q3</f>
        <v>0.4</v>
      </c>
      <c r="W21" s="14" t="n">
        <f aca="false">Tabella52791124791618202224262830323436384042444648505254565860626468707274767880828486908892949698100102104106108110112114116118120122124126130128132134136138140142144[[#This Row],[Colonna5]]*$Q3</f>
        <v>1.6</v>
      </c>
      <c r="X21" s="14" t="n">
        <f aca="false">Tabella52791124791618202224262830323436384042444648505254565860626468707274767880828486908892949698100102104106108110112114116118120122124126130128132134136138140142144[[#This Row],[Colonna6]]*$Q3</f>
        <v>2.8</v>
      </c>
      <c r="Y21" s="14" t="n">
        <f aca="false">Tabella52791124791618202224262830323436384042444648505254565860626468707274767880828486908892949698100102104106108110112114116118120122124126130128132134136138140142144[[#This Row],[Colonna7]]*$Q3</f>
        <v>1.2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20</v>
      </c>
      <c r="H22" s="13" t="n">
        <v>16</v>
      </c>
      <c r="I22" s="13" t="n">
        <v>12</v>
      </c>
      <c r="J22" s="13" t="n">
        <v>7</v>
      </c>
      <c r="K22" s="13" t="n">
        <v>66</v>
      </c>
      <c r="L22" s="13" t="n">
        <v>88</v>
      </c>
      <c r="M22" s="13" t="n">
        <v>43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Tabella52791124791618202224262830323436384042444648505254565860626468707274767880828486908892949698100102104106108110112114116118120122124126130128132134136138140142144[[#This Row],[Colonna1]]*$Q3</f>
        <v>8</v>
      </c>
      <c r="T22" s="14" t="n">
        <f aca="false">Tabella52791124791618202224262830323436384042444648505254565860626468707274767880828486908892949698100102104106108110112114116118120122124126130128132134136138140142144[[#This Row],[Colonna2]]*$Q3</f>
        <v>6.4</v>
      </c>
      <c r="U22" s="14" t="n">
        <f aca="false">Tabella52791124791618202224262830323436384042444648505254565860626468707274767880828486908892949698100102104106108110112114116118120122124126130128132134136138140142144[[#This Row],[Colonna3]]*$Q3</f>
        <v>4.8</v>
      </c>
      <c r="V22" s="14" t="n">
        <f aca="false">Tabella52791124791618202224262830323436384042444648505254565860626468707274767880828486908892949698100102104106108110112114116118120122124126130128132134136138140142144[[#This Row],[Colonna4]]*$Q3</f>
        <v>2.8</v>
      </c>
      <c r="W22" s="14" t="n">
        <f aca="false">Tabella52791124791618202224262830323436384042444648505254565860626468707274767880828486908892949698100102104106108110112114116118120122124126130128132134136138140142144[[#This Row],[Colonna5]]*$Q3</f>
        <v>26.4</v>
      </c>
      <c r="X22" s="14" t="n">
        <f aca="false">Tabella52791124791618202224262830323436384042444648505254565860626468707274767880828486908892949698100102104106108110112114116118120122124126130128132134136138140142144[[#This Row],[Colonna6]]*$Q3</f>
        <v>35.2</v>
      </c>
      <c r="Y22" s="14" t="n">
        <f aca="false">Tabella52791124791618202224262830323436384042444648505254565860626468707274767880828486908892949698100102104106108110112114116118120122124126130128132134136138140142144[[#This Row],[Colonna7]]*$Q3</f>
        <v>17.2</v>
      </c>
    </row>
    <row r="23" customFormat="false" ht="15" hidden="false" customHeight="false" outlineLevel="0" collapsed="false">
      <c r="D23" s="17" t="s">
        <v>30</v>
      </c>
      <c r="E23" s="17"/>
      <c r="F23" s="17"/>
      <c r="G23" s="13" t="n">
        <v>1</v>
      </c>
      <c r="H23" s="13"/>
      <c r="I23" s="13" t="n">
        <v>5</v>
      </c>
      <c r="J23" s="13" t="n">
        <v>4</v>
      </c>
      <c r="K23" s="13" t="n">
        <v>1</v>
      </c>
      <c r="L23" s="13" t="n">
        <v>2</v>
      </c>
      <c r="M23" s="13" t="n">
        <v>2</v>
      </c>
      <c r="P23" s="17" t="s">
        <v>30</v>
      </c>
      <c r="Q23" s="17"/>
      <c r="R23" s="17"/>
      <c r="S23" s="14" t="n">
        <f aca="false">Tabella52791124791618202224262830323436384042444648505254565860626468707274767880828486908892949698100102104106108110112114116118120122124126130128132134136138140142144[[#This Row],[Colonna1]]*$Q3</f>
        <v>0.4</v>
      </c>
      <c r="T23" s="14"/>
      <c r="U23" s="14" t="n">
        <f aca="false">Tabella52791124791618202224262830323436384042444648505254565860626468707274767880828486908892949698100102104106108110112114116118120122124126130128132134136138140142144[[#This Row],[Colonna3]]*$Q3</f>
        <v>2</v>
      </c>
      <c r="V23" s="14" t="n">
        <f aca="false">Tabella52791124791618202224262830323436384042444648505254565860626468707274767880828486908892949698100102104106108110112114116118120122124126130128132134136138140142144[[#This Row],[Colonna4]]*$Q3</f>
        <v>1.6</v>
      </c>
      <c r="W23" s="14" t="n">
        <f aca="false">Tabella52791124791618202224262830323436384042444648505254565860626468707274767880828486908892949698100102104106108110112114116118120122124126130128132134136138140142144[[#This Row],[Colonna5]]*$Q3</f>
        <v>0.4</v>
      </c>
      <c r="X23" s="14" t="n">
        <f aca="false">Tabella52791124791618202224262830323436384042444648505254565860626468707274767880828486908892949698100102104106108110112114116118120122124126130128132134136138140142144[[#This Row],[Colonna6]]*$Q3</f>
        <v>0.8</v>
      </c>
      <c r="Y23" s="14" t="n">
        <f aca="false">Tabella52791124791618202224262830323436384042444648505254565860626468707274767880828486908892949698100102104106108110112114116118120122124126130128132134136138140142144[[#This Row],[Colonna7]]*$Q3</f>
        <v>0.8</v>
      </c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 t="n">
        <v>1</v>
      </c>
      <c r="K27" s="13" t="n">
        <v>6</v>
      </c>
      <c r="L27" s="13" t="n">
        <v>38</v>
      </c>
      <c r="M27" s="13" t="n">
        <v>74</v>
      </c>
      <c r="P27" s="12" t="s">
        <v>34</v>
      </c>
      <c r="Q27" s="12"/>
      <c r="R27" s="12"/>
      <c r="S27" s="14"/>
      <c r="T27" s="14"/>
      <c r="U27" s="14"/>
      <c r="V27" s="14" t="n">
        <f aca="false">Tabella52791124791618202224262830323436384042444648505254565860626468707274767880828486908892949698100102104106108110112114116118120122124126130128132134136138140142144[[#This Row],[Colonna4]]*$Q3</f>
        <v>0.4</v>
      </c>
      <c r="W27" s="14" t="n">
        <f aca="false">Tabella52791124791618202224262830323436384042444648505254565860626468707274767880828486908892949698100102104106108110112114116118120122124126130128132134136138140142144[[#This Row],[Colonna5]]*$Q3</f>
        <v>2.4</v>
      </c>
      <c r="X27" s="14" t="n">
        <f aca="false">Tabella52791124791618202224262830323436384042444648505254565860626468707274767880828486908892949698100102104106108110112114116118120122124126130128132134136138140142144[[#This Row],[Colonna6]]*$Q3</f>
        <v>15.2</v>
      </c>
      <c r="Y27" s="14" t="n">
        <f aca="false">Tabella52791124791618202224262830323436384042444648505254565860626468707274767880828486908892949698100102104106108110112114116118120122124126130128132134136138140142144[[#This Row],[Colonna7]]*$Q3</f>
        <v>29.6</v>
      </c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57</v>
      </c>
      <c r="H29" s="13" t="n">
        <v>12</v>
      </c>
      <c r="I29" s="13" t="n">
        <v>17</v>
      </c>
      <c r="J29" s="13" t="n">
        <v>1</v>
      </c>
      <c r="K29" s="13" t="n">
        <v>27</v>
      </c>
      <c r="L29" s="13" t="n">
        <v>57</v>
      </c>
      <c r="M29" s="13" t="n">
        <v>32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Tabella52791124791618202224262830323436384042444648505254565860626468707274767880828486908892949698100102104106108110112114116118120122124126130128132134136138140142144[[#This Row],[Colonna1]]*$Q3</f>
        <v>22.8</v>
      </c>
      <c r="T29" s="14" t="n">
        <f aca="false">Tabella52791124791618202224262830323436384042444648505254565860626468707274767880828486908892949698100102104106108110112114116118120122124126130128132134136138140142144[[#This Row],[Colonna2]]*$Q3</f>
        <v>4.8</v>
      </c>
      <c r="U29" s="14" t="n">
        <f aca="false">Tabella52791124791618202224262830323436384042444648505254565860626468707274767880828486908892949698100102104106108110112114116118120122124126130128132134136138140142144[[#This Row],[Colonna3]]*$Q3</f>
        <v>6.8</v>
      </c>
      <c r="V29" s="14" t="n">
        <f aca="false">Tabella52791124791618202224262830323436384042444648505254565860626468707274767880828486908892949698100102104106108110112114116118120122124126130128132134136138140142144[[#This Row],[Colonna4]]*$Q3</f>
        <v>0.4</v>
      </c>
      <c r="W29" s="14" t="n">
        <f aca="false">Tabella52791124791618202224262830323436384042444648505254565860626468707274767880828486908892949698100102104106108110112114116118120122124126130128132134136138140142144[[#This Row],[Colonna5]]*$Q3</f>
        <v>10.8</v>
      </c>
      <c r="X29" s="14" t="n">
        <f aca="false">Tabella52791124791618202224262830323436384042444648505254565860626468707274767880828486908892949698100102104106108110112114116118120122124126130128132134136138140142144[[#This Row],[Colonna6]]*$Q3</f>
        <v>22.8</v>
      </c>
      <c r="Y29" s="14" t="n">
        <f aca="false">Tabella52791124791618202224262830323436384042444648505254565860626468707274767880828486908892949698100102104106108110112114116118120122124126130128132134136138140142144[[#This Row],[Colonna7]]*$Q3</f>
        <v>12.8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2</v>
      </c>
      <c r="H31" s="13"/>
      <c r="I31" s="13" t="n">
        <v>1</v>
      </c>
      <c r="J31" s="13" t="n">
        <v>1</v>
      </c>
      <c r="K31" s="13"/>
      <c r="L31" s="13" t="n">
        <v>1</v>
      </c>
      <c r="M31" s="13"/>
      <c r="P31" s="9" t="s">
        <v>38</v>
      </c>
      <c r="Q31" s="9"/>
      <c r="R31" s="9"/>
      <c r="S31" s="14" t="n">
        <f aca="false">Tabella52791124791618202224262830323436384042444648505254565860626468707274767880828486908892949698100102104106108110112114116118120122124126130128132134136138140142144[[#This Row],[Colonna1]]*$Q3</f>
        <v>0.8</v>
      </c>
      <c r="T31" s="14"/>
      <c r="U31" s="14" t="n">
        <f aca="false">Tabella52791124791618202224262830323436384042444648505254565860626468707274767880828486908892949698100102104106108110112114116118120122124126130128132134136138140142144[[#This Row],[Colonna3]]*$Q3</f>
        <v>0.4</v>
      </c>
      <c r="V31" s="14" t="n">
        <f aca="false">Tabella52791124791618202224262830323436384042444648505254565860626468707274767880828486908892949698100102104106108110112114116118120122124126130128132134136138140142144[[#This Row],[Colonna4]]*$Q3</f>
        <v>0.4</v>
      </c>
      <c r="W31" s="14"/>
      <c r="X31" s="14" t="n">
        <f aca="false">Tabella52791124791618202224262830323436384042444648505254565860626468707274767880828486908892949698100102104106108110112114116118120122124126130128132134136138140142144[[#This Row],[Colonna6]]*$Q3</f>
        <v>0.4</v>
      </c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 t="n">
        <v>5</v>
      </c>
      <c r="H34" s="13"/>
      <c r="I34" s="13"/>
      <c r="J34" s="13"/>
      <c r="K34" s="13"/>
      <c r="L34" s="13"/>
      <c r="M34" s="13" t="n">
        <v>19</v>
      </c>
      <c r="P34" s="9" t="s">
        <v>41</v>
      </c>
      <c r="Q34" s="9"/>
      <c r="R34" s="9"/>
      <c r="S34" s="14" t="n">
        <f aca="false">Tabella52791124791618202224262830323436384042444648505254565860626468707274767880828486908892949698100102104106108110112114116118120122124126130128132134136138140142144[[#This Row],[Colonna1]]*$Q3</f>
        <v>2</v>
      </c>
      <c r="T34" s="14"/>
      <c r="U34" s="14"/>
      <c r="V34" s="14"/>
      <c r="W34" s="14"/>
      <c r="X34" s="14"/>
      <c r="Y34" s="14" t="n">
        <f aca="false">Tabella52791124791618202224262830323436384042444648505254565860626468707274767880828486908892949698100102104106108110112114116118120122124126130128132134136138140142144[[#This Row],[Colonna7]]*$Q3</f>
        <v>7.6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35</v>
      </c>
      <c r="H38" s="13" t="n">
        <v>16</v>
      </c>
      <c r="I38" s="13" t="n">
        <v>21</v>
      </c>
      <c r="J38" s="13" t="n">
        <v>6</v>
      </c>
      <c r="K38" s="13" t="n">
        <v>8</v>
      </c>
      <c r="L38" s="13" t="n">
        <v>33</v>
      </c>
      <c r="M38" s="13" t="n">
        <v>14</v>
      </c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Tabella52791124791618202224262830323436384042444648505254565860626468707274767880828486908892949698100102104106108110112114116118120122124126130128132134136138140142144[[#This Row],[Colonna1]]*$Q3</f>
        <v>14</v>
      </c>
      <c r="T38" s="14" t="n">
        <f aca="false">Tabella52791124791618202224262830323436384042444648505254565860626468707274767880828486908892949698100102104106108110112114116118120122124126130128132134136138140142144[[#This Row],[Colonna2]]*$Q3</f>
        <v>6.4</v>
      </c>
      <c r="U38" s="14" t="n">
        <f aca="false">Tabella52791124791618202224262830323436384042444648505254565860626468707274767880828486908892949698100102104106108110112114116118120122124126130128132134136138140142144[[#This Row],[Colonna3]]*$Q3</f>
        <v>8.4</v>
      </c>
      <c r="V38" s="14" t="n">
        <f aca="false">Tabella52791124791618202224262830323436384042444648505254565860626468707274767880828486908892949698100102104106108110112114116118120122124126130128132134136138140142144[[#This Row],[Colonna4]]*$Q3</f>
        <v>2.4</v>
      </c>
      <c r="W38" s="14" t="n">
        <f aca="false">Tabella52791124791618202224262830323436384042444648505254565860626468707274767880828486908892949698100102104106108110112114116118120122124126130128132134136138140142144[[#This Row],[Colonna5]]*$Q3</f>
        <v>3.2</v>
      </c>
      <c r="X38" s="14" t="n">
        <f aca="false">Tabella52791124791618202224262830323436384042444648505254565860626468707274767880828486908892949698100102104106108110112114116118120122124126130128132134136138140142144[[#This Row],[Colonna6]]*$Q3</f>
        <v>13.2</v>
      </c>
      <c r="Y38" s="14" t="n">
        <f aca="false">Tabella52791124791618202224262830323436384042444648505254565860626468707274767880828486908892949698100102104106108110112114116118120122124126130128132134136138140142144[[#This Row],[Colonna7]]*$Q3</f>
        <v>5.6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 t="n">
        <v>1</v>
      </c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 t="n">
        <f aca="false">Tabella52791124791618202224262830323436384042444648505254565860626468707274767880828486908892949698100102104106108110112114116118120122124126130128132134136138140142144[[#This Row],[Colonna7]]*$Q3</f>
        <v>0.4</v>
      </c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4</v>
      </c>
      <c r="H41" s="13" t="n">
        <v>4</v>
      </c>
      <c r="I41" s="13" t="n">
        <v>2</v>
      </c>
      <c r="J41" s="13" t="n">
        <v>3</v>
      </c>
      <c r="K41" s="13" t="n">
        <v>4</v>
      </c>
      <c r="L41" s="13" t="n">
        <v>2</v>
      </c>
      <c r="M41" s="13" t="n">
        <v>1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Tabella52791124791618202224262830323436384042444648505254565860626468707274767880828486908892949698100102104106108110112114116118120122124126130128132134136138140142144[[#This Row],[Colonna1]]*$Q3</f>
        <v>1.6</v>
      </c>
      <c r="T41" s="14" t="n">
        <f aca="false">Tabella52791124791618202224262830323436384042444648505254565860626468707274767880828486908892949698100102104106108110112114116118120122124126130128132134136138140142144[[#This Row],[Colonna2]]*$Q3</f>
        <v>1.6</v>
      </c>
      <c r="U41" s="14" t="n">
        <f aca="false">Tabella52791124791618202224262830323436384042444648505254565860626468707274767880828486908892949698100102104106108110112114116118120122124126130128132134136138140142144[[#This Row],[Colonna3]]*$Q3</f>
        <v>0.8</v>
      </c>
      <c r="V41" s="14" t="n">
        <f aca="false">Tabella52791124791618202224262830323436384042444648505254565860626468707274767880828486908892949698100102104106108110112114116118120122124126130128132134136138140142144[[#This Row],[Colonna4]]*$Q3</f>
        <v>1.2</v>
      </c>
      <c r="W41" s="14" t="n">
        <f aca="false">Tabella52791124791618202224262830323436384042444648505254565860626468707274767880828486908892949698100102104106108110112114116118120122124126130128132134136138140142144[[#This Row],[Colonna5]]*$Q3</f>
        <v>1.6</v>
      </c>
      <c r="X41" s="14" t="n">
        <f aca="false">Tabella52791124791618202224262830323436384042444648505254565860626468707274767880828486908892949698100102104106108110112114116118120122124126130128132134136138140142144[[#This Row],[Colonna6]]*$Q3</f>
        <v>0.8</v>
      </c>
      <c r="Y41" s="14" t="n">
        <f aca="false">Tabella52791124791618202224262830323436384042444648505254565860626468707274767880828486908892949698100102104106108110112114116118120122124126130128132134136138140142144[[#This Row],[Colonna7]]*$Q3</f>
        <v>0.4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 t="n">
        <v>1</v>
      </c>
      <c r="J42" s="13"/>
      <c r="K42" s="13" t="n">
        <v>2</v>
      </c>
      <c r="L42" s="13" t="n">
        <v>1</v>
      </c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1435</v>
      </c>
      <c r="H43" s="13" t="n">
        <v>490</v>
      </c>
      <c r="I43" s="13" t="n">
        <v>577</v>
      </c>
      <c r="J43" s="13" t="n">
        <v>197</v>
      </c>
      <c r="K43" s="13" t="n">
        <v>106</v>
      </c>
      <c r="L43" s="13" t="n">
        <v>1670</v>
      </c>
      <c r="M43" s="13" t="n">
        <v>423</v>
      </c>
      <c r="P43" s="18" t="s">
        <v>50</v>
      </c>
      <c r="Q43" s="18"/>
      <c r="R43" s="18"/>
      <c r="S43" s="14" t="n">
        <f aca="false">Tabella52791124791618202224262830323436384042444648505254565860626468707274767880828486908892949698100102104106108110112114116118120122124126130128132134136138140142144[[#This Row],[Colonna1]]*$Q3</f>
        <v>574</v>
      </c>
      <c r="T43" s="14" t="n">
        <f aca="false">Tabella52791124791618202224262830323436384042444648505254565860626468707274767880828486908892949698100102104106108110112114116118120122124126130128132134136138140142144[[#This Row],[Colonna2]]*$Q3</f>
        <v>196</v>
      </c>
      <c r="U43" s="14" t="n">
        <f aca="false">Tabella52791124791618202224262830323436384042444648505254565860626468707274767880828486908892949698100102104106108110112114116118120122124126130128132134136138140142144[[#This Row],[Colonna3]]*$Q3</f>
        <v>230.8</v>
      </c>
      <c r="V43" s="14" t="n">
        <f aca="false">Tabella52791124791618202224262830323436384042444648505254565860626468707274767880828486908892949698100102104106108110112114116118120122124126130128132134136138140142144[[#This Row],[Colonna4]]*$Q3</f>
        <v>78.8</v>
      </c>
      <c r="W43" s="14" t="n">
        <f aca="false">Tabella52791124791618202224262830323436384042444648505254565860626468707274767880828486908892949698100102104106108110112114116118120122124126130128132134136138140142144[[#This Row],[Colonna5]]*$Q3</f>
        <v>42.4</v>
      </c>
      <c r="X43" s="14" t="n">
        <f aca="false">Tabella52791124791618202224262830323436384042444648505254565860626468707274767880828486908892949698100102104106108110112114116118120122124126130128132134136138140142144[[#This Row],[Colonna6]]*$Q3</f>
        <v>668</v>
      </c>
      <c r="Y43" s="14" t="n">
        <f aca="false">Tabella52791124791618202224262830323436384042444648505254565860626468707274767880828486908892949698100102104106108110112114116118120122124126130128132134136138140142144[[#This Row],[Colonna7]]*$Q3</f>
        <v>169.2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16</v>
      </c>
      <c r="H44" s="13" t="n">
        <v>5</v>
      </c>
      <c r="I44" s="13" t="n">
        <v>11</v>
      </c>
      <c r="J44" s="13" t="n">
        <v>11</v>
      </c>
      <c r="K44" s="13" t="n">
        <v>8</v>
      </c>
      <c r="L44" s="13" t="n">
        <v>34</v>
      </c>
      <c r="M44" s="13" t="n">
        <v>21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Tabella52791124791618202224262830323436384042444648505254565860626468707274767880828486908892949698100102104106108110112114116118120122124126130128132134136138140142144[[#This Row],[Colonna1]]*$Q3</f>
        <v>6.4</v>
      </c>
      <c r="T44" s="14" t="n">
        <f aca="false">Tabella52791124791618202224262830323436384042444648505254565860626468707274767880828486908892949698100102104106108110112114116118120122124126130128132134136138140142144[[#This Row],[Colonna2]]*$Q3</f>
        <v>2</v>
      </c>
      <c r="U44" s="14" t="n">
        <f aca="false">Tabella52791124791618202224262830323436384042444648505254565860626468707274767880828486908892949698100102104106108110112114116118120122124126130128132134136138140142144[[#This Row],[Colonna3]]*$Q3</f>
        <v>4.4</v>
      </c>
      <c r="V44" s="14" t="n">
        <f aca="false">Tabella52791124791618202224262830323436384042444648505254565860626468707274767880828486908892949698100102104106108110112114116118120122124126130128132134136138140142144[[#This Row],[Colonna4]]*$Q3</f>
        <v>4.4</v>
      </c>
      <c r="W44" s="14" t="n">
        <f aca="false">Tabella52791124791618202224262830323436384042444648505254565860626468707274767880828486908892949698100102104106108110112114116118120122124126130128132134136138140142144[[#This Row],[Colonna5]]*$Q3</f>
        <v>3.2</v>
      </c>
      <c r="X44" s="14" t="n">
        <f aca="false">Tabella52791124791618202224262830323436384042444648505254565860626468707274767880828486908892949698100102104106108110112114116118120122124126130128132134136138140142144[[#This Row],[Colonna6]]*$Q3</f>
        <v>13.6</v>
      </c>
      <c r="Y44" s="14" t="n">
        <f aca="false">Tabella52791124791618202224262830323436384042444648505254565860626468707274767880828486908892949698100102104106108110112114116118120122124126130128132134136138140142144[[#This Row],[Colonna7]]*$Q3</f>
        <v>8.4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6</v>
      </c>
      <c r="H47" s="13" t="n">
        <v>5</v>
      </c>
      <c r="I47" s="13"/>
      <c r="J47" s="13"/>
      <c r="K47" s="13" t="n">
        <v>1</v>
      </c>
      <c r="L47" s="13"/>
      <c r="M47" s="13"/>
      <c r="P47" s="16" t="s">
        <v>54</v>
      </c>
      <c r="Q47" s="16"/>
      <c r="R47" s="16"/>
      <c r="S47" s="14" t="n">
        <f aca="false">Tabella52791124791618202224262830323436384042444648505254565860626468707274767880828486908892949698100102104106108110112114116118120122124126130128132134136138140142144[[#This Row],[Colonna1]]*$Q3</f>
        <v>2.4</v>
      </c>
      <c r="T47" s="14" t="n">
        <f aca="false">Tabella52791124791618202224262830323436384042444648505254565860626468707274767880828486908892949698100102104106108110112114116118120122124126130128132134136138140142144[[#This Row],[Colonna2]]*$Q3</f>
        <v>2</v>
      </c>
      <c r="U47" s="14"/>
      <c r="V47" s="14"/>
      <c r="W47" s="14" t="n">
        <f aca="false">Tabella52791124791618202224262830323436384042444648505254565860626468707274767880828486908892949698100102104106108110112114116118120122124126130128132134136138140142144[[#This Row],[Colonna5]]*$Q3</f>
        <v>0.4</v>
      </c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 t="n">
        <v>2</v>
      </c>
      <c r="I50" s="13"/>
      <c r="J50" s="13" t="n">
        <v>1</v>
      </c>
      <c r="K50" s="13"/>
      <c r="L50" s="13" t="n">
        <v>4</v>
      </c>
      <c r="M50" s="13"/>
      <c r="P50" s="9" t="s">
        <v>57</v>
      </c>
      <c r="Q50" s="9"/>
      <c r="R50" s="9"/>
      <c r="S50" s="14"/>
      <c r="T50" s="14" t="n">
        <f aca="false">Tabella52791124791618202224262830323436384042444648505254565860626468707274767880828486908892949698100102104106108110112114116118120122124126130128132134136138140142144[[#This Row],[Colonna2]]*$Q3</f>
        <v>0.8</v>
      </c>
      <c r="U50" s="14"/>
      <c r="V50" s="14" t="n">
        <f aca="false">Tabella52791124791618202224262830323436384042444648505254565860626468707274767880828486908892949698100102104106108110112114116118120122124126130128132134136138140142144[[#This Row],[Colonna4]]*$Q3</f>
        <v>0.4</v>
      </c>
      <c r="W50" s="14"/>
      <c r="X50" s="14" t="n">
        <f aca="false">Tabella52791124791618202224262830323436384042444648505254565860626468707274767880828486908892949698100102104106108110112114116118120122124126130128132134136138140142144[[#This Row],[Colonna6]]*$Q3</f>
        <v>1.6</v>
      </c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8</v>
      </c>
      <c r="H52" s="13" t="n">
        <v>2</v>
      </c>
      <c r="I52" s="13" t="n">
        <v>14</v>
      </c>
      <c r="J52" s="13" t="n">
        <v>2</v>
      </c>
      <c r="K52" s="13" t="n">
        <v>7</v>
      </c>
      <c r="L52" s="13" t="n">
        <v>6</v>
      </c>
      <c r="M52" s="13" t="n">
        <v>10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Tabella52791124791618202224262830323436384042444648505254565860626468707274767880828486908892949698100102104106108110112114116118120122124126130128132134136138140142144[[#This Row],[Colonna1]]*$Q3</f>
        <v>3.2</v>
      </c>
      <c r="T52" s="14" t="n">
        <f aca="false">Tabella52791124791618202224262830323436384042444648505254565860626468707274767880828486908892949698100102104106108110112114116118120122124126130128132134136138140142144[[#This Row],[Colonna2]]*$Q3</f>
        <v>0.8</v>
      </c>
      <c r="U52" s="14" t="n">
        <f aca="false">Tabella52791124791618202224262830323436384042444648505254565860626468707274767880828486908892949698100102104106108110112114116118120122124126130128132134136138140142144[[#This Row],[Colonna3]]*$Q3</f>
        <v>5.6</v>
      </c>
      <c r="V52" s="14" t="n">
        <f aca="false">Tabella52791124791618202224262830323436384042444648505254565860626468707274767880828486908892949698100102104106108110112114116118120122124126130128132134136138140142144[[#This Row],[Colonna4]]*$Q3</f>
        <v>0.8</v>
      </c>
      <c r="W52" s="14" t="n">
        <f aca="false">Tabella52791124791618202224262830323436384042444648505254565860626468707274767880828486908892949698100102104106108110112114116118120122124126130128132134136138140142144[[#This Row],[Colonna5]]*$Q3</f>
        <v>2.8</v>
      </c>
      <c r="X52" s="14" t="n">
        <f aca="false">Tabella52791124791618202224262830323436384042444648505254565860626468707274767880828486908892949698100102104106108110112114116118120122124126130128132134136138140142144[[#This Row],[Colonna6]]*$Q3</f>
        <v>2.4</v>
      </c>
      <c r="Y52" s="14" t="n">
        <f aca="false">Tabella52791124791618202224262830323436384042444648505254565860626468707274767880828486908892949698100102104106108110112114116118120122124126130128132134136138140142144[[#This Row],[Colonna7]]*$Q3</f>
        <v>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1690</v>
      </c>
      <c r="H53" s="55" t="n">
        <f aca="false">SUM(H6:H52)</f>
        <v>626</v>
      </c>
      <c r="I53" s="55" t="n">
        <f aca="false">SUM(I6:I52)</f>
        <v>765</v>
      </c>
      <c r="J53" s="55" t="n">
        <f aca="false">SUM(J6:J52)</f>
        <v>280</v>
      </c>
      <c r="K53" s="55" t="n">
        <f aca="false">SUM(K6:K52)</f>
        <v>303</v>
      </c>
      <c r="L53" s="55" t="n">
        <f aca="false">SUM(L6:L52)</f>
        <v>2138</v>
      </c>
      <c r="M53" s="55" t="n">
        <f aca="false">SUM(M6:M52)</f>
        <v>769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Tabella52791124791618202224262830323436384042444648505254565860626468707274767880828486908892949698100102104106108110112114116118120122124126130128132134136138140142144[[#This Row],[Colonna1]]*$Q3</f>
        <v>676</v>
      </c>
      <c r="T53" s="56" t="n">
        <f aca="false">Tabella52791124791618202224262830323436384042444648505254565860626468707274767880828486908892949698100102104106108110112114116118120122124126130128132134136138140142144[[#This Row],[Colonna2]]*$Q3</f>
        <v>250.4</v>
      </c>
      <c r="U53" s="56" t="n">
        <f aca="false">Tabella52791124791618202224262830323436384042444648505254565860626468707274767880828486908892949698100102104106108110112114116118120122124126130128132134136138140142144[[#This Row],[Colonna3]]*$Q3</f>
        <v>306</v>
      </c>
      <c r="V53" s="56" t="n">
        <f aca="false">Tabella52791124791618202224262830323436384042444648505254565860626468707274767880828486908892949698100102104106108110112114116118120122124126130128132134136138140142144[[#This Row],[Colonna4]]*$Q3</f>
        <v>112</v>
      </c>
      <c r="W53" s="56" t="n">
        <f aca="false">Tabella52791124791618202224262830323436384042444648505254565860626468707274767880828486908892949698100102104106108110112114116118120122124126130128132134136138140142144[[#This Row],[Colonna5]]*$Q3</f>
        <v>121.2</v>
      </c>
      <c r="X53" s="56" t="n">
        <f aca="false">Tabella52791124791618202224262830323436384042444648505254565860626468707274767880828486908892949698100102104106108110112114116118120122124126130128132134136138140142144[[#This Row],[Colonna6]]*$Q3</f>
        <v>855.2</v>
      </c>
      <c r="Y53" s="56" t="n">
        <f aca="false">Tabella52791124791618202224262830323436384042444648505254565860626468707274767880828486908892949698100102104106108110112114116118120122124126130128132134136138140142144[[#This Row],[Colonna7]]*$Q3</f>
        <v>307.6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18</v>
      </c>
      <c r="H58" s="26" t="n">
        <v>1</v>
      </c>
      <c r="I58" s="26" t="n">
        <v>8</v>
      </c>
      <c r="J58" s="26" t="n">
        <v>5</v>
      </c>
      <c r="K58" s="26" t="n">
        <v>8</v>
      </c>
      <c r="L58" s="26" t="n">
        <v>21</v>
      </c>
      <c r="M58" s="26" t="n">
        <v>4</v>
      </c>
      <c r="P58" s="23" t="s">
        <v>62</v>
      </c>
      <c r="Q58" s="23"/>
      <c r="R58" s="23"/>
      <c r="S58" s="57" t="n">
        <f aca="false">G58*$Q3</f>
        <v>7.2</v>
      </c>
      <c r="T58" s="57" t="n">
        <f aca="false">H58*$Q3</f>
        <v>0.4</v>
      </c>
      <c r="U58" s="57" t="n">
        <f aca="false">I58*$Q3</f>
        <v>3.2</v>
      </c>
      <c r="V58" s="57" t="n">
        <f aca="false">J58*$Q3</f>
        <v>2</v>
      </c>
      <c r="W58" s="57" t="n">
        <f aca="false">K58*$Q3</f>
        <v>3.2</v>
      </c>
      <c r="X58" s="57" t="n">
        <f aca="false">L58*$Q3</f>
        <v>8.4</v>
      </c>
      <c r="Y58" s="27" t="n">
        <f aca="false">M58*$Q3</f>
        <v>1.6</v>
      </c>
    </row>
    <row r="59" customFormat="false" ht="15" hidden="false" customHeight="false" outlineLevel="0" collapsed="false">
      <c r="D59" s="9" t="s">
        <v>63</v>
      </c>
      <c r="E59" s="9"/>
      <c r="F59" s="9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 t="n">
        <v>2</v>
      </c>
      <c r="I62" s="26" t="n">
        <v>1</v>
      </c>
      <c r="J62" s="26" t="n">
        <v>4</v>
      </c>
      <c r="K62" s="26"/>
      <c r="L62" s="26" t="n">
        <v>1</v>
      </c>
      <c r="M62" s="26"/>
      <c r="P62" s="9" t="s">
        <v>66</v>
      </c>
      <c r="Q62" s="9"/>
      <c r="R62" s="9"/>
      <c r="S62" s="57"/>
      <c r="T62" s="57" t="n">
        <f aca="false">H62*$Q3</f>
        <v>0.8</v>
      </c>
      <c r="U62" s="57" t="n">
        <f aca="false">I62*$Q3</f>
        <v>0.4</v>
      </c>
      <c r="V62" s="57" t="n">
        <f aca="false">J62*$Q3</f>
        <v>1.6</v>
      </c>
      <c r="W62" s="57"/>
      <c r="X62" s="57" t="n">
        <f aca="false">L62*$Q3</f>
        <v>0.4</v>
      </c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 t="n">
        <v>1</v>
      </c>
      <c r="M63" s="26" t="n">
        <v>2</v>
      </c>
      <c r="P63" s="9" t="s">
        <v>67</v>
      </c>
      <c r="Q63" s="9"/>
      <c r="R63" s="9"/>
      <c r="S63" s="57"/>
      <c r="T63" s="57"/>
      <c r="U63" s="57"/>
      <c r="V63" s="57"/>
      <c r="W63" s="57"/>
      <c r="X63" s="57" t="n">
        <f aca="false">L63*$Q3</f>
        <v>0.4</v>
      </c>
      <c r="Y63" s="57" t="n">
        <f aca="false">M63*$Q3</f>
        <v>0.8</v>
      </c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57"/>
      <c r="U64" s="57"/>
      <c r="V64" s="57"/>
      <c r="W64" s="57"/>
      <c r="X64" s="5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3</v>
      </c>
      <c r="H65" s="30" t="n">
        <v>44</v>
      </c>
      <c r="I65" s="30" t="n">
        <v>25</v>
      </c>
      <c r="J65" s="26" t="n">
        <v>38</v>
      </c>
      <c r="K65" s="26" t="n">
        <v>6</v>
      </c>
      <c r="L65" s="26" t="n">
        <v>1</v>
      </c>
      <c r="M65" s="26" t="n">
        <v>7</v>
      </c>
      <c r="P65" s="9" t="s">
        <v>69</v>
      </c>
      <c r="Q65" s="9"/>
      <c r="R65" s="9"/>
      <c r="S65" s="57" t="n">
        <f aca="false">G65*$Q3</f>
        <v>1.2</v>
      </c>
      <c r="T65" s="57" t="n">
        <f aca="false">H65*$Q3</f>
        <v>17.6</v>
      </c>
      <c r="U65" s="57" t="n">
        <f aca="false">I65*$Q3</f>
        <v>10</v>
      </c>
      <c r="V65" s="57" t="n">
        <f aca="false">J65*$Q3</f>
        <v>15.2</v>
      </c>
      <c r="W65" s="57" t="n">
        <f aca="false">K65*$Q3</f>
        <v>2.4</v>
      </c>
      <c r="X65" s="57" t="n">
        <f aca="false">L65*$Q3</f>
        <v>0.4</v>
      </c>
      <c r="Y65" s="27" t="n">
        <f aca="false">M65*$Q3</f>
        <v>2.8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1</v>
      </c>
      <c r="H67" s="139"/>
      <c r="I67" s="139"/>
      <c r="J67" s="26" t="n">
        <v>1</v>
      </c>
      <c r="K67" s="26"/>
      <c r="L67" s="26" t="n">
        <v>8</v>
      </c>
      <c r="M67" s="26"/>
      <c r="P67" s="9" t="s">
        <v>71</v>
      </c>
      <c r="Q67" s="9"/>
      <c r="R67" s="9"/>
      <c r="S67" s="57" t="n">
        <f aca="false">G67*$Q3</f>
        <v>0.4</v>
      </c>
      <c r="T67" s="57"/>
      <c r="U67" s="57"/>
      <c r="V67" s="57" t="n">
        <f aca="false">J67*$Q3</f>
        <v>0.4</v>
      </c>
      <c r="W67" s="57"/>
      <c r="X67" s="57" t="n">
        <f aca="false">L67*$Q3</f>
        <v>3.2</v>
      </c>
      <c r="Y67" s="2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/>
      <c r="T68" s="57"/>
      <c r="U68" s="57"/>
      <c r="V68" s="57"/>
      <c r="W68" s="57"/>
      <c r="X68" s="57"/>
      <c r="Y68" s="2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25</v>
      </c>
      <c r="H69" s="30" t="n">
        <v>11</v>
      </c>
      <c r="I69" s="30"/>
      <c r="J69" s="30"/>
      <c r="K69" s="30"/>
      <c r="L69" s="30"/>
      <c r="M69" s="30"/>
      <c r="P69" s="9" t="s">
        <v>73</v>
      </c>
      <c r="Q69" s="9"/>
      <c r="R69" s="9"/>
      <c r="S69" s="57" t="n">
        <f aca="false">G69*$Q3</f>
        <v>10</v>
      </c>
      <c r="T69" s="57" t="n">
        <f aca="false">H69*$Q3</f>
        <v>4.4</v>
      </c>
      <c r="U69" s="57"/>
      <c r="V69" s="57"/>
      <c r="W69" s="57"/>
      <c r="X69" s="57"/>
      <c r="Y69" s="2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47</v>
      </c>
      <c r="H70" s="60" t="n">
        <f aca="false">SUM(H58:H69)</f>
        <v>58</v>
      </c>
      <c r="I70" s="60" t="n">
        <f aca="false">SUM(I58:I69)</f>
        <v>34</v>
      </c>
      <c r="J70" s="60" t="n">
        <f aca="false">SUM(J58:J69)</f>
        <v>48</v>
      </c>
      <c r="K70" s="60" t="n">
        <f aca="false">SUM(K58:K69)</f>
        <v>14</v>
      </c>
      <c r="L70" s="60" t="n">
        <f aca="false">SUM(L58:L69)</f>
        <v>32</v>
      </c>
      <c r="M70" s="60" t="n">
        <f aca="false">SUM(M58:M69)</f>
        <v>13</v>
      </c>
      <c r="P70" s="9" t="s">
        <v>60</v>
      </c>
      <c r="Q70" s="9"/>
      <c r="R70" s="9"/>
      <c r="S70" s="61" t="n">
        <f aca="false">G70*$Q3</f>
        <v>18.8</v>
      </c>
      <c r="T70" s="61" t="n">
        <f aca="false">H70*$Q3</f>
        <v>23.2</v>
      </c>
      <c r="U70" s="61" t="n">
        <f aca="false">I70*$Q3</f>
        <v>13.6</v>
      </c>
      <c r="V70" s="61" t="n">
        <f aca="false">J70*$Q3</f>
        <v>19.2</v>
      </c>
      <c r="W70" s="61" t="n">
        <f aca="false">K70*$Q3</f>
        <v>5.6</v>
      </c>
      <c r="X70" s="61" t="n">
        <f aca="false">L70*$Q3</f>
        <v>12.8</v>
      </c>
      <c r="Y70" s="32" t="n">
        <f aca="false">M70*$Q3</f>
        <v>5.2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102</v>
      </c>
      <c r="I3" s="119" t="s">
        <v>2</v>
      </c>
      <c r="J3" s="4" t="n">
        <v>45383</v>
      </c>
      <c r="K3" s="5" t="n">
        <v>45389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102</v>
      </c>
      <c r="U3" s="119" t="s">
        <v>2</v>
      </c>
      <c r="V3" s="4" t="n">
        <v>45383</v>
      </c>
      <c r="W3" s="5" t="n">
        <v>45389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92"/>
      <c r="I6" s="13"/>
      <c r="J6" s="13"/>
      <c r="K6" s="13"/>
      <c r="L6" s="13"/>
      <c r="M6" s="13"/>
      <c r="P6" s="9" t="s">
        <v>13</v>
      </c>
      <c r="Q6" s="9"/>
      <c r="R6" s="9"/>
      <c r="S6" s="14"/>
      <c r="T6" s="93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10</v>
      </c>
      <c r="H7" s="92"/>
      <c r="I7" s="13" t="n">
        <v>4</v>
      </c>
      <c r="J7" s="13" t="n">
        <v>25</v>
      </c>
      <c r="K7" s="13" t="n">
        <v>5</v>
      </c>
      <c r="L7" s="13" t="n">
        <v>39</v>
      </c>
      <c r="M7" s="13" t="n">
        <v>20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Tabella52791124791618202224262830323436384042444648505254565860626468707274767880828486908892949698100102104106108110112114116118120122124126130128132134136138140142144146[[#This Row],[Colonna1]]*$Q3</f>
        <v>4</v>
      </c>
      <c r="T7" s="93"/>
      <c r="U7" s="14" t="n">
        <f aca="false">Tabella52791124791618202224262830323436384042444648505254565860626468707274767880828486908892949698100102104106108110112114116118120122124126130128132134136138140142144146[[#This Row],[Colonna3]]*$Q3</f>
        <v>1.6</v>
      </c>
      <c r="V7" s="14" t="n">
        <f aca="false">Tabella52791124791618202224262830323436384042444648505254565860626468707274767880828486908892949698100102104106108110112114116118120122124126130128132134136138140142144146[[#This Row],[Colonna4]]*$Q3</f>
        <v>10</v>
      </c>
      <c r="W7" s="14" t="n">
        <f aca="false">Tabella52791124791618202224262830323436384042444648505254565860626468707274767880828486908892949698100102104106108110112114116118120122124126130128132134136138140142144146[[#This Row],[Colonna5]]*$Q3</f>
        <v>2</v>
      </c>
      <c r="X7" s="14" t="n">
        <f aca="false">Tabella52791124791618202224262830323436384042444648505254565860626468707274767880828486908892949698100102104106108110112114116118120122124126130128132134136138140142144146[[#This Row],[Colonna6]]*$Q3</f>
        <v>15.6</v>
      </c>
      <c r="Y7" s="14" t="n">
        <f aca="false">Tabella52791124791618202224262830323436384042444648505254565860626468707274767880828486908892949698100102104106108110112114116118120122124126130128132134136138140142144146[[#This Row],[Colonna7]]*$Q3</f>
        <v>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92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93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92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93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7</v>
      </c>
      <c r="H10" s="92"/>
      <c r="I10" s="13" t="n">
        <v>3</v>
      </c>
      <c r="J10" s="13" t="n">
        <v>7</v>
      </c>
      <c r="K10" s="13" t="n">
        <v>43</v>
      </c>
      <c r="L10" s="13" t="n">
        <v>4</v>
      </c>
      <c r="M10" s="13" t="n">
        <v>13</v>
      </c>
      <c r="P10" s="12" t="s">
        <v>17</v>
      </c>
      <c r="Q10" s="12"/>
      <c r="R10" s="12"/>
      <c r="S10" s="14" t="n">
        <f aca="false">Tabella52791124791618202224262830323436384042444648505254565860626468707274767880828486908892949698100102104106108110112114116118120122124126130128132134136138140142144146[[#This Row],[Colonna1]]*$Q3</f>
        <v>2.8</v>
      </c>
      <c r="T10" s="93"/>
      <c r="U10" s="14" t="n">
        <f aca="false">Tabella52791124791618202224262830323436384042444648505254565860626468707274767880828486908892949698100102104106108110112114116118120122124126130128132134136138140142144146[[#This Row],[Colonna3]]*$Q3</f>
        <v>1.2</v>
      </c>
      <c r="V10" s="14" t="n">
        <f aca="false">Tabella52791124791618202224262830323436384042444648505254565860626468707274767880828486908892949698100102104106108110112114116118120122124126130128132134136138140142144146[[#This Row],[Colonna4]]*$Q3</f>
        <v>2.8</v>
      </c>
      <c r="W10" s="14" t="n">
        <f aca="false">Tabella52791124791618202224262830323436384042444648505254565860626468707274767880828486908892949698100102104106108110112114116118120122124126130128132134136138140142144146[[#This Row],[Colonna5]]*$Q3</f>
        <v>17.2</v>
      </c>
      <c r="X10" s="14" t="n">
        <f aca="false">Tabella52791124791618202224262830323436384042444648505254565860626468707274767880828486908892949698100102104106108110112114116118120122124126130128132134136138140142144146[[#This Row],[Colonna6]]*$Q3</f>
        <v>1.6</v>
      </c>
      <c r="Y10" s="14" t="n">
        <f aca="false">Tabella52791124791618202224262830323436384042444648505254565860626468707274767880828486908892949698100102104106108110112114116118120122124126130128132134136138140142144146[[#This Row],[Colonna7]]*$Q3</f>
        <v>5.2</v>
      </c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92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93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92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93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92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93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92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93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92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93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92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93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92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93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92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93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 t="n">
        <v>6</v>
      </c>
      <c r="H19" s="92"/>
      <c r="I19" s="13" t="n">
        <v>11</v>
      </c>
      <c r="J19" s="13" t="n">
        <v>16</v>
      </c>
      <c r="K19" s="13" t="n">
        <v>8</v>
      </c>
      <c r="L19" s="13" t="n">
        <v>14</v>
      </c>
      <c r="M19" s="13" t="n">
        <v>4</v>
      </c>
      <c r="P19" s="9" t="s">
        <v>26</v>
      </c>
      <c r="Q19" s="9"/>
      <c r="R19" s="9"/>
      <c r="S19" s="14" t="n">
        <f aca="false">Tabella52791124791618202224262830323436384042444648505254565860626468707274767880828486908892949698100102104106108110112114116118120122124126130128132134136138140142144146[[#This Row],[Colonna1]]*$Q3</f>
        <v>2.4</v>
      </c>
      <c r="T19" s="93"/>
      <c r="U19" s="14" t="n">
        <f aca="false">Tabella52791124791618202224262830323436384042444648505254565860626468707274767880828486908892949698100102104106108110112114116118120122124126130128132134136138140142144146[[#This Row],[Colonna3]]*$Q3</f>
        <v>4.4</v>
      </c>
      <c r="V19" s="14" t="n">
        <f aca="false">Tabella52791124791618202224262830323436384042444648505254565860626468707274767880828486908892949698100102104106108110112114116118120122124126130128132134136138140142144146[[#This Row],[Colonna4]]*$Q3</f>
        <v>6.4</v>
      </c>
      <c r="W19" s="14" t="n">
        <f aca="false">Tabella52791124791618202224262830323436384042444648505254565860626468707274767880828486908892949698100102104106108110112114116118120122124126130128132134136138140142144146[[#This Row],[Colonna5]]*$Q3</f>
        <v>3.2</v>
      </c>
      <c r="X19" s="14" t="n">
        <f aca="false">Tabella52791124791618202224262830323436384042444648505254565860626468707274767880828486908892949698100102104106108110112114116118120122124126130128132134136138140142144146[[#This Row],[Colonna6]]*$Q3</f>
        <v>5.6</v>
      </c>
      <c r="Y19" s="14" t="n">
        <f aca="false">Tabella52791124791618202224262830323436384042444648505254565860626468707274767880828486908892949698100102104106108110112114116118120122124126130128132134136138140142144146[[#This Row],[Colonna7]]*$Q3</f>
        <v>1.6</v>
      </c>
    </row>
    <row r="20" customFormat="false" ht="15" hidden="false" customHeight="false" outlineLevel="0" collapsed="false">
      <c r="D20" s="9" t="s">
        <v>27</v>
      </c>
      <c r="E20" s="9"/>
      <c r="F20" s="9"/>
      <c r="G20" s="13" t="n">
        <v>17</v>
      </c>
      <c r="H20" s="92"/>
      <c r="I20" s="13" t="n">
        <v>22</v>
      </c>
      <c r="J20" s="13" t="n">
        <v>50</v>
      </c>
      <c r="K20" s="13" t="n">
        <v>86</v>
      </c>
      <c r="L20" s="13" t="n">
        <v>62</v>
      </c>
      <c r="M20" s="13" t="n">
        <v>60</v>
      </c>
      <c r="P20" s="9" t="s">
        <v>27</v>
      </c>
      <c r="Q20" s="9"/>
      <c r="R20" s="9"/>
      <c r="S20" s="14" t="n">
        <f aca="false">Tabella52791124791618202224262830323436384042444648505254565860626468707274767880828486908892949698100102104106108110112114116118120122124126130128132134136138140142144146[[#This Row],[Colonna1]]*$Q3</f>
        <v>6.8</v>
      </c>
      <c r="T20" s="93"/>
      <c r="U20" s="14" t="n">
        <f aca="false">Tabella52791124791618202224262830323436384042444648505254565860626468707274767880828486908892949698100102104106108110112114116118120122124126130128132134136138140142144146[[#This Row],[Colonna3]]*$Q3</f>
        <v>8.8</v>
      </c>
      <c r="V20" s="14" t="n">
        <f aca="false">Tabella52791124791618202224262830323436384042444648505254565860626468707274767880828486908892949698100102104106108110112114116118120122124126130128132134136138140142144146[[#This Row],[Colonna4]]*$Q3</f>
        <v>20</v>
      </c>
      <c r="W20" s="14" t="n">
        <f aca="false">Tabella52791124791618202224262830323436384042444648505254565860626468707274767880828486908892949698100102104106108110112114116118120122124126130128132134136138140142144146[[#This Row],[Colonna5]]*$Q3</f>
        <v>34.4</v>
      </c>
      <c r="X20" s="14" t="n">
        <f aca="false">Tabella52791124791618202224262830323436384042444648505254565860626468707274767880828486908892949698100102104106108110112114116118120122124126130128132134136138140142144146[[#This Row],[Colonna6]]*$Q3</f>
        <v>24.8</v>
      </c>
      <c r="Y20" s="14" t="n">
        <f aca="false">Tabella52791124791618202224262830323436384042444648505254565860626468707274767880828486908892949698100102104106108110112114116118120122124126130128132134136138140142144146[[#This Row],[Colonna7]]*$Q3</f>
        <v>24</v>
      </c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92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93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11</v>
      </c>
      <c r="H22" s="92"/>
      <c r="I22" s="13" t="n">
        <v>24</v>
      </c>
      <c r="J22" s="13" t="n">
        <v>41</v>
      </c>
      <c r="K22" s="13" t="n">
        <v>81</v>
      </c>
      <c r="L22" s="13" t="n">
        <v>38</v>
      </c>
      <c r="M22" s="13" t="n">
        <v>22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Tabella52791124791618202224262830323436384042444648505254565860626468707274767880828486908892949698100102104106108110112114116118120122124126130128132134136138140142144146[[#This Row],[Colonna1]]*$Q3</f>
        <v>4.4</v>
      </c>
      <c r="T22" s="93"/>
      <c r="U22" s="14" t="n">
        <f aca="false">Tabella52791124791618202224262830323436384042444648505254565860626468707274767880828486908892949698100102104106108110112114116118120122124126130128132134136138140142144146[[#This Row],[Colonna3]]*$Q3</f>
        <v>9.6</v>
      </c>
      <c r="V22" s="14" t="n">
        <f aca="false">Tabella52791124791618202224262830323436384042444648505254565860626468707274767880828486908892949698100102104106108110112114116118120122124126130128132134136138140142144146[[#This Row],[Colonna4]]*$Q3</f>
        <v>16.4</v>
      </c>
      <c r="W22" s="14" t="n">
        <f aca="false">Tabella52791124791618202224262830323436384042444648505254565860626468707274767880828486908892949698100102104106108110112114116118120122124126130128132134136138140142144146[[#This Row],[Colonna5]]*$Q3</f>
        <v>32.4</v>
      </c>
      <c r="X22" s="14" t="n">
        <f aca="false">Tabella52791124791618202224262830323436384042444648505254565860626468707274767880828486908892949698100102104106108110112114116118120122124126130128132134136138140142144146[[#This Row],[Colonna6]]*$Q3</f>
        <v>15.2</v>
      </c>
      <c r="Y22" s="14" t="n">
        <f aca="false">Tabella52791124791618202224262830323436384042444648505254565860626468707274767880828486908892949698100102104106108110112114116118120122124126130128132134136138140142144146[[#This Row],[Colonna7]]*$Q3</f>
        <v>8.8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92"/>
      <c r="I23" s="13"/>
      <c r="J23" s="13" t="n">
        <v>3</v>
      </c>
      <c r="K23" s="13" t="n">
        <v>4</v>
      </c>
      <c r="L23" s="13" t="n">
        <v>3</v>
      </c>
      <c r="M23" s="13"/>
      <c r="P23" s="17" t="s">
        <v>30</v>
      </c>
      <c r="Q23" s="17"/>
      <c r="R23" s="17"/>
      <c r="S23" s="14"/>
      <c r="T23" s="93"/>
      <c r="U23" s="14"/>
      <c r="V23" s="14" t="n">
        <f aca="false">Tabella52791124791618202224262830323436384042444648505254565860626468707274767880828486908892949698100102104106108110112114116118120122124126130128132134136138140142144146[[#This Row],[Colonna4]]*$Q3</f>
        <v>1.2</v>
      </c>
      <c r="W23" s="14" t="n">
        <f aca="false">Tabella52791124791618202224262830323436384042444648505254565860626468707274767880828486908892949698100102104106108110112114116118120122124126130128132134136138140142144146[[#This Row],[Colonna5]]*$Q3</f>
        <v>1.6</v>
      </c>
      <c r="X23" s="14" t="n">
        <f aca="false">Tabella52791124791618202224262830323436384042444648505254565860626468707274767880828486908892949698100102104106108110112114116118120122124126130128132134136138140142144146[[#This Row],[Colonna6]]*$Q3</f>
        <v>1.2</v>
      </c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92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93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92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93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92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93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12</v>
      </c>
      <c r="H27" s="92"/>
      <c r="I27" s="13" t="n">
        <v>18</v>
      </c>
      <c r="J27" s="13" t="n">
        <v>67</v>
      </c>
      <c r="K27" s="13" t="n">
        <v>185</v>
      </c>
      <c r="L27" s="13" t="n">
        <v>166</v>
      </c>
      <c r="M27" s="13" t="n">
        <v>73</v>
      </c>
      <c r="P27" s="12" t="s">
        <v>34</v>
      </c>
      <c r="Q27" s="12"/>
      <c r="R27" s="12"/>
      <c r="S27" s="14" t="n">
        <f aca="false">Tabella52791124791618202224262830323436384042444648505254565860626468707274767880828486908892949698100102104106108110112114116118120122124126130128132134136138140142144146[[#This Row],[Colonna1]]*$Q3</f>
        <v>4.8</v>
      </c>
      <c r="T27" s="93"/>
      <c r="U27" s="14" t="n">
        <f aca="false">Tabella52791124791618202224262830323436384042444648505254565860626468707274767880828486908892949698100102104106108110112114116118120122124126130128132134136138140142144146[[#This Row],[Colonna3]]*$Q3</f>
        <v>7.2</v>
      </c>
      <c r="V27" s="14" t="n">
        <f aca="false">Tabella52791124791618202224262830323436384042444648505254565860626468707274767880828486908892949698100102104106108110112114116118120122124126130128132134136138140142144146[[#This Row],[Colonna4]]*$Q3</f>
        <v>26.8</v>
      </c>
      <c r="W27" s="14" t="n">
        <f aca="false">Tabella52791124791618202224262830323436384042444648505254565860626468707274767880828486908892949698100102104106108110112114116118120122124126130128132134136138140142144146[[#This Row],[Colonna5]]*$Q3</f>
        <v>74</v>
      </c>
      <c r="X27" s="14" t="n">
        <f aca="false">Tabella52791124791618202224262830323436384042444648505254565860626468707274767880828486908892949698100102104106108110112114116118120122124126130128132134136138140142144146[[#This Row],[Colonna6]]*$Q3</f>
        <v>66.4</v>
      </c>
      <c r="Y27" s="14" t="n">
        <f aca="false">Tabella52791124791618202224262830323436384042444648505254565860626468707274767880828486908892949698100102104106108110112114116118120122124126130128132134136138140142144146[[#This Row],[Colonna7]]*$Q3</f>
        <v>29.2</v>
      </c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92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93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21</v>
      </c>
      <c r="H29" s="92"/>
      <c r="I29" s="13" t="n">
        <v>35</v>
      </c>
      <c r="J29" s="13" t="n">
        <v>110</v>
      </c>
      <c r="K29" s="13" t="n">
        <v>176</v>
      </c>
      <c r="L29" s="13" t="n">
        <v>123</v>
      </c>
      <c r="M29" s="13" t="n">
        <v>93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Tabella52791124791618202224262830323436384042444648505254565860626468707274767880828486908892949698100102104106108110112114116118120122124126130128132134136138140142144146[[#This Row],[Colonna1]]*$Q3</f>
        <v>8.4</v>
      </c>
      <c r="T29" s="93"/>
      <c r="U29" s="14" t="n">
        <f aca="false">Tabella52791124791618202224262830323436384042444648505254565860626468707274767880828486908892949698100102104106108110112114116118120122124126130128132134136138140142144146[[#This Row],[Colonna3]]*$Q3</f>
        <v>14</v>
      </c>
      <c r="V29" s="14" t="n">
        <f aca="false">Tabella52791124791618202224262830323436384042444648505254565860626468707274767880828486908892949698100102104106108110112114116118120122124126130128132134136138140142144146[[#This Row],[Colonna4]]*$Q3</f>
        <v>44</v>
      </c>
      <c r="W29" s="14" t="n">
        <f aca="false">Tabella52791124791618202224262830323436384042444648505254565860626468707274767880828486908892949698100102104106108110112114116118120122124126130128132134136138140142144146[[#This Row],[Colonna5]]*$Q3</f>
        <v>70.4</v>
      </c>
      <c r="X29" s="14" t="n">
        <f aca="false">Tabella52791124791618202224262830323436384042444648505254565860626468707274767880828486908892949698100102104106108110112114116118120122124126130128132134136138140142144146[[#This Row],[Colonna6]]*$Q3</f>
        <v>49.2</v>
      </c>
      <c r="Y29" s="14" t="n">
        <f aca="false">Tabella52791124791618202224262830323436384042444648505254565860626468707274767880828486908892949698100102104106108110112114116118120122124126130128132134136138140142144146[[#This Row],[Colonna7]]*$Q3</f>
        <v>37.2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92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93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1</v>
      </c>
      <c r="H31" s="92"/>
      <c r="I31" s="13" t="n">
        <v>4</v>
      </c>
      <c r="J31" s="13" t="n">
        <v>7</v>
      </c>
      <c r="K31" s="13" t="n">
        <v>13</v>
      </c>
      <c r="L31" s="13" t="n">
        <v>3</v>
      </c>
      <c r="M31" s="13" t="n">
        <v>1</v>
      </c>
      <c r="P31" s="9" t="s">
        <v>38</v>
      </c>
      <c r="Q31" s="9"/>
      <c r="R31" s="9"/>
      <c r="S31" s="14" t="n">
        <f aca="false">Tabella52791124791618202224262830323436384042444648505254565860626468707274767880828486908892949698100102104106108110112114116118120122124126130128132134136138140142144146[[#This Row],[Colonna1]]*$Q3</f>
        <v>0.4</v>
      </c>
      <c r="T31" s="93"/>
      <c r="U31" s="14" t="n">
        <f aca="false">Tabella52791124791618202224262830323436384042444648505254565860626468707274767880828486908892949698100102104106108110112114116118120122124126130128132134136138140142144146[[#This Row],[Colonna3]]*$Q3</f>
        <v>1.6</v>
      </c>
      <c r="V31" s="14" t="n">
        <f aca="false">Tabella52791124791618202224262830323436384042444648505254565860626468707274767880828486908892949698100102104106108110112114116118120122124126130128132134136138140142144146[[#This Row],[Colonna4]]*$Q3</f>
        <v>2.8</v>
      </c>
      <c r="W31" s="14" t="n">
        <f aca="false">Tabella52791124791618202224262830323436384042444648505254565860626468707274767880828486908892949698100102104106108110112114116118120122124126130128132134136138140142144146[[#This Row],[Colonna5]]*$Q3</f>
        <v>5.2</v>
      </c>
      <c r="X31" s="14" t="n">
        <f aca="false">Tabella52791124791618202224262830323436384042444648505254565860626468707274767880828486908892949698100102104106108110112114116118120122124126130128132134136138140142144146[[#This Row],[Colonna6]]*$Q3</f>
        <v>1.2</v>
      </c>
      <c r="Y31" s="14" t="n">
        <f aca="false">Tabella52791124791618202224262830323436384042444648505254565860626468707274767880828486908892949698100102104106108110112114116118120122124126130128132134136138140142144146[[#This Row],[Colonna7]]*$Q3</f>
        <v>0.4</v>
      </c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92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93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92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93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 t="n">
        <v>4</v>
      </c>
      <c r="H34" s="92"/>
      <c r="I34" s="13" t="n">
        <v>15</v>
      </c>
      <c r="J34" s="13" t="n">
        <v>60</v>
      </c>
      <c r="K34" s="13" t="n">
        <v>87</v>
      </c>
      <c r="L34" s="13" t="n">
        <v>630</v>
      </c>
      <c r="M34" s="13" t="n">
        <v>919</v>
      </c>
      <c r="P34" s="9" t="s">
        <v>41</v>
      </c>
      <c r="Q34" s="9"/>
      <c r="R34" s="9"/>
      <c r="S34" s="14" t="n">
        <f aca="false">Tabella52791124791618202224262830323436384042444648505254565860626468707274767880828486908892949698100102104106108110112114116118120122124126130128132134136138140142144146[[#This Row],[Colonna1]]*$Q3</f>
        <v>1.6</v>
      </c>
      <c r="T34" s="93"/>
      <c r="U34" s="14" t="n">
        <f aca="false">Tabella52791124791618202224262830323436384042444648505254565860626468707274767880828486908892949698100102104106108110112114116118120122124126130128132134136138140142144146[[#This Row],[Colonna3]]*$Q3</f>
        <v>6</v>
      </c>
      <c r="V34" s="14" t="n">
        <f aca="false">Tabella52791124791618202224262830323436384042444648505254565860626468707274767880828486908892949698100102104106108110112114116118120122124126130128132134136138140142144146[[#This Row],[Colonna4]]*$Q3</f>
        <v>24</v>
      </c>
      <c r="W34" s="14" t="n">
        <f aca="false">Tabella52791124791618202224262830323436384042444648505254565860626468707274767880828486908892949698100102104106108110112114116118120122124126130128132134136138140142144146[[#This Row],[Colonna5]]*$Q3</f>
        <v>34.8</v>
      </c>
      <c r="X34" s="14" t="n">
        <f aca="false">Tabella52791124791618202224262830323436384042444648505254565860626468707274767880828486908892949698100102104106108110112114116118120122124126130128132134136138140142144146[[#This Row],[Colonna6]]*$Q3</f>
        <v>252</v>
      </c>
      <c r="Y34" s="14" t="n">
        <f aca="false">Tabella52791124791618202224262830323436384042444648505254565860626468707274767880828486908892949698100102104106108110112114116118120122124126130128132134136138140142144146[[#This Row],[Colonna7]]*$Q3</f>
        <v>367.6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92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93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92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93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92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93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15</v>
      </c>
      <c r="H38" s="92"/>
      <c r="I38" s="13" t="n">
        <v>15</v>
      </c>
      <c r="J38" s="13" t="n">
        <v>32</v>
      </c>
      <c r="K38" s="13" t="n">
        <v>70</v>
      </c>
      <c r="L38" s="13" t="n">
        <v>47</v>
      </c>
      <c r="M38" s="13" t="n">
        <v>28</v>
      </c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Tabella52791124791618202224262830323436384042444648505254565860626468707274767880828486908892949698100102104106108110112114116118120122124126130128132134136138140142144146[[#This Row],[Colonna1]]*$Q3</f>
        <v>6</v>
      </c>
      <c r="T38" s="93"/>
      <c r="U38" s="14" t="n">
        <f aca="false">Tabella52791124791618202224262830323436384042444648505254565860626468707274767880828486908892949698100102104106108110112114116118120122124126130128132134136138140142144146[[#This Row],[Colonna3]]*$Q3</f>
        <v>6</v>
      </c>
      <c r="V38" s="14" t="n">
        <f aca="false">Tabella52791124791618202224262830323436384042444648505254565860626468707274767880828486908892949698100102104106108110112114116118120122124126130128132134136138140142144146[[#This Row],[Colonna4]]*$Q3</f>
        <v>12.8</v>
      </c>
      <c r="W38" s="14" t="n">
        <f aca="false">Tabella52791124791618202224262830323436384042444648505254565860626468707274767880828486908892949698100102104106108110112114116118120122124126130128132134136138140142144146[[#This Row],[Colonna5]]*$Q3</f>
        <v>28</v>
      </c>
      <c r="X38" s="14" t="n">
        <f aca="false">Tabella52791124791618202224262830323436384042444648505254565860626468707274767880828486908892949698100102104106108110112114116118120122124126130128132134136138140142144146[[#This Row],[Colonna6]]*$Q3</f>
        <v>18.8</v>
      </c>
      <c r="Y38" s="14" t="n">
        <f aca="false">Tabella52791124791618202224262830323436384042444648505254565860626468707274767880828486908892949698100102104106108110112114116118120122124126130128132134136138140142144146[[#This Row],[Colonna7]]*$Q3</f>
        <v>11.2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92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93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92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93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92"/>
      <c r="I41" s="13" t="n">
        <v>3</v>
      </c>
      <c r="J41" s="13" t="n">
        <v>1</v>
      </c>
      <c r="K41" s="13" t="n">
        <v>26</v>
      </c>
      <c r="L41" s="13"/>
      <c r="M41" s="13" t="n">
        <v>1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Tabella52791124791618202224262830323436384042444648505254565860626468707274767880828486908892949698100102104106108110112114116118120122124126130128132134136138140142144146[[#This Row],[Colonna1]]*$Q3</f>
        <v>0.4</v>
      </c>
      <c r="T41" s="93"/>
      <c r="U41" s="14" t="n">
        <f aca="false">Tabella52791124791618202224262830323436384042444648505254565860626468707274767880828486908892949698100102104106108110112114116118120122124126130128132134136138140142144146[[#This Row],[Colonna3]]*$Q3</f>
        <v>1.2</v>
      </c>
      <c r="V41" s="14" t="n">
        <f aca="false">Tabella52791124791618202224262830323436384042444648505254565860626468707274767880828486908892949698100102104106108110112114116118120122124126130128132134136138140142144146[[#This Row],[Colonna4]]*$Q3</f>
        <v>0.4</v>
      </c>
      <c r="W41" s="14" t="n">
        <f aca="false">Tabella52791124791618202224262830323436384042444648505254565860626468707274767880828486908892949698100102104106108110112114116118120122124126130128132134136138140142144146[[#This Row],[Colonna5]]*$Q3</f>
        <v>10.4</v>
      </c>
      <c r="X41" s="14"/>
      <c r="Y41" s="14" t="n">
        <f aca="false">Tabella52791124791618202224262830323436384042444648505254565860626468707274767880828486908892949698100102104106108110112114116118120122124126130128132134136138140142144146[[#This Row],[Colonna7]]*$Q3</f>
        <v>0.4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92"/>
      <c r="I42" s="13"/>
      <c r="J42" s="13" t="n">
        <v>2</v>
      </c>
      <c r="K42" s="13"/>
      <c r="L42" s="13" t="n">
        <v>2</v>
      </c>
      <c r="M42" s="13"/>
      <c r="P42" s="9" t="s">
        <v>49</v>
      </c>
      <c r="Q42" s="9"/>
      <c r="R42" s="9"/>
      <c r="S42" s="14"/>
      <c r="T42" s="93"/>
      <c r="U42" s="14"/>
      <c r="V42" s="14" t="n">
        <f aca="false">Tabella52791124791618202224262830323436384042444648505254565860626468707274767880828486908892949698100102104106108110112114116118120122124126130128132134136138140142144146[[#This Row],[Colonna4]]*$Q3</f>
        <v>0.8</v>
      </c>
      <c r="W42" s="14"/>
      <c r="X42" s="14" t="n">
        <f aca="false">Tabella52791124791618202224262830323436384042444648505254565860626468707274767880828486908892949698100102104106108110112114116118120122124126130128132134136138140142144146[[#This Row],[Colonna6]]*$Q3</f>
        <v>0.8</v>
      </c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301</v>
      </c>
      <c r="H43" s="92"/>
      <c r="I43" s="13" t="n">
        <v>532</v>
      </c>
      <c r="J43" s="13" t="n">
        <v>726</v>
      </c>
      <c r="K43" s="13" t="n">
        <v>494</v>
      </c>
      <c r="L43" s="13" t="n">
        <v>131</v>
      </c>
      <c r="M43" s="13" t="n">
        <v>242</v>
      </c>
      <c r="P43" s="18" t="s">
        <v>50</v>
      </c>
      <c r="Q43" s="18"/>
      <c r="R43" s="18"/>
      <c r="S43" s="14" t="n">
        <f aca="false">Tabella52791124791618202224262830323436384042444648505254565860626468707274767880828486908892949698100102104106108110112114116118120122124126130128132134136138140142144146[[#This Row],[Colonna1]]*$Q3</f>
        <v>120.4</v>
      </c>
      <c r="T43" s="93"/>
      <c r="U43" s="14" t="n">
        <f aca="false">Tabella52791124791618202224262830323436384042444648505254565860626468707274767880828486908892949698100102104106108110112114116118120122124126130128132134136138140142144146[[#This Row],[Colonna3]]*$Q3</f>
        <v>212.8</v>
      </c>
      <c r="V43" s="14" t="n">
        <f aca="false">Tabella52791124791618202224262830323436384042444648505254565860626468707274767880828486908892949698100102104106108110112114116118120122124126130128132134136138140142144146[[#This Row],[Colonna4]]*$Q3</f>
        <v>290.4</v>
      </c>
      <c r="W43" s="14" t="n">
        <f aca="false">Tabella52791124791618202224262830323436384042444648505254565860626468707274767880828486908892949698100102104106108110112114116118120122124126130128132134136138140142144146[[#This Row],[Colonna5]]*$Q3</f>
        <v>197.6</v>
      </c>
      <c r="X43" s="14" t="n">
        <f aca="false">Tabella52791124791618202224262830323436384042444648505254565860626468707274767880828486908892949698100102104106108110112114116118120122124126130128132134136138140142144146[[#This Row],[Colonna6]]*$Q3</f>
        <v>52.4</v>
      </c>
      <c r="Y43" s="14" t="n">
        <f aca="false">Tabella52791124791618202224262830323436384042444648505254565860626468707274767880828486908892949698100102104106108110112114116118120122124126130128132134136138140142144146[[#This Row],[Colonna7]]*$Q3</f>
        <v>96.8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12</v>
      </c>
      <c r="H44" s="92"/>
      <c r="I44" s="13" t="n">
        <v>10</v>
      </c>
      <c r="J44" s="13" t="n">
        <v>24</v>
      </c>
      <c r="K44" s="13" t="n">
        <v>30</v>
      </c>
      <c r="L44" s="13" t="n">
        <v>21</v>
      </c>
      <c r="M44" s="13" t="n">
        <v>25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Tabella52791124791618202224262830323436384042444648505254565860626468707274767880828486908892949698100102104106108110112114116118120122124126130128132134136138140142144146[[#This Row],[Colonna1]]*$Q3</f>
        <v>4.8</v>
      </c>
      <c r="T44" s="93"/>
      <c r="U44" s="14" t="n">
        <f aca="false">Tabella52791124791618202224262830323436384042444648505254565860626468707274767880828486908892949698100102104106108110112114116118120122124126130128132134136138140142144146[[#This Row],[Colonna3]]*$Q3</f>
        <v>4</v>
      </c>
      <c r="V44" s="14" t="n">
        <f aca="false">Tabella52791124791618202224262830323436384042444648505254565860626468707274767880828486908892949698100102104106108110112114116118120122124126130128132134136138140142144146[[#This Row],[Colonna4]]*$Q3</f>
        <v>9.6</v>
      </c>
      <c r="W44" s="14" t="n">
        <f aca="false">Tabella52791124791618202224262830323436384042444648505254565860626468707274767880828486908892949698100102104106108110112114116118120122124126130128132134136138140142144146[[#This Row],[Colonna5]]*$Q3</f>
        <v>12</v>
      </c>
      <c r="X44" s="14" t="n">
        <f aca="false">Tabella52791124791618202224262830323436384042444648505254565860626468707274767880828486908892949698100102104106108110112114116118120122124126130128132134136138140142144146[[#This Row],[Colonna6]]*$Q3</f>
        <v>8.4</v>
      </c>
      <c r="Y44" s="14" t="n">
        <f aca="false">Tabella52791124791618202224262830323436384042444648505254565860626468707274767880828486908892949698100102104106108110112114116118120122124126130128132134136138140142144146[[#This Row],[Colonna7]]*$Q3</f>
        <v>10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92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93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92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93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92"/>
      <c r="I47" s="13"/>
      <c r="J47" s="13"/>
      <c r="K47" s="13" t="n">
        <v>5</v>
      </c>
      <c r="L47" s="13" t="n">
        <v>3</v>
      </c>
      <c r="M47" s="13"/>
      <c r="P47" s="16" t="s">
        <v>54</v>
      </c>
      <c r="Q47" s="16"/>
      <c r="R47" s="16"/>
      <c r="S47" s="14"/>
      <c r="T47" s="93"/>
      <c r="U47" s="14"/>
      <c r="V47" s="14"/>
      <c r="W47" s="14" t="n">
        <f aca="false">Tabella52791124791618202224262830323436384042444648505254565860626468707274767880828486908892949698100102104106108110112114116118120122124126130128132134136138140142144146[[#This Row],[Colonna5]]*$Q3</f>
        <v>2</v>
      </c>
      <c r="X47" s="14" t="n">
        <f aca="false">Tabella52791124791618202224262830323436384042444648505254565860626468707274767880828486908892949698100102104106108110112114116118120122124126130128132134136138140142144146[[#This Row],[Colonna6]]*$Q3</f>
        <v>1.2</v>
      </c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92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93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92"/>
      <c r="I49" s="13"/>
      <c r="J49" s="13"/>
      <c r="K49" s="13"/>
      <c r="L49" s="13"/>
      <c r="M49" s="13" t="n">
        <v>1</v>
      </c>
      <c r="P49" s="18" t="s">
        <v>56</v>
      </c>
      <c r="Q49" s="18"/>
      <c r="R49" s="18"/>
      <c r="S49" s="14"/>
      <c r="T49" s="93"/>
      <c r="U49" s="14"/>
      <c r="V49" s="14"/>
      <c r="W49" s="14"/>
      <c r="X49" s="14"/>
      <c r="Y49" s="14" t="n">
        <f aca="false">Tabella52791124791618202224262830323436384042444648505254565860626468707274767880828486908892949698100102104106108110112114116118120122124126130128132134136138140142144146[[#This Row],[Colonna7]]*$Q3</f>
        <v>0.4</v>
      </c>
    </row>
    <row r="50" customFormat="false" ht="15" hidden="false" customHeight="false" outlineLevel="0" collapsed="false">
      <c r="D50" s="9" t="s">
        <v>57</v>
      </c>
      <c r="E50" s="9"/>
      <c r="F50" s="9"/>
      <c r="G50" s="142" t="n">
        <v>1</v>
      </c>
      <c r="H50" s="92"/>
      <c r="I50" s="13"/>
      <c r="J50" s="13"/>
      <c r="K50" s="13" t="n">
        <v>2</v>
      </c>
      <c r="L50" s="13" t="n">
        <v>1</v>
      </c>
      <c r="M50" s="13"/>
      <c r="P50" s="9" t="s">
        <v>57</v>
      </c>
      <c r="Q50" s="9"/>
      <c r="R50" s="9"/>
      <c r="S50" s="14" t="n">
        <f aca="false">Tabella52791124791618202224262830323436384042444648505254565860626468707274767880828486908892949698100102104106108110112114116118120122124126130128132134136138140142144146[[#This Row],[Colonna1]]*$Q3</f>
        <v>0.4</v>
      </c>
      <c r="T50" s="93"/>
      <c r="U50" s="14"/>
      <c r="V50" s="14"/>
      <c r="W50" s="14" t="n">
        <f aca="false">Tabella52791124791618202224262830323436384042444648505254565860626468707274767880828486908892949698100102104106108110112114116118120122124126130128132134136138140142144146[[#This Row],[Colonna5]]*$Q3</f>
        <v>0.8</v>
      </c>
      <c r="X50" s="14" t="n">
        <f aca="false">Tabella52791124791618202224262830323436384042444648505254565860626468707274767880828486908892949698100102104106108110112114116118120122124126130128132134136138140142144146[[#This Row],[Colonna6]]*$Q3</f>
        <v>0.4</v>
      </c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92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93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9</v>
      </c>
      <c r="H52" s="92"/>
      <c r="I52" s="13" t="n">
        <v>10</v>
      </c>
      <c r="J52" s="13" t="n">
        <v>14</v>
      </c>
      <c r="K52" s="13" t="n">
        <v>146</v>
      </c>
      <c r="L52" s="13" t="n">
        <v>1</v>
      </c>
      <c r="M52" s="13" t="n">
        <v>2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Tabella52791124791618202224262830323436384042444648505254565860626468707274767880828486908892949698100102104106108110112114116118120122124126130128132134136138140142144146[[#This Row],[Colonna1]]*$Q3</f>
        <v>3.6</v>
      </c>
      <c r="T52" s="93"/>
      <c r="U52" s="14" t="n">
        <f aca="false">Tabella52791124791618202224262830323436384042444648505254565860626468707274767880828486908892949698100102104106108110112114116118120122124126130128132134136138140142144146[[#This Row],[Colonna3]]*$Q3</f>
        <v>4</v>
      </c>
      <c r="V52" s="14" t="n">
        <f aca="false">Tabella52791124791618202224262830323436384042444648505254565860626468707274767880828486908892949698100102104106108110112114116118120122124126130128132134136138140142144146[[#This Row],[Colonna4]]*$Q3</f>
        <v>5.6</v>
      </c>
      <c r="W52" s="14" t="n">
        <f aca="false">Tabella52791124791618202224262830323436384042444648505254565860626468707274767880828486908892949698100102104106108110112114116118120122124126130128132134136138140142144146[[#This Row],[Colonna5]]*$Q3</f>
        <v>58.4</v>
      </c>
      <c r="X52" s="14" t="n">
        <f aca="false">Tabella52791124791618202224262830323436384042444648505254565860626468707274767880828486908892949698100102104106108110112114116118120122124126130128132134136138140142144146[[#This Row],[Colonna6]]*$Q3</f>
        <v>0.4</v>
      </c>
      <c r="Y52" s="14" t="n">
        <f aca="false">Tabella52791124791618202224262830323436384042444648505254565860626468707274767880828486908892949698100102104106108110112114116118120122124126130128132134136138140142144146[[#This Row],[Colonna7]]*$Q3</f>
        <v>0.8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428</v>
      </c>
      <c r="H53" s="94" t="n">
        <f aca="false">SUM(H6:H52)</f>
        <v>0</v>
      </c>
      <c r="I53" s="55" t="n">
        <f aca="false">SUM(I6:I52)</f>
        <v>706</v>
      </c>
      <c r="J53" s="55" t="n">
        <f aca="false">SUM(J6:J52)</f>
        <v>1185</v>
      </c>
      <c r="K53" s="55" t="n">
        <f aca="false">SUM(K6:K52)</f>
        <v>1461</v>
      </c>
      <c r="L53" s="55" t="n">
        <f aca="false">SUM(L6:L52)</f>
        <v>1288</v>
      </c>
      <c r="M53" s="55" t="n">
        <f aca="false">SUM(M6:M52)</f>
        <v>1504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Tabella52791124791618202224262830323436384042444648505254565860626468707274767880828486908892949698100102104106108110112114116118120122124126130128132134136138140142144146[[#This Row],[Colonna1]]*$Q3</f>
        <v>171.2</v>
      </c>
      <c r="T53" s="95"/>
      <c r="U53" s="56" t="n">
        <f aca="false">Tabella52791124791618202224262830323436384042444648505254565860626468707274767880828486908892949698100102104106108110112114116118120122124126130128132134136138140142144146[[#This Row],[Colonna3]]*$Q3</f>
        <v>282.4</v>
      </c>
      <c r="V53" s="56" t="n">
        <f aca="false">Tabella52791124791618202224262830323436384042444648505254565860626468707274767880828486908892949698100102104106108110112114116118120122124126130128132134136138140142144146[[#This Row],[Colonna4]]*$Q3</f>
        <v>474</v>
      </c>
      <c r="W53" s="56" t="n">
        <f aca="false">Tabella52791124791618202224262830323436384042444648505254565860626468707274767880828486908892949698100102104106108110112114116118120122124126130128132134136138140142144146[[#This Row],[Colonna5]]*$Q3</f>
        <v>584.4</v>
      </c>
      <c r="X53" s="56" t="n">
        <f aca="false">Tabella52791124791618202224262830323436384042444648505254565860626468707274767880828486908892949698100102104106108110112114116118120122124126130128132134136138140142144146[[#This Row],[Colonna6]]*$Q3</f>
        <v>515.2</v>
      </c>
      <c r="Y53" s="56" t="n">
        <f aca="false">Tabella52791124791618202224262830323436384042444648505254565860626468707274767880828486908892949698100102104106108110112114116118120122124126130128132134136138140142144146[[#This Row],[Colonna7]]*$Q3</f>
        <v>601.6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4</v>
      </c>
      <c r="H58" s="96"/>
      <c r="I58" s="26" t="n">
        <v>1</v>
      </c>
      <c r="J58" s="26" t="n">
        <v>9</v>
      </c>
      <c r="K58" s="26" t="n">
        <v>10</v>
      </c>
      <c r="L58" s="26" t="n">
        <v>9</v>
      </c>
      <c r="M58" s="26" t="n">
        <v>5</v>
      </c>
      <c r="P58" s="23" t="s">
        <v>62</v>
      </c>
      <c r="Q58" s="23"/>
      <c r="R58" s="23"/>
      <c r="S58" s="57" t="n">
        <f aca="false">G58*$Q3</f>
        <v>1.6</v>
      </c>
      <c r="T58" s="97"/>
      <c r="U58" s="57" t="n">
        <f aca="false">I58*$Q3</f>
        <v>0.4</v>
      </c>
      <c r="V58" s="57" t="n">
        <f aca="false">J58*$Q3</f>
        <v>3.6</v>
      </c>
      <c r="W58" s="57" t="n">
        <f aca="false">K58*$Q3</f>
        <v>4</v>
      </c>
      <c r="X58" s="57" t="n">
        <f aca="false">L58*$Q3</f>
        <v>3.6</v>
      </c>
      <c r="Y58" s="27" t="n">
        <f aca="false">M58*$Q3</f>
        <v>2</v>
      </c>
    </row>
    <row r="59" customFormat="false" ht="15" hidden="false" customHeight="false" outlineLevel="0" collapsed="false">
      <c r="D59" s="9" t="s">
        <v>63</v>
      </c>
      <c r="E59" s="9"/>
      <c r="F59" s="9"/>
      <c r="H59" s="9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98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9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98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9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98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1</v>
      </c>
      <c r="H62" s="96"/>
      <c r="I62" s="26"/>
      <c r="J62" s="26" t="n">
        <v>2</v>
      </c>
      <c r="K62" s="26" t="n">
        <v>2</v>
      </c>
      <c r="L62" s="26"/>
      <c r="M62" s="26"/>
      <c r="P62" s="9" t="s">
        <v>66</v>
      </c>
      <c r="Q62" s="9"/>
      <c r="R62" s="9"/>
      <c r="S62" s="57" t="n">
        <f aca="false">G62*$Q3</f>
        <v>0.4</v>
      </c>
      <c r="T62" s="97"/>
      <c r="U62" s="57"/>
      <c r="V62" s="57" t="n">
        <f aca="false">J62*$Q3</f>
        <v>0.8</v>
      </c>
      <c r="W62" s="57" t="n">
        <f aca="false">K62*$Q3</f>
        <v>0.8</v>
      </c>
      <c r="X62" s="57"/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143"/>
      <c r="I63" s="13"/>
      <c r="J63" s="26"/>
      <c r="K63" s="26"/>
      <c r="L63" s="26"/>
      <c r="M63" s="26"/>
      <c r="P63" s="9" t="s">
        <v>67</v>
      </c>
      <c r="Q63" s="9"/>
      <c r="R63" s="9"/>
      <c r="S63" s="57"/>
      <c r="T63" s="97"/>
      <c r="U63" s="57"/>
      <c r="V63" s="57"/>
      <c r="W63" s="57"/>
      <c r="X63" s="57"/>
      <c r="Y63" s="57" t="n">
        <f aca="false">M63*$Q3</f>
        <v>0</v>
      </c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96"/>
      <c r="I64" s="26"/>
      <c r="J64" s="26"/>
      <c r="K64" s="26" t="n">
        <v>1</v>
      </c>
      <c r="L64" s="26"/>
      <c r="M64" s="26"/>
      <c r="P64" s="9" t="s">
        <v>68</v>
      </c>
      <c r="Q64" s="9"/>
      <c r="R64" s="9"/>
      <c r="S64" s="57"/>
      <c r="T64" s="97"/>
      <c r="U64" s="57"/>
      <c r="V64" s="57"/>
      <c r="W64" s="57" t="n">
        <f aca="false">K64*$Q3</f>
        <v>0.4</v>
      </c>
      <c r="X64" s="5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7</v>
      </c>
      <c r="H65" s="99"/>
      <c r="I65" s="30"/>
      <c r="J65" s="26" t="n">
        <v>2</v>
      </c>
      <c r="K65" s="26"/>
      <c r="L65" s="26"/>
      <c r="M65" s="26"/>
      <c r="P65" s="9" t="s">
        <v>69</v>
      </c>
      <c r="Q65" s="9"/>
      <c r="R65" s="9"/>
      <c r="S65" s="57" t="n">
        <f aca="false">G65*$Q3</f>
        <v>2.8</v>
      </c>
      <c r="T65" s="97"/>
      <c r="U65" s="57"/>
      <c r="V65" s="57" t="n">
        <f aca="false">J65*$Q3</f>
        <v>0.8</v>
      </c>
      <c r="W65" s="57"/>
      <c r="X65" s="57"/>
      <c r="Y65" s="27" t="n">
        <f aca="false">M65*$Q3</f>
        <v>0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144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98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1</v>
      </c>
      <c r="H67" s="145"/>
      <c r="I67" s="139"/>
      <c r="J67" s="26" t="n">
        <v>2</v>
      </c>
      <c r="K67" s="26" t="n">
        <v>2</v>
      </c>
      <c r="L67" s="26" t="n">
        <v>1</v>
      </c>
      <c r="M67" s="26"/>
      <c r="P67" s="9" t="s">
        <v>71</v>
      </c>
      <c r="Q67" s="9"/>
      <c r="R67" s="9"/>
      <c r="S67" s="57" t="n">
        <f aca="false">G67*$Q3</f>
        <v>0.4</v>
      </c>
      <c r="T67" s="97"/>
      <c r="U67" s="57"/>
      <c r="V67" s="57" t="n">
        <f aca="false">J67*$Q3</f>
        <v>0.8</v>
      </c>
      <c r="W67" s="57" t="n">
        <f aca="false">K67*$Q3</f>
        <v>0.8</v>
      </c>
      <c r="X67" s="57" t="n">
        <f aca="false">L67*$Q3</f>
        <v>0.4</v>
      </c>
      <c r="Y67" s="27"/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</v>
      </c>
      <c r="H68" s="99"/>
      <c r="I68" s="30" t="n">
        <v>1</v>
      </c>
      <c r="J68" s="30" t="n">
        <v>1</v>
      </c>
      <c r="K68" s="30"/>
      <c r="L68" s="30" t="n">
        <v>1</v>
      </c>
      <c r="M68" s="30"/>
      <c r="P68" s="9" t="s">
        <v>72</v>
      </c>
      <c r="Q68" s="9"/>
      <c r="R68" s="9"/>
      <c r="S68" s="57" t="n">
        <f aca="false">G68*$Q3</f>
        <v>0.4</v>
      </c>
      <c r="T68" s="97"/>
      <c r="U68" s="57" t="n">
        <f aca="false">I68*$Q3</f>
        <v>0.4</v>
      </c>
      <c r="V68" s="57" t="n">
        <f aca="false">J68*$Q3</f>
        <v>0.4</v>
      </c>
      <c r="W68" s="57"/>
      <c r="X68" s="57" t="n">
        <f aca="false">L68*$Q3</f>
        <v>0.4</v>
      </c>
      <c r="Y68" s="2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99"/>
      <c r="I69" s="30"/>
      <c r="J69" s="30" t="n">
        <v>4</v>
      </c>
      <c r="K69" s="30" t="n">
        <v>8</v>
      </c>
      <c r="L69" s="30" t="n">
        <v>1</v>
      </c>
      <c r="M69" s="30" t="n">
        <v>2</v>
      </c>
      <c r="P69" s="9" t="s">
        <v>73</v>
      </c>
      <c r="Q69" s="9"/>
      <c r="R69" s="9"/>
      <c r="S69" s="57"/>
      <c r="T69" s="97"/>
      <c r="U69" s="57"/>
      <c r="V69" s="57" t="n">
        <f aca="false">J69*$Q3</f>
        <v>1.6</v>
      </c>
      <c r="W69" s="57" t="n">
        <f aca="false">K69*$Q3</f>
        <v>3.2</v>
      </c>
      <c r="X69" s="57" t="n">
        <f aca="false">L69*$Q3</f>
        <v>0.4</v>
      </c>
      <c r="Y69" s="2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14</v>
      </c>
      <c r="H70" s="101" t="n">
        <f aca="false">SUM(H58:H69)</f>
        <v>0</v>
      </c>
      <c r="I70" s="60" t="n">
        <f aca="false">SUM(I58:I69)</f>
        <v>2</v>
      </c>
      <c r="J70" s="60" t="n">
        <f aca="false">SUM(J58:J69)</f>
        <v>20</v>
      </c>
      <c r="K70" s="60" t="n">
        <f aca="false">SUM(K58:K69)</f>
        <v>23</v>
      </c>
      <c r="L70" s="60" t="n">
        <f aca="false">SUM(L58:L69)</f>
        <v>12</v>
      </c>
      <c r="M70" s="60" t="n">
        <f aca="false">SUM(M58:M69)</f>
        <v>7</v>
      </c>
      <c r="P70" s="9" t="s">
        <v>60</v>
      </c>
      <c r="Q70" s="9"/>
      <c r="R70" s="9"/>
      <c r="S70" s="61" t="n">
        <f aca="false">G70*$Q3</f>
        <v>5.6</v>
      </c>
      <c r="T70" s="102"/>
      <c r="U70" s="61" t="n">
        <f aca="false">I70*$Q3</f>
        <v>0.8</v>
      </c>
      <c r="V70" s="61" t="n">
        <f aca="false">J70*$Q3</f>
        <v>8</v>
      </c>
      <c r="W70" s="61" t="n">
        <f aca="false">K70*$Q3</f>
        <v>9.2</v>
      </c>
      <c r="X70" s="61" t="n">
        <f aca="false">L70*$Q3</f>
        <v>4.8</v>
      </c>
      <c r="Y70" s="32" t="n">
        <f aca="false">M70*$Q3</f>
        <v>2.8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Y83"/>
  <sheetViews>
    <sheetView showFormulas="false" showGridLines="true" showRowColHeaders="true" showZeros="true" rightToLeft="false" tabSelected="false" showOutlineSymbols="true" defaultGridColor="true" view="normal" topLeftCell="C8" colorId="64" zoomScale="100" zoomScaleNormal="100" zoomScalePageLayoutView="100" workbookViewId="0">
      <selection pane="topLeft" activeCell="L67" activeCellId="0" sqref="L67"/>
    </sheetView>
  </sheetViews>
  <sheetFormatPr defaultColWidth="8.6796875" defaultRowHeight="15" customHeight="true" zeroHeight="false" outlineLevelRow="0" outlineLevelCol="0"/>
  <sheetData>
    <row r="1" customFormat="false" ht="8.25" hidden="false" customHeight="true" outlineLevel="0" collapsed="false"/>
    <row r="2" customFormat="false" ht="6.75" hidden="false" customHeight="true" outlineLevel="0" collapsed="false"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customFormat="false" ht="15" hidden="false" customHeight="false" outlineLevel="0" collapsed="false">
      <c r="D3" s="146"/>
      <c r="E3" s="146"/>
      <c r="F3" s="146"/>
      <c r="G3" s="147" t="s">
        <v>0</v>
      </c>
      <c r="H3" s="148" t="s">
        <v>102</v>
      </c>
      <c r="I3" s="147" t="s">
        <v>2</v>
      </c>
      <c r="J3" s="149" t="n">
        <v>45383</v>
      </c>
      <c r="K3" s="150" t="n">
        <v>45389</v>
      </c>
      <c r="L3" s="151" t="s">
        <v>3</v>
      </c>
      <c r="M3" s="148" t="n">
        <v>2024</v>
      </c>
      <c r="N3" s="146"/>
      <c r="O3" s="146"/>
      <c r="P3" s="152" t="s">
        <v>4</v>
      </c>
      <c r="Q3" s="152" t="n">
        <v>0.4</v>
      </c>
      <c r="R3" s="146"/>
      <c r="S3" s="147" t="s">
        <v>0</v>
      </c>
      <c r="T3" s="148" t="s">
        <v>102</v>
      </c>
      <c r="U3" s="147" t="s">
        <v>2</v>
      </c>
      <c r="V3" s="149" t="n">
        <v>45383</v>
      </c>
      <c r="W3" s="150" t="n">
        <v>45389</v>
      </c>
      <c r="X3" s="151" t="s">
        <v>3</v>
      </c>
      <c r="Y3" s="148" t="n">
        <v>2024</v>
      </c>
    </row>
    <row r="4" customFormat="false" ht="15" hidden="false" customHeight="false" outlineLevel="0" collapsed="false"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</row>
    <row r="5" customFormat="false" ht="15" hidden="false" customHeight="false" outlineLevel="0" collapsed="false">
      <c r="D5" s="153" t="s">
        <v>5</v>
      </c>
      <c r="E5" s="153"/>
      <c r="F5" s="153"/>
      <c r="G5" s="154" t="s">
        <v>6</v>
      </c>
      <c r="H5" s="154" t="s">
        <v>7</v>
      </c>
      <c r="I5" s="154" t="s">
        <v>8</v>
      </c>
      <c r="J5" s="154" t="s">
        <v>9</v>
      </c>
      <c r="K5" s="154" t="s">
        <v>10</v>
      </c>
      <c r="L5" s="154" t="s">
        <v>11</v>
      </c>
      <c r="M5" s="154" t="s">
        <v>12</v>
      </c>
      <c r="N5" s="146"/>
      <c r="O5" s="146"/>
      <c r="P5" s="153" t="s">
        <v>5</v>
      </c>
      <c r="Q5" s="153"/>
      <c r="R5" s="153"/>
      <c r="S5" s="154" t="s">
        <v>6</v>
      </c>
      <c r="T5" s="154" t="s">
        <v>7</v>
      </c>
      <c r="U5" s="154" t="s">
        <v>8</v>
      </c>
      <c r="V5" s="154" t="s">
        <v>9</v>
      </c>
      <c r="W5" s="154" t="s">
        <v>10</v>
      </c>
      <c r="X5" s="154" t="s">
        <v>11</v>
      </c>
      <c r="Y5" s="154" t="s">
        <v>12</v>
      </c>
    </row>
    <row r="6" customFormat="false" ht="15" hidden="false" customHeight="false" outlineLevel="0" collapsed="false">
      <c r="D6" s="155" t="s">
        <v>13</v>
      </c>
      <c r="E6" s="155"/>
      <c r="F6" s="155"/>
      <c r="G6" s="154"/>
      <c r="H6" s="154"/>
      <c r="I6" s="154"/>
      <c r="J6" s="154"/>
      <c r="K6" s="154"/>
      <c r="L6" s="154"/>
      <c r="M6" s="154"/>
      <c r="N6" s="146"/>
      <c r="O6" s="146"/>
      <c r="P6" s="155" t="s">
        <v>13</v>
      </c>
      <c r="Q6" s="155"/>
      <c r="R6" s="155"/>
      <c r="S6" s="156"/>
      <c r="T6" s="156"/>
      <c r="U6" s="156"/>
      <c r="V6" s="156"/>
      <c r="W6" s="156"/>
      <c r="X6" s="156"/>
      <c r="Y6" s="156"/>
    </row>
    <row r="7" customFormat="false" ht="15" hidden="false" customHeight="false" outlineLevel="0" collapsed="false">
      <c r="D7" s="157" t="s">
        <v>14</v>
      </c>
      <c r="E7" s="157"/>
      <c r="F7" s="157"/>
      <c r="G7" s="154" t="n">
        <v>46</v>
      </c>
      <c r="H7" s="154" t="n">
        <v>14</v>
      </c>
      <c r="I7" s="154" t="n">
        <v>20</v>
      </c>
      <c r="J7" s="154" t="n">
        <v>13</v>
      </c>
      <c r="K7" s="154" t="n">
        <v>30</v>
      </c>
      <c r="L7" s="154" t="n">
        <v>44</v>
      </c>
      <c r="M7" s="154" t="n">
        <v>112</v>
      </c>
      <c r="N7" s="146"/>
      <c r="O7" s="146"/>
      <c r="P7" s="157" t="s">
        <v>14</v>
      </c>
      <c r="Q7" s="157"/>
      <c r="R7" s="157"/>
      <c r="S7" s="156" t="n">
        <f aca="false">Tabella52791124791618202224262830323436384042444648505254565860626468707274767880828486908892949698100102104106108110112114116118120122124126130128132134136138140142144146148[[#This Row],[Colonna1]]*$Q3</f>
        <v>18.4</v>
      </c>
      <c r="T7" s="156" t="n">
        <f aca="false">Tabella52791124791618202224262830323436384042444648505254565860626468707274767880828486908892949698100102104106108110112114116118120122124126130128132134136138140142144146148[[#This Row],[Colonna2]]*$Q3</f>
        <v>5.6</v>
      </c>
      <c r="U7" s="156" t="n">
        <f aca="false">Tabella52791124791618202224262830323436384042444648505254565860626468707274767880828486908892949698100102104106108110112114116118120122124126130128132134136138140142144146148[[#This Row],[Colonna3]]*$Q3</f>
        <v>8</v>
      </c>
      <c r="V7" s="156" t="n">
        <f aca="false">Tabella52791124791618202224262830323436384042444648505254565860626468707274767880828486908892949698100102104106108110112114116118120122124126130128132134136138140142144146148[[#This Row],[Colonna4]]*$Q3</f>
        <v>5.2</v>
      </c>
      <c r="W7" s="156" t="n">
        <f aca="false">Tabella52791124791618202224262830323436384042444648505254565860626468707274767880828486908892949698100102104106108110112114116118120122124126130128132134136138140142144146148[[#This Row],[Colonna5]]*$Q3</f>
        <v>12</v>
      </c>
      <c r="X7" s="156" t="n">
        <f aca="false">Tabella52791124791618202224262830323436384042444648505254565860626468707274767880828486908892949698100102104106108110112114116118120122124126130128132134136138140142144146148[[#This Row],[Colonna6]]*$Q3</f>
        <v>17.6</v>
      </c>
      <c r="Y7" s="156" t="n">
        <f aca="false">Tabella52791124791618202224262830323436384042444648505254565860626468707274767880828486908892949698100102104106108110112114116118120122124126130128132134136138140142144146148[[#This Row],[Colonna7]]*$Q3</f>
        <v>44.8</v>
      </c>
    </row>
    <row r="8" customFormat="false" ht="15" hidden="false" customHeight="false" outlineLevel="0" collapsed="false">
      <c r="D8" s="157" t="s">
        <v>15</v>
      </c>
      <c r="E8" s="157"/>
      <c r="F8" s="157"/>
      <c r="G8" s="154"/>
      <c r="H8" s="154"/>
      <c r="I8" s="154"/>
      <c r="J8" s="154"/>
      <c r="K8" s="154"/>
      <c r="L8" s="154"/>
      <c r="M8" s="154"/>
      <c r="N8" s="146"/>
      <c r="O8" s="146"/>
      <c r="P8" s="157" t="s">
        <v>15</v>
      </c>
      <c r="Q8" s="157"/>
      <c r="R8" s="157"/>
      <c r="S8" s="156"/>
      <c r="T8" s="156"/>
      <c r="U8" s="156"/>
      <c r="V8" s="156"/>
      <c r="W8" s="156"/>
      <c r="X8" s="156"/>
      <c r="Y8" s="156"/>
    </row>
    <row r="9" customFormat="false" ht="15" hidden="false" customHeight="false" outlineLevel="0" collapsed="false">
      <c r="D9" s="157" t="s">
        <v>16</v>
      </c>
      <c r="E9" s="157"/>
      <c r="F9" s="157"/>
      <c r="G9" s="154"/>
      <c r="H9" s="154"/>
      <c r="I9" s="154"/>
      <c r="J9" s="154"/>
      <c r="K9" s="154"/>
      <c r="L9" s="154"/>
      <c r="M9" s="154"/>
      <c r="N9" s="146"/>
      <c r="O9" s="146"/>
      <c r="P9" s="157" t="s">
        <v>16</v>
      </c>
      <c r="Q9" s="157"/>
      <c r="R9" s="157"/>
      <c r="S9" s="156"/>
      <c r="T9" s="156"/>
      <c r="U9" s="156"/>
      <c r="V9" s="156"/>
      <c r="W9" s="156"/>
      <c r="X9" s="156"/>
      <c r="Y9" s="156"/>
    </row>
    <row r="10" customFormat="false" ht="15" hidden="false" customHeight="false" outlineLevel="0" collapsed="false">
      <c r="D10" s="157" t="s">
        <v>17</v>
      </c>
      <c r="E10" s="157"/>
      <c r="F10" s="157"/>
      <c r="G10" s="154" t="n">
        <v>25</v>
      </c>
      <c r="H10" s="154" t="n">
        <v>90</v>
      </c>
      <c r="I10" s="154" t="n">
        <v>11</v>
      </c>
      <c r="J10" s="154" t="n">
        <v>40</v>
      </c>
      <c r="K10" s="154" t="n">
        <v>18</v>
      </c>
      <c r="L10" s="154" t="n">
        <v>34</v>
      </c>
      <c r="M10" s="154" t="n">
        <v>21</v>
      </c>
      <c r="N10" s="146"/>
      <c r="O10" s="146"/>
      <c r="P10" s="157" t="s">
        <v>17</v>
      </c>
      <c r="Q10" s="157"/>
      <c r="R10" s="157"/>
      <c r="S10" s="156" t="n">
        <f aca="false">Tabella52791124791618202224262830323436384042444648505254565860626468707274767880828486908892949698100102104106108110112114116118120122124126130128132134136138140142144146148[[#This Row],[Colonna1]]*$Q3</f>
        <v>10</v>
      </c>
      <c r="T10" s="156" t="n">
        <f aca="false">Tabella52791124791618202224262830323436384042444648505254565860626468707274767880828486908892949698100102104106108110112114116118120122124126130128132134136138140142144146148[[#This Row],[Colonna2]]*$Q3</f>
        <v>36</v>
      </c>
      <c r="U10" s="156" t="n">
        <f aca="false">Tabella52791124791618202224262830323436384042444648505254565860626468707274767880828486908892949698100102104106108110112114116118120122124126130128132134136138140142144146148[[#This Row],[Colonna3]]*$Q3</f>
        <v>4.4</v>
      </c>
      <c r="V10" s="156" t="n">
        <f aca="false">Tabella52791124791618202224262830323436384042444648505254565860626468707274767880828486908892949698100102104106108110112114116118120122124126130128132134136138140142144146148[[#This Row],[Colonna4]]*$Q3</f>
        <v>16</v>
      </c>
      <c r="W10" s="156" t="n">
        <f aca="false">Tabella52791124791618202224262830323436384042444648505254565860626468707274767880828486908892949698100102104106108110112114116118120122124126130128132134136138140142144146148[[#This Row],[Colonna5]]*$Q3</f>
        <v>7.2</v>
      </c>
      <c r="X10" s="156" t="n">
        <f aca="false">Tabella52791124791618202224262830323436384042444648505254565860626468707274767880828486908892949698100102104106108110112114116118120122124126130128132134136138140142144146148[[#This Row],[Colonna6]]*$Q3</f>
        <v>13.6</v>
      </c>
      <c r="Y10" s="156" t="n">
        <f aca="false">Tabella52791124791618202224262830323436384042444648505254565860626468707274767880828486908892949698100102104106108110112114116118120122124126130128132134136138140142144146148[[#This Row],[Colonna7]]*$Q3</f>
        <v>8.4</v>
      </c>
    </row>
    <row r="11" customFormat="false" ht="15" hidden="false" customHeight="false" outlineLevel="0" collapsed="false">
      <c r="D11" s="155" t="s">
        <v>18</v>
      </c>
      <c r="E11" s="155"/>
      <c r="F11" s="155"/>
      <c r="G11" s="154"/>
      <c r="H11" s="154"/>
      <c r="I11" s="154"/>
      <c r="J11" s="154"/>
      <c r="K11" s="154"/>
      <c r="L11" s="154"/>
      <c r="M11" s="154"/>
      <c r="N11" s="146"/>
      <c r="O11" s="146"/>
      <c r="P11" s="155" t="s">
        <v>18</v>
      </c>
      <c r="Q11" s="155"/>
      <c r="R11" s="155"/>
      <c r="S11" s="156"/>
      <c r="T11" s="156"/>
      <c r="U11" s="156"/>
      <c r="V11" s="156"/>
      <c r="W11" s="156"/>
      <c r="X11" s="156"/>
      <c r="Y11" s="156"/>
    </row>
    <row r="12" customFormat="false" ht="15" hidden="false" customHeight="false" outlineLevel="0" collapsed="false">
      <c r="D12" s="157" t="s">
        <v>19</v>
      </c>
      <c r="E12" s="157"/>
      <c r="F12" s="157"/>
      <c r="G12" s="154"/>
      <c r="H12" s="154"/>
      <c r="I12" s="154"/>
      <c r="J12" s="154"/>
      <c r="K12" s="154"/>
      <c r="L12" s="154"/>
      <c r="M12" s="154"/>
      <c r="N12" s="146"/>
      <c r="O12" s="146"/>
      <c r="P12" s="157" t="s">
        <v>19</v>
      </c>
      <c r="Q12" s="157"/>
      <c r="R12" s="157"/>
      <c r="S12" s="156"/>
      <c r="T12" s="156"/>
      <c r="U12" s="156"/>
      <c r="V12" s="156"/>
      <c r="W12" s="156"/>
      <c r="X12" s="156"/>
      <c r="Y12" s="156"/>
    </row>
    <row r="13" customFormat="false" ht="15" hidden="false" customHeight="false" outlineLevel="0" collapsed="false">
      <c r="D13" s="157" t="s">
        <v>20</v>
      </c>
      <c r="E13" s="157"/>
      <c r="F13" s="157"/>
      <c r="G13" s="154"/>
      <c r="H13" s="154"/>
      <c r="I13" s="154"/>
      <c r="J13" s="154"/>
      <c r="K13" s="154"/>
      <c r="L13" s="154"/>
      <c r="M13" s="154"/>
      <c r="N13" s="146"/>
      <c r="O13" s="146"/>
      <c r="P13" s="157" t="s">
        <v>20</v>
      </c>
      <c r="Q13" s="157"/>
      <c r="R13" s="157"/>
      <c r="S13" s="156"/>
      <c r="T13" s="156"/>
      <c r="U13" s="156"/>
      <c r="V13" s="156"/>
      <c r="W13" s="156"/>
      <c r="X13" s="156"/>
      <c r="Y13" s="156"/>
    </row>
    <row r="14" customFormat="false" ht="15" hidden="false" customHeight="false" outlineLevel="0" collapsed="false">
      <c r="D14" s="157" t="s">
        <v>21</v>
      </c>
      <c r="E14" s="157"/>
      <c r="F14" s="157"/>
      <c r="G14" s="154"/>
      <c r="H14" s="154"/>
      <c r="I14" s="154"/>
      <c r="J14" s="154"/>
      <c r="K14" s="154"/>
      <c r="L14" s="154"/>
      <c r="M14" s="154"/>
      <c r="N14" s="146"/>
      <c r="O14" s="146"/>
      <c r="P14" s="157" t="s">
        <v>21</v>
      </c>
      <c r="Q14" s="157"/>
      <c r="R14" s="157"/>
      <c r="S14" s="156"/>
      <c r="T14" s="156"/>
      <c r="U14" s="156"/>
      <c r="V14" s="156"/>
      <c r="W14" s="156"/>
      <c r="X14" s="156"/>
      <c r="Y14" s="156"/>
    </row>
    <row r="15" customFormat="false" ht="15" hidden="false" customHeight="false" outlineLevel="0" collapsed="false">
      <c r="D15" s="157" t="s">
        <v>22</v>
      </c>
      <c r="E15" s="157"/>
      <c r="F15" s="157"/>
      <c r="G15" s="154"/>
      <c r="H15" s="154"/>
      <c r="I15" s="154"/>
      <c r="J15" s="154"/>
      <c r="K15" s="154"/>
      <c r="L15" s="154"/>
      <c r="M15" s="154"/>
      <c r="N15" s="146"/>
      <c r="O15" s="146"/>
      <c r="P15" s="157" t="s">
        <v>22</v>
      </c>
      <c r="Q15" s="157"/>
      <c r="R15" s="157"/>
      <c r="S15" s="156"/>
      <c r="T15" s="156"/>
      <c r="U15" s="156"/>
      <c r="V15" s="156"/>
      <c r="W15" s="156"/>
      <c r="X15" s="156"/>
      <c r="Y15" s="156"/>
    </row>
    <row r="16" customFormat="false" ht="15" hidden="false" customHeight="false" outlineLevel="0" collapsed="false">
      <c r="D16" s="157" t="s">
        <v>23</v>
      </c>
      <c r="E16" s="157"/>
      <c r="F16" s="157"/>
      <c r="G16" s="154"/>
      <c r="H16" s="154"/>
      <c r="I16" s="154"/>
      <c r="J16" s="154"/>
      <c r="K16" s="154"/>
      <c r="L16" s="154"/>
      <c r="M16" s="154"/>
      <c r="N16" s="146"/>
      <c r="O16" s="146"/>
      <c r="P16" s="157" t="s">
        <v>23</v>
      </c>
      <c r="Q16" s="157"/>
      <c r="R16" s="157"/>
      <c r="S16" s="156"/>
      <c r="T16" s="156"/>
      <c r="U16" s="156"/>
      <c r="V16" s="156"/>
      <c r="W16" s="156"/>
      <c r="X16" s="156"/>
      <c r="Y16" s="156"/>
    </row>
    <row r="17" customFormat="false" ht="15" hidden="false" customHeight="false" outlineLevel="0" collapsed="false">
      <c r="D17" s="158" t="s">
        <v>24</v>
      </c>
      <c r="E17" s="158"/>
      <c r="F17" s="158"/>
      <c r="G17" s="154"/>
      <c r="H17" s="154"/>
      <c r="I17" s="154"/>
      <c r="J17" s="154"/>
      <c r="K17" s="154"/>
      <c r="L17" s="154"/>
      <c r="M17" s="154"/>
      <c r="N17" s="146"/>
      <c r="O17" s="146"/>
      <c r="P17" s="158" t="s">
        <v>24</v>
      </c>
      <c r="Q17" s="158"/>
      <c r="R17" s="158"/>
      <c r="S17" s="156"/>
      <c r="T17" s="156"/>
      <c r="U17" s="156"/>
      <c r="V17" s="156"/>
      <c r="W17" s="156"/>
      <c r="X17" s="156"/>
      <c r="Y17" s="156"/>
    </row>
    <row r="18" customFormat="false" ht="15" hidden="false" customHeight="false" outlineLevel="0" collapsed="false">
      <c r="D18" s="157" t="s">
        <v>25</v>
      </c>
      <c r="E18" s="157"/>
      <c r="F18" s="157"/>
      <c r="G18" s="154"/>
      <c r="H18" s="154"/>
      <c r="I18" s="154"/>
      <c r="J18" s="154"/>
      <c r="K18" s="154"/>
      <c r="L18" s="154"/>
      <c r="M18" s="154"/>
      <c r="N18" s="146"/>
      <c r="O18" s="146"/>
      <c r="P18" s="157" t="s">
        <v>25</v>
      </c>
      <c r="Q18" s="157"/>
      <c r="R18" s="157"/>
      <c r="S18" s="156"/>
      <c r="T18" s="156"/>
      <c r="U18" s="156"/>
      <c r="V18" s="156"/>
      <c r="W18" s="156"/>
      <c r="X18" s="156"/>
      <c r="Y18" s="156"/>
    </row>
    <row r="19" customFormat="false" ht="15" hidden="false" customHeight="false" outlineLevel="0" collapsed="false">
      <c r="D19" s="155" t="s">
        <v>26</v>
      </c>
      <c r="E19" s="155"/>
      <c r="F19" s="155"/>
      <c r="G19" s="154" t="n">
        <v>181</v>
      </c>
      <c r="H19" s="154" t="n">
        <v>42</v>
      </c>
      <c r="I19" s="154" t="n">
        <v>14</v>
      </c>
      <c r="J19" s="154" t="n">
        <v>10</v>
      </c>
      <c r="K19" s="154" t="n">
        <v>11</v>
      </c>
      <c r="L19" s="154" t="n">
        <v>5</v>
      </c>
      <c r="M19" s="154" t="n">
        <v>15</v>
      </c>
      <c r="N19" s="146"/>
      <c r="O19" s="146"/>
      <c r="P19" s="155" t="s">
        <v>26</v>
      </c>
      <c r="Q19" s="155"/>
      <c r="R19" s="155"/>
      <c r="S19" s="156" t="n">
        <f aca="false">Tabella52791124791618202224262830323436384042444648505254565860626468707274767880828486908892949698100102104106108110112114116118120122124126130128132134136138140142144146148[[#This Row],[Colonna1]]*$Q3</f>
        <v>72.4</v>
      </c>
      <c r="T19" s="156" t="n">
        <f aca="false">Tabella52791124791618202224262830323436384042444648505254565860626468707274767880828486908892949698100102104106108110112114116118120122124126130128132134136138140142144146148[[#This Row],[Colonna2]]*$Q3</f>
        <v>16.8</v>
      </c>
      <c r="U19" s="156" t="n">
        <f aca="false">Tabella52791124791618202224262830323436384042444648505254565860626468707274767880828486908892949698100102104106108110112114116118120122124126130128132134136138140142144146148[[#This Row],[Colonna3]]*$Q3</f>
        <v>5.6</v>
      </c>
      <c r="V19" s="156" t="n">
        <f aca="false">Tabella52791124791618202224262830323436384042444648505254565860626468707274767880828486908892949698100102104106108110112114116118120122124126130128132134136138140142144146148[[#This Row],[Colonna4]]*$Q3</f>
        <v>4</v>
      </c>
      <c r="W19" s="156" t="n">
        <f aca="false">Tabella52791124791618202224262830323436384042444648505254565860626468707274767880828486908892949698100102104106108110112114116118120122124126130128132134136138140142144146148[[#This Row],[Colonna5]]*$Q3</f>
        <v>4.4</v>
      </c>
      <c r="X19" s="156" t="n">
        <f aca="false">Tabella52791124791618202224262830323436384042444648505254565860626468707274767880828486908892949698100102104106108110112114116118120122124126130128132134136138140142144146148[[#This Row],[Colonna6]]*$Q3</f>
        <v>2</v>
      </c>
      <c r="Y19" s="156" t="n">
        <f aca="false">Tabella52791124791618202224262830323436384042444648505254565860626468707274767880828486908892949698100102104106108110112114116118120122124126130128132134136138140142144146148[[#This Row],[Colonna7]]*$Q3</f>
        <v>6</v>
      </c>
    </row>
    <row r="20" customFormat="false" ht="15" hidden="false" customHeight="false" outlineLevel="0" collapsed="false">
      <c r="D20" s="155" t="s">
        <v>27</v>
      </c>
      <c r="E20" s="155"/>
      <c r="F20" s="155"/>
      <c r="G20" s="154" t="n">
        <v>178</v>
      </c>
      <c r="H20" s="154" t="n">
        <v>275</v>
      </c>
      <c r="I20" s="154" t="n">
        <v>5</v>
      </c>
      <c r="J20" s="154" t="n">
        <v>46</v>
      </c>
      <c r="K20" s="154" t="n">
        <v>48</v>
      </c>
      <c r="L20" s="154" t="n">
        <v>50</v>
      </c>
      <c r="M20" s="154" t="n">
        <v>76</v>
      </c>
      <c r="N20" s="146"/>
      <c r="O20" s="146"/>
      <c r="P20" s="155" t="s">
        <v>27</v>
      </c>
      <c r="Q20" s="155"/>
      <c r="R20" s="155"/>
      <c r="S20" s="156" t="n">
        <f aca="false">Tabella52791124791618202224262830323436384042444648505254565860626468707274767880828486908892949698100102104106108110112114116118120122124126130128132134136138140142144146148[[#This Row],[Colonna1]]*$Q3</f>
        <v>71.2</v>
      </c>
      <c r="T20" s="156" t="n">
        <f aca="false">Tabella52791124791618202224262830323436384042444648505254565860626468707274767880828486908892949698100102104106108110112114116118120122124126130128132134136138140142144146148[[#This Row],[Colonna2]]*$Q3</f>
        <v>110</v>
      </c>
      <c r="U20" s="156" t="n">
        <f aca="false">Tabella52791124791618202224262830323436384042444648505254565860626468707274767880828486908892949698100102104106108110112114116118120122124126130128132134136138140142144146148[[#This Row],[Colonna3]]*$Q3</f>
        <v>2</v>
      </c>
      <c r="V20" s="156" t="n">
        <f aca="false">Tabella52791124791618202224262830323436384042444648505254565860626468707274767880828486908892949698100102104106108110112114116118120122124126130128132134136138140142144146148[[#This Row],[Colonna4]]*$Q3</f>
        <v>18.4</v>
      </c>
      <c r="W20" s="156" t="n">
        <f aca="false">Tabella52791124791618202224262830323436384042444648505254565860626468707274767880828486908892949698100102104106108110112114116118120122124126130128132134136138140142144146148[[#This Row],[Colonna5]]*$Q3</f>
        <v>19.2</v>
      </c>
      <c r="X20" s="156" t="n">
        <f aca="false">Tabella52791124791618202224262830323436384042444648505254565860626468707274767880828486908892949698100102104106108110112114116118120122124126130128132134136138140142144146148[[#This Row],[Colonna6]]*$Q3</f>
        <v>20</v>
      </c>
      <c r="Y20" s="156" t="n">
        <f aca="false">Tabella52791124791618202224262830323436384042444648505254565860626468707274767880828486908892949698100102104106108110112114116118120122124126130128132134136138140142144146148[[#This Row],[Colonna7]]*$Q3</f>
        <v>30.4</v>
      </c>
    </row>
    <row r="21" customFormat="false" ht="15" hidden="false" customHeight="false" outlineLevel="0" collapsed="false">
      <c r="D21" s="159" t="s">
        <v>28</v>
      </c>
      <c r="E21" s="159"/>
      <c r="F21" s="159"/>
      <c r="G21" s="154"/>
      <c r="H21" s="154"/>
      <c r="I21" s="154"/>
      <c r="J21" s="154"/>
      <c r="K21" s="154"/>
      <c r="L21" s="154"/>
      <c r="M21" s="154"/>
      <c r="N21" s="146"/>
      <c r="O21" s="146"/>
      <c r="P21" s="159" t="s">
        <v>28</v>
      </c>
      <c r="Q21" s="159"/>
      <c r="R21" s="159"/>
      <c r="S21" s="156"/>
      <c r="T21" s="156"/>
      <c r="U21" s="156"/>
      <c r="V21" s="156"/>
      <c r="W21" s="156"/>
      <c r="X21" s="156"/>
      <c r="Y21" s="156"/>
    </row>
    <row r="22" customFormat="false" ht="15" hidden="false" customHeight="false" outlineLevel="0" collapsed="false">
      <c r="D22" s="157" t="s">
        <v>29</v>
      </c>
      <c r="E22" s="157"/>
      <c r="F22" s="157"/>
      <c r="G22" s="154" t="n">
        <v>118</v>
      </c>
      <c r="H22" s="154" t="n">
        <v>357</v>
      </c>
      <c r="I22" s="154" t="n">
        <v>6</v>
      </c>
      <c r="J22" s="154" t="n">
        <v>42</v>
      </c>
      <c r="K22" s="154" t="n">
        <v>44</v>
      </c>
      <c r="L22" s="154" t="n">
        <v>15</v>
      </c>
      <c r="M22" s="154" t="n">
        <v>40</v>
      </c>
      <c r="N22" s="146"/>
      <c r="O22" s="146"/>
      <c r="P22" s="157" t="s">
        <v>29</v>
      </c>
      <c r="Q22" s="157"/>
      <c r="R22" s="157"/>
      <c r="S22" s="156" t="n">
        <f aca="false">Tabella52791124791618202224262830323436384042444648505254565860626468707274767880828486908892949698100102104106108110112114116118120122124126130128132134136138140142144146148[[#This Row],[Colonna1]]*$Q3</f>
        <v>47.2</v>
      </c>
      <c r="T22" s="156" t="n">
        <f aca="false">Tabella52791124791618202224262830323436384042444648505254565860626468707274767880828486908892949698100102104106108110112114116118120122124126130128132134136138140142144146148[[#This Row],[Colonna2]]*$Q3</f>
        <v>142.8</v>
      </c>
      <c r="U22" s="156" t="n">
        <f aca="false">Tabella52791124791618202224262830323436384042444648505254565860626468707274767880828486908892949698100102104106108110112114116118120122124126130128132134136138140142144146148[[#This Row],[Colonna3]]*$Q3</f>
        <v>2.4</v>
      </c>
      <c r="V22" s="156" t="n">
        <f aca="false">Tabella52791124791618202224262830323436384042444648505254565860626468707274767880828486908892949698100102104106108110112114116118120122124126130128132134136138140142144146148[[#This Row],[Colonna4]]*$Q3</f>
        <v>16.8</v>
      </c>
      <c r="W22" s="156" t="n">
        <f aca="false">Tabella52791124791618202224262830323436384042444648505254565860626468707274767880828486908892949698100102104106108110112114116118120122124126130128132134136138140142144146148[[#This Row],[Colonna5]]*$Q3</f>
        <v>17.6</v>
      </c>
      <c r="X22" s="156" t="n">
        <f aca="false">Tabella52791124791618202224262830323436384042444648505254565860626468707274767880828486908892949698100102104106108110112114116118120122124126130128132134136138140142144146148[[#This Row],[Colonna6]]*$Q3</f>
        <v>6</v>
      </c>
      <c r="Y22" s="156" t="n">
        <f aca="false">Tabella52791124791618202224262830323436384042444648505254565860626468707274767880828486908892949698100102104106108110112114116118120122124126130128132134136138140142144146148[[#This Row],[Colonna7]]*$Q3</f>
        <v>16</v>
      </c>
    </row>
    <row r="23" customFormat="false" ht="15" hidden="false" customHeight="false" outlineLevel="0" collapsed="false">
      <c r="D23" s="160" t="s">
        <v>30</v>
      </c>
      <c r="E23" s="160"/>
      <c r="F23" s="160"/>
      <c r="G23" s="154"/>
      <c r="H23" s="154"/>
      <c r="I23" s="154"/>
      <c r="J23" s="154"/>
      <c r="K23" s="154"/>
      <c r="L23" s="154"/>
      <c r="M23" s="154"/>
      <c r="N23" s="146"/>
      <c r="O23" s="146"/>
      <c r="P23" s="160" t="s">
        <v>30</v>
      </c>
      <c r="Q23" s="160"/>
      <c r="R23" s="160"/>
      <c r="S23" s="156"/>
      <c r="T23" s="156"/>
      <c r="U23" s="156"/>
      <c r="V23" s="156"/>
      <c r="W23" s="156"/>
      <c r="X23" s="156"/>
      <c r="Y23" s="156"/>
    </row>
    <row r="24" customFormat="false" ht="15" hidden="false" customHeight="false" outlineLevel="0" collapsed="false">
      <c r="D24" s="155" t="s">
        <v>31</v>
      </c>
      <c r="E24" s="155"/>
      <c r="F24" s="155"/>
      <c r="G24" s="154"/>
      <c r="H24" s="154"/>
      <c r="I24" s="154"/>
      <c r="J24" s="154"/>
      <c r="K24" s="154"/>
      <c r="L24" s="154"/>
      <c r="M24" s="154"/>
      <c r="N24" s="146"/>
      <c r="O24" s="146"/>
      <c r="P24" s="155" t="s">
        <v>31</v>
      </c>
      <c r="Q24" s="155"/>
      <c r="R24" s="155"/>
      <c r="S24" s="156"/>
      <c r="T24" s="156"/>
      <c r="U24" s="156"/>
      <c r="V24" s="156"/>
      <c r="W24" s="156"/>
      <c r="X24" s="156"/>
      <c r="Y24" s="156"/>
    </row>
    <row r="25" customFormat="false" ht="15" hidden="false" customHeight="false" outlineLevel="0" collapsed="false">
      <c r="D25" s="157" t="s">
        <v>32</v>
      </c>
      <c r="E25" s="157"/>
      <c r="F25" s="157"/>
      <c r="G25" s="154"/>
      <c r="H25" s="154"/>
      <c r="I25" s="154"/>
      <c r="J25" s="154"/>
      <c r="K25" s="154"/>
      <c r="L25" s="154"/>
      <c r="M25" s="154"/>
      <c r="N25" s="146"/>
      <c r="O25" s="146"/>
      <c r="P25" s="157" t="s">
        <v>32</v>
      </c>
      <c r="Q25" s="157"/>
      <c r="R25" s="157"/>
      <c r="S25" s="156"/>
      <c r="T25" s="156"/>
      <c r="U25" s="156"/>
      <c r="V25" s="156"/>
      <c r="W25" s="156"/>
      <c r="X25" s="156"/>
      <c r="Y25" s="156"/>
    </row>
    <row r="26" customFormat="false" ht="15" hidden="false" customHeight="false" outlineLevel="0" collapsed="false">
      <c r="D26" s="157" t="s">
        <v>33</v>
      </c>
      <c r="E26" s="157"/>
      <c r="F26" s="157"/>
      <c r="G26" s="154"/>
      <c r="H26" s="154"/>
      <c r="I26" s="154"/>
      <c r="J26" s="154"/>
      <c r="K26" s="154"/>
      <c r="L26" s="154"/>
      <c r="M26" s="154"/>
      <c r="N26" s="146"/>
      <c r="O26" s="146"/>
      <c r="P26" s="157" t="s">
        <v>33</v>
      </c>
      <c r="Q26" s="157"/>
      <c r="R26" s="157"/>
      <c r="S26" s="156"/>
      <c r="T26" s="156"/>
      <c r="U26" s="156"/>
      <c r="V26" s="156"/>
      <c r="W26" s="156"/>
      <c r="X26" s="156"/>
      <c r="Y26" s="156"/>
    </row>
    <row r="27" customFormat="false" ht="15" hidden="false" customHeight="false" outlineLevel="0" collapsed="false">
      <c r="D27" s="157" t="s">
        <v>34</v>
      </c>
      <c r="E27" s="157"/>
      <c r="F27" s="157"/>
      <c r="G27" s="154" t="n">
        <v>196</v>
      </c>
      <c r="H27" s="154" t="n">
        <v>192</v>
      </c>
      <c r="I27" s="154" t="n">
        <v>76</v>
      </c>
      <c r="J27" s="154" t="n">
        <v>51</v>
      </c>
      <c r="K27" s="154" t="n">
        <v>85</v>
      </c>
      <c r="L27" s="154" t="n">
        <v>222</v>
      </c>
      <c r="M27" s="154" t="n">
        <v>134</v>
      </c>
      <c r="N27" s="146"/>
      <c r="O27" s="146"/>
      <c r="P27" s="157" t="s">
        <v>34</v>
      </c>
      <c r="Q27" s="157"/>
      <c r="R27" s="157"/>
      <c r="S27" s="156" t="n">
        <f aca="false">Tabella52791124791618202224262830323436384042444648505254565860626468707274767880828486908892949698100102104106108110112114116118120122124126130128132134136138140142144146148[[#This Row],[Colonna1]]*$Q3</f>
        <v>78.4</v>
      </c>
      <c r="T27" s="156" t="n">
        <f aca="false">Tabella52791124791618202224262830323436384042444648505254565860626468707274767880828486908892949698100102104106108110112114116118120122124126130128132134136138140142144146148[[#This Row],[Colonna2]]*$Q3</f>
        <v>76.8</v>
      </c>
      <c r="U27" s="156" t="n">
        <f aca="false">Tabella52791124791618202224262830323436384042444648505254565860626468707274767880828486908892949698100102104106108110112114116118120122124126130128132134136138140142144146148[[#This Row],[Colonna3]]*$Q3</f>
        <v>30.4</v>
      </c>
      <c r="V27" s="156" t="n">
        <f aca="false">Tabella52791124791618202224262830323436384042444648505254565860626468707274767880828486908892949698100102104106108110112114116118120122124126130128132134136138140142144146148[[#This Row],[Colonna4]]*$Q3</f>
        <v>20.4</v>
      </c>
      <c r="W27" s="156" t="n">
        <f aca="false">Tabella52791124791618202224262830323436384042444648505254565860626468707274767880828486908892949698100102104106108110112114116118120122124126130128132134136138140142144146148[[#This Row],[Colonna5]]*$Q3</f>
        <v>34</v>
      </c>
      <c r="X27" s="156" t="n">
        <f aca="false">Tabella52791124791618202224262830323436384042444648505254565860626468707274767880828486908892949698100102104106108110112114116118120122124126130128132134136138140142144146148[[#This Row],[Colonna6]]*$Q3</f>
        <v>88.8</v>
      </c>
      <c r="Y27" s="156" t="n">
        <f aca="false">Tabella52791124791618202224262830323436384042444648505254565860626468707274767880828486908892949698100102104106108110112114116118120122124126130128132134136138140142144146148[[#This Row],[Colonna7]]*$Q3</f>
        <v>53.6</v>
      </c>
    </row>
    <row r="28" customFormat="false" ht="15" hidden="false" customHeight="false" outlineLevel="0" collapsed="false">
      <c r="D28" s="157" t="s">
        <v>35</v>
      </c>
      <c r="E28" s="157"/>
      <c r="F28" s="157"/>
      <c r="G28" s="154"/>
      <c r="H28" s="154"/>
      <c r="I28" s="154"/>
      <c r="J28" s="154"/>
      <c r="K28" s="154"/>
      <c r="L28" s="154"/>
      <c r="M28" s="154"/>
      <c r="N28" s="146"/>
      <c r="O28" s="146"/>
      <c r="P28" s="157" t="s">
        <v>35</v>
      </c>
      <c r="Q28" s="157"/>
      <c r="R28" s="157"/>
      <c r="S28" s="156"/>
      <c r="T28" s="156"/>
      <c r="U28" s="156"/>
      <c r="V28" s="156"/>
      <c r="W28" s="156"/>
      <c r="X28" s="156"/>
      <c r="Y28" s="156"/>
    </row>
    <row r="29" customFormat="false" ht="15" hidden="false" customHeight="false" outlineLevel="0" collapsed="false">
      <c r="D29" s="157" t="s">
        <v>36</v>
      </c>
      <c r="E29" s="157"/>
      <c r="F29" s="157"/>
      <c r="G29" s="154" t="n">
        <v>163</v>
      </c>
      <c r="H29" s="154" t="n">
        <v>272</v>
      </c>
      <c r="I29" s="154" t="n">
        <v>34</v>
      </c>
      <c r="J29" s="154" t="n">
        <v>40</v>
      </c>
      <c r="K29" s="154" t="n">
        <v>147</v>
      </c>
      <c r="L29" s="154" t="n">
        <v>213</v>
      </c>
      <c r="M29" s="154" t="n">
        <v>227</v>
      </c>
      <c r="N29" s="146"/>
      <c r="O29" s="146"/>
      <c r="P29" s="157" t="s">
        <v>36</v>
      </c>
      <c r="Q29" s="157"/>
      <c r="R29" s="157"/>
      <c r="S29" s="156" t="n">
        <f aca="false">Tabella52791124791618202224262830323436384042444648505254565860626468707274767880828486908892949698100102104106108110112114116118120122124126130128132134136138140142144146148[[#This Row],[Colonna1]]*$Q3</f>
        <v>65.2</v>
      </c>
      <c r="T29" s="156" t="n">
        <f aca="false">Tabella52791124791618202224262830323436384042444648505254565860626468707274767880828486908892949698100102104106108110112114116118120122124126130128132134136138140142144146148[[#This Row],[Colonna2]]*$Q3</f>
        <v>108.8</v>
      </c>
      <c r="U29" s="156" t="n">
        <f aca="false">Tabella52791124791618202224262830323436384042444648505254565860626468707274767880828486908892949698100102104106108110112114116118120122124126130128132134136138140142144146148[[#This Row],[Colonna3]]*$Q3</f>
        <v>13.6</v>
      </c>
      <c r="V29" s="156" t="n">
        <f aca="false">Tabella52791124791618202224262830323436384042444648505254565860626468707274767880828486908892949698100102104106108110112114116118120122124126130128132134136138140142144146148[[#This Row],[Colonna4]]*$Q3</f>
        <v>16</v>
      </c>
      <c r="W29" s="156" t="n">
        <f aca="false">Tabella52791124791618202224262830323436384042444648505254565860626468707274767880828486908892949698100102104106108110112114116118120122124126130128132134136138140142144146148[[#This Row],[Colonna5]]*$Q3</f>
        <v>58.8</v>
      </c>
      <c r="X29" s="156" t="n">
        <f aca="false">Tabella52791124791618202224262830323436384042444648505254565860626468707274767880828486908892949698100102104106108110112114116118120122124126130128132134136138140142144146148[[#This Row],[Colonna6]]*$Q3</f>
        <v>85.2</v>
      </c>
      <c r="Y29" s="156" t="n">
        <f aca="false">Tabella52791124791618202224262830323436384042444648505254565860626468707274767880828486908892949698100102104106108110112114116118120122124126130128132134136138140142144146148[[#This Row],[Colonna7]]*$Q3</f>
        <v>90.8</v>
      </c>
    </row>
    <row r="30" customFormat="false" ht="15" hidden="false" customHeight="false" outlineLevel="0" collapsed="false">
      <c r="D30" s="155" t="s">
        <v>37</v>
      </c>
      <c r="E30" s="155"/>
      <c r="F30" s="155"/>
      <c r="G30" s="154"/>
      <c r="H30" s="154"/>
      <c r="I30" s="154"/>
      <c r="J30" s="154"/>
      <c r="K30" s="154"/>
      <c r="L30" s="154"/>
      <c r="M30" s="154"/>
      <c r="N30" s="146"/>
      <c r="O30" s="146"/>
      <c r="P30" s="155" t="s">
        <v>37</v>
      </c>
      <c r="Q30" s="155"/>
      <c r="R30" s="155"/>
      <c r="S30" s="156"/>
      <c r="T30" s="156"/>
      <c r="U30" s="156"/>
      <c r="V30" s="156"/>
      <c r="W30" s="156"/>
      <c r="X30" s="156"/>
      <c r="Y30" s="156"/>
    </row>
    <row r="31" customFormat="false" ht="15" hidden="false" customHeight="false" outlineLevel="0" collapsed="false">
      <c r="D31" s="155" t="s">
        <v>38</v>
      </c>
      <c r="E31" s="155"/>
      <c r="F31" s="155"/>
      <c r="G31" s="154" t="n">
        <v>16</v>
      </c>
      <c r="H31" s="154" t="n">
        <v>15</v>
      </c>
      <c r="I31" s="154" t="n">
        <v>1</v>
      </c>
      <c r="J31" s="154" t="n">
        <v>12</v>
      </c>
      <c r="K31" s="154" t="n">
        <v>4</v>
      </c>
      <c r="L31" s="154" t="n">
        <v>24</v>
      </c>
      <c r="M31" s="154" t="n">
        <v>22</v>
      </c>
      <c r="N31" s="146"/>
      <c r="O31" s="146"/>
      <c r="P31" s="155" t="s">
        <v>38</v>
      </c>
      <c r="Q31" s="155"/>
      <c r="R31" s="155"/>
      <c r="S31" s="156" t="n">
        <f aca="false">Tabella52791124791618202224262830323436384042444648505254565860626468707274767880828486908892949698100102104106108110112114116118120122124126130128132134136138140142144146148[[#This Row],[Colonna1]]*$Q3</f>
        <v>6.4</v>
      </c>
      <c r="T31" s="156" t="n">
        <f aca="false">Tabella52791124791618202224262830323436384042444648505254565860626468707274767880828486908892949698100102104106108110112114116118120122124126130128132134136138140142144146148[[#This Row],[Colonna2]]*$Q3</f>
        <v>6</v>
      </c>
      <c r="U31" s="156" t="n">
        <f aca="false">Tabella52791124791618202224262830323436384042444648505254565860626468707274767880828486908892949698100102104106108110112114116118120122124126130128132134136138140142144146148[[#This Row],[Colonna3]]*$Q3</f>
        <v>0.4</v>
      </c>
      <c r="V31" s="156" t="n">
        <f aca="false">Tabella52791124791618202224262830323436384042444648505254565860626468707274767880828486908892949698100102104106108110112114116118120122124126130128132134136138140142144146148[[#This Row],[Colonna4]]*$Q3</f>
        <v>4.8</v>
      </c>
      <c r="W31" s="156" t="n">
        <f aca="false">Tabella52791124791618202224262830323436384042444648505254565860626468707274767880828486908892949698100102104106108110112114116118120122124126130128132134136138140142144146148[[#This Row],[Colonna5]]*$Q3</f>
        <v>1.6</v>
      </c>
      <c r="X31" s="156" t="n">
        <f aca="false">Tabella52791124791618202224262830323436384042444648505254565860626468707274767880828486908892949698100102104106108110112114116118120122124126130128132134136138140142144146148[[#This Row],[Colonna6]]*$Q3</f>
        <v>9.6</v>
      </c>
      <c r="Y31" s="156" t="n">
        <f aca="false">Tabella52791124791618202224262830323436384042444648505254565860626468707274767880828486908892949698100102104106108110112114116118120122124126130128132134136138140142144146148[[#This Row],[Colonna7]]*$Q3</f>
        <v>8.8</v>
      </c>
    </row>
    <row r="32" customFormat="false" ht="15" hidden="false" customHeight="false" outlineLevel="0" collapsed="false">
      <c r="D32" s="155" t="s">
        <v>39</v>
      </c>
      <c r="E32" s="155"/>
      <c r="F32" s="155"/>
      <c r="G32" s="154"/>
      <c r="H32" s="154"/>
      <c r="I32" s="154"/>
      <c r="J32" s="154"/>
      <c r="K32" s="154"/>
      <c r="L32" s="154"/>
      <c r="M32" s="154"/>
      <c r="N32" s="146"/>
      <c r="O32" s="146"/>
      <c r="P32" s="155" t="s">
        <v>39</v>
      </c>
      <c r="Q32" s="155"/>
      <c r="R32" s="155"/>
      <c r="S32" s="156"/>
      <c r="T32" s="156"/>
      <c r="U32" s="156"/>
      <c r="V32" s="156"/>
      <c r="W32" s="156"/>
      <c r="X32" s="156"/>
      <c r="Y32" s="156"/>
    </row>
    <row r="33" customFormat="false" ht="15" hidden="false" customHeight="false" outlineLevel="0" collapsed="false">
      <c r="D33" s="155" t="s">
        <v>40</v>
      </c>
      <c r="E33" s="155"/>
      <c r="F33" s="155"/>
      <c r="G33" s="154"/>
      <c r="H33" s="154"/>
      <c r="I33" s="154"/>
      <c r="J33" s="154"/>
      <c r="K33" s="154"/>
      <c r="L33" s="154"/>
      <c r="M33" s="154"/>
      <c r="N33" s="146"/>
      <c r="O33" s="146"/>
      <c r="P33" s="155" t="s">
        <v>40</v>
      </c>
      <c r="Q33" s="155"/>
      <c r="R33" s="155"/>
      <c r="S33" s="156"/>
      <c r="T33" s="156"/>
      <c r="U33" s="156"/>
      <c r="V33" s="156"/>
      <c r="W33" s="156"/>
      <c r="X33" s="156"/>
      <c r="Y33" s="156"/>
    </row>
    <row r="34" customFormat="false" ht="15" hidden="false" customHeight="false" outlineLevel="0" collapsed="false">
      <c r="D34" s="155" t="s">
        <v>41</v>
      </c>
      <c r="E34" s="155"/>
      <c r="F34" s="155"/>
      <c r="G34" s="154" t="n">
        <v>2837</v>
      </c>
      <c r="H34" s="154" t="n">
        <v>2372</v>
      </c>
      <c r="I34" s="154" t="n">
        <v>234</v>
      </c>
      <c r="J34" s="154" t="n">
        <v>2645</v>
      </c>
      <c r="K34" s="154" t="n">
        <v>4152</v>
      </c>
      <c r="L34" s="154" t="n">
        <v>7192</v>
      </c>
      <c r="M34" s="154" t="n">
        <v>8544</v>
      </c>
      <c r="N34" s="146"/>
      <c r="O34" s="146"/>
      <c r="P34" s="155" t="s">
        <v>41</v>
      </c>
      <c r="Q34" s="155"/>
      <c r="R34" s="155"/>
      <c r="S34" s="156" t="n">
        <f aca="false">Tabella52791124791618202224262830323436384042444648505254565860626468707274767880828486908892949698100102104106108110112114116118120122124126130128132134136138140142144146148[[#This Row],[Colonna1]]*$Q3</f>
        <v>1134.8</v>
      </c>
      <c r="T34" s="156" t="n">
        <f aca="false">Tabella52791124791618202224262830323436384042444648505254565860626468707274767880828486908892949698100102104106108110112114116118120122124126130128132134136138140142144146148[[#This Row],[Colonna2]]*$Q3</f>
        <v>948.8</v>
      </c>
      <c r="U34" s="156" t="n">
        <f aca="false">Tabella52791124791618202224262830323436384042444648505254565860626468707274767880828486908892949698100102104106108110112114116118120122124126130128132134136138140142144146148[[#This Row],[Colonna3]]*$Q3</f>
        <v>93.6</v>
      </c>
      <c r="V34" s="156" t="n">
        <f aca="false">Tabella52791124791618202224262830323436384042444648505254565860626468707274767880828486908892949698100102104106108110112114116118120122124126130128132134136138140142144146148[[#This Row],[Colonna4]]*$Q3</f>
        <v>1058</v>
      </c>
      <c r="W34" s="156" t="n">
        <f aca="false">Tabella52791124791618202224262830323436384042444648505254565860626468707274767880828486908892949698100102104106108110112114116118120122124126130128132134136138140142144146148[[#This Row],[Colonna5]]*$Q3</f>
        <v>1660.8</v>
      </c>
      <c r="X34" s="156" t="n">
        <f aca="false">Tabella52791124791618202224262830323436384042444648505254565860626468707274767880828486908892949698100102104106108110112114116118120122124126130128132134136138140142144146148[[#This Row],[Colonna6]]*$Q3</f>
        <v>2876.8</v>
      </c>
      <c r="Y34" s="156" t="n">
        <f aca="false">Tabella52791124791618202224262830323436384042444648505254565860626468707274767880828486908892949698100102104106108110112114116118120122124126130128132134136138140142144146148[[#This Row],[Colonna7]]*$Q3</f>
        <v>3417.6</v>
      </c>
    </row>
    <row r="35" customFormat="false" ht="15" hidden="false" customHeight="false" outlineLevel="0" collapsed="false">
      <c r="D35" s="155" t="s">
        <v>42</v>
      </c>
      <c r="E35" s="155"/>
      <c r="F35" s="155"/>
      <c r="G35" s="154"/>
      <c r="H35" s="154"/>
      <c r="I35" s="154"/>
      <c r="J35" s="154"/>
      <c r="K35" s="154"/>
      <c r="L35" s="154"/>
      <c r="M35" s="154"/>
      <c r="N35" s="146"/>
      <c r="O35" s="146"/>
      <c r="P35" s="155" t="s">
        <v>42</v>
      </c>
      <c r="Q35" s="155"/>
      <c r="R35" s="155"/>
      <c r="S35" s="156"/>
      <c r="T35" s="156"/>
      <c r="U35" s="156"/>
      <c r="V35" s="156"/>
      <c r="W35" s="156"/>
      <c r="X35" s="156"/>
      <c r="Y35" s="156"/>
    </row>
    <row r="36" customFormat="false" ht="15" hidden="false" customHeight="false" outlineLevel="0" collapsed="false">
      <c r="D36" s="159" t="s">
        <v>43</v>
      </c>
      <c r="E36" s="159"/>
      <c r="F36" s="159"/>
      <c r="G36" s="154"/>
      <c r="H36" s="154"/>
      <c r="I36" s="154"/>
      <c r="J36" s="154" t="n">
        <v>1</v>
      </c>
      <c r="K36" s="154"/>
      <c r="L36" s="154"/>
      <c r="M36" s="154"/>
      <c r="N36" s="146"/>
      <c r="O36" s="146"/>
      <c r="P36" s="159" t="s">
        <v>43</v>
      </c>
      <c r="Q36" s="159"/>
      <c r="R36" s="159"/>
      <c r="S36" s="156"/>
      <c r="T36" s="156"/>
      <c r="U36" s="156"/>
      <c r="V36" s="156" t="n">
        <f aca="false">Tabella52791124791618202224262830323436384042444648505254565860626468707274767880828486908892949698100102104106108110112114116118120122124126130128132134136138140142144146148[[#This Row],[Colonna4]]*$Q3</f>
        <v>0.4</v>
      </c>
      <c r="W36" s="156"/>
      <c r="X36" s="156"/>
      <c r="Y36" s="156"/>
    </row>
    <row r="37" customFormat="false" ht="15" hidden="false" customHeight="false" outlineLevel="0" collapsed="false">
      <c r="D37" s="157" t="s">
        <v>44</v>
      </c>
      <c r="E37" s="157"/>
      <c r="F37" s="157"/>
      <c r="G37" s="154"/>
      <c r="H37" s="154"/>
      <c r="I37" s="154"/>
      <c r="J37" s="154"/>
      <c r="K37" s="154"/>
      <c r="L37" s="154"/>
      <c r="M37" s="154"/>
      <c r="N37" s="146"/>
      <c r="O37" s="146"/>
      <c r="P37" s="157" t="s">
        <v>44</v>
      </c>
      <c r="Q37" s="157"/>
      <c r="R37" s="157"/>
      <c r="S37" s="156"/>
      <c r="T37" s="156"/>
      <c r="U37" s="156"/>
      <c r="V37" s="156"/>
      <c r="W37" s="156"/>
      <c r="X37" s="156"/>
      <c r="Y37" s="156"/>
    </row>
    <row r="38" customFormat="false" ht="15" hidden="false" customHeight="false" outlineLevel="0" collapsed="false">
      <c r="D38" s="159" t="s">
        <v>45</v>
      </c>
      <c r="E38" s="159"/>
      <c r="F38" s="159"/>
      <c r="G38" s="154" t="n">
        <v>100</v>
      </c>
      <c r="H38" s="154" t="n">
        <v>61</v>
      </c>
      <c r="I38" s="154" t="n">
        <v>34</v>
      </c>
      <c r="J38" s="154" t="n">
        <v>22</v>
      </c>
      <c r="K38" s="154" t="n">
        <v>36</v>
      </c>
      <c r="L38" s="154" t="n">
        <v>36</v>
      </c>
      <c r="M38" s="154" t="n">
        <v>52</v>
      </c>
      <c r="N38" s="146"/>
      <c r="O38" s="146"/>
      <c r="P38" s="159" t="s">
        <v>45</v>
      </c>
      <c r="Q38" s="159"/>
      <c r="R38" s="159"/>
      <c r="S38" s="156" t="n">
        <f aca="false">Tabella52791124791618202224262830323436384042444648505254565860626468707274767880828486908892949698100102104106108110112114116118120122124126130128132134136138140142144146148[[#This Row],[Colonna1]]*$Q3</f>
        <v>40</v>
      </c>
      <c r="T38" s="156" t="n">
        <f aca="false">Tabella52791124791618202224262830323436384042444648505254565860626468707274767880828486908892949698100102104106108110112114116118120122124126130128132134136138140142144146148[[#This Row],[Colonna2]]*$Q3</f>
        <v>24.4</v>
      </c>
      <c r="U38" s="156" t="n">
        <f aca="false">Tabella52791124791618202224262830323436384042444648505254565860626468707274767880828486908892949698100102104106108110112114116118120122124126130128132134136138140142144146148[[#This Row],[Colonna3]]*$Q3</f>
        <v>13.6</v>
      </c>
      <c r="V38" s="156" t="n">
        <f aca="false">Tabella52791124791618202224262830323436384042444648505254565860626468707274767880828486908892949698100102104106108110112114116118120122124126130128132134136138140142144146148[[#This Row],[Colonna4]]*$Q3</f>
        <v>8.8</v>
      </c>
      <c r="W38" s="156" t="n">
        <f aca="false">Tabella52791124791618202224262830323436384042444648505254565860626468707274767880828486908892949698100102104106108110112114116118120122124126130128132134136138140142144146148[[#This Row],[Colonna5]]*$Q3</f>
        <v>14.4</v>
      </c>
      <c r="X38" s="156" t="n">
        <f aca="false">Tabella52791124791618202224262830323436384042444648505254565860626468707274767880828486908892949698100102104106108110112114116118120122124126130128132134136138140142144146148[[#This Row],[Colonna6]]*$Q3</f>
        <v>14.4</v>
      </c>
      <c r="Y38" s="156" t="n">
        <f aca="false">Tabella52791124791618202224262830323436384042444648505254565860626468707274767880828486908892949698100102104106108110112114116118120122124126130128132134136138140142144146148[[#This Row],[Colonna7]]*$Q3</f>
        <v>20.8</v>
      </c>
    </row>
    <row r="39" customFormat="false" ht="15" hidden="false" customHeight="false" outlineLevel="0" collapsed="false">
      <c r="D39" s="157" t="s">
        <v>46</v>
      </c>
      <c r="E39" s="157"/>
      <c r="F39" s="157"/>
      <c r="G39" s="154"/>
      <c r="H39" s="154"/>
      <c r="I39" s="154"/>
      <c r="J39" s="154"/>
      <c r="K39" s="154"/>
      <c r="L39" s="154"/>
      <c r="M39" s="154"/>
      <c r="N39" s="146"/>
      <c r="O39" s="146"/>
      <c r="P39" s="157" t="s">
        <v>46</v>
      </c>
      <c r="Q39" s="157"/>
      <c r="R39" s="157"/>
      <c r="S39" s="156"/>
      <c r="T39" s="156"/>
      <c r="U39" s="156"/>
      <c r="V39" s="156"/>
      <c r="W39" s="156"/>
      <c r="X39" s="156"/>
      <c r="Y39" s="156"/>
    </row>
    <row r="40" customFormat="false" ht="15" hidden="false" customHeight="false" outlineLevel="0" collapsed="false">
      <c r="D40" s="157" t="s">
        <v>47</v>
      </c>
      <c r="E40" s="157"/>
      <c r="F40" s="157"/>
      <c r="G40" s="154"/>
      <c r="H40" s="154" t="n">
        <v>21</v>
      </c>
      <c r="I40" s="154"/>
      <c r="J40" s="154" t="n">
        <v>7</v>
      </c>
      <c r="K40" s="154"/>
      <c r="L40" s="154" t="n">
        <v>6</v>
      </c>
      <c r="M40" s="154" t="n">
        <v>1</v>
      </c>
      <c r="N40" s="146"/>
      <c r="O40" s="146"/>
      <c r="P40" s="157" t="s">
        <v>47</v>
      </c>
      <c r="Q40" s="157"/>
      <c r="R40" s="157"/>
      <c r="S40" s="156"/>
      <c r="T40" s="156" t="n">
        <f aca="false">Tabella52791124791618202224262830323436384042444648505254565860626468707274767880828486908892949698100102104106108110112114116118120122124126130128132134136138140142144146148[[#This Row],[Colonna2]]*$Q3</f>
        <v>8.4</v>
      </c>
      <c r="U40" s="156"/>
      <c r="V40" s="156" t="n">
        <f aca="false">Tabella52791124791618202224262830323436384042444648505254565860626468707274767880828486908892949698100102104106108110112114116118120122124126130128132134136138140142144146148[[#This Row],[Colonna4]]*$Q3</f>
        <v>2.8</v>
      </c>
      <c r="W40" s="156"/>
      <c r="X40" s="156" t="n">
        <f aca="false">Tabella52791124791618202224262830323436384042444648505254565860626468707274767880828486908892949698100102104106108110112114116118120122124126130128132134136138140142144146148[[#This Row],[Colonna6]]*$Q3</f>
        <v>2.4</v>
      </c>
      <c r="Y40" s="156" t="n">
        <f aca="false">Tabella52791124791618202224262830323436384042444648505254565860626468707274767880828486908892949698100102104106108110112114116118120122124126130128132134136138140142144146148[[#This Row],[Colonna7]]*$Q3</f>
        <v>0.4</v>
      </c>
    </row>
    <row r="41" customFormat="false" ht="15" hidden="false" customHeight="false" outlineLevel="0" collapsed="false">
      <c r="D41" s="161" t="s">
        <v>48</v>
      </c>
      <c r="E41" s="161"/>
      <c r="F41" s="161"/>
      <c r="G41" s="154" t="n">
        <v>4</v>
      </c>
      <c r="H41" s="154" t="n">
        <v>7</v>
      </c>
      <c r="I41" s="154"/>
      <c r="J41" s="154"/>
      <c r="K41" s="154"/>
      <c r="L41" s="154" t="n">
        <v>3</v>
      </c>
      <c r="M41" s="154" t="n">
        <v>1</v>
      </c>
      <c r="N41" s="146"/>
      <c r="O41" s="146"/>
      <c r="P41" s="161" t="s">
        <v>48</v>
      </c>
      <c r="Q41" s="161"/>
      <c r="R41" s="161"/>
      <c r="S41" s="156" t="n">
        <f aca="false">Tabella52791124791618202224262830323436384042444648505254565860626468707274767880828486908892949698100102104106108110112114116118120122124126130128132134136138140142144146148[[#This Row],[Colonna1]]*$Q3</f>
        <v>1.6</v>
      </c>
      <c r="T41" s="156" t="n">
        <f aca="false">Tabella52791124791618202224262830323436384042444648505254565860626468707274767880828486908892949698100102104106108110112114116118120122124126130128132134136138140142144146148[[#This Row],[Colonna2]]*$Q3</f>
        <v>2.8</v>
      </c>
      <c r="U41" s="156"/>
      <c r="V41" s="156"/>
      <c r="W41" s="156"/>
      <c r="X41" s="156"/>
      <c r="Y41" s="156" t="n">
        <f aca="false">Tabella52791124791618202224262830323436384042444648505254565860626468707274767880828486908892949698100102104106108110112114116118120122124126130128132134136138140142144146148[[#This Row],[Colonna7]]*$Q3</f>
        <v>0.4</v>
      </c>
    </row>
    <row r="42" customFormat="false" ht="15" hidden="false" customHeight="false" outlineLevel="0" collapsed="false">
      <c r="D42" s="155" t="s">
        <v>49</v>
      </c>
      <c r="E42" s="155"/>
      <c r="F42" s="155"/>
      <c r="G42" s="154"/>
      <c r="H42" s="154"/>
      <c r="I42" s="154"/>
      <c r="J42" s="154" t="n">
        <v>1</v>
      </c>
      <c r="K42" s="154"/>
      <c r="L42" s="154"/>
      <c r="M42" s="154"/>
      <c r="N42" s="146"/>
      <c r="O42" s="146"/>
      <c r="P42" s="155" t="s">
        <v>49</v>
      </c>
      <c r="Q42" s="155"/>
      <c r="R42" s="155"/>
      <c r="S42" s="156"/>
      <c r="T42" s="156"/>
      <c r="U42" s="156"/>
      <c r="V42" s="156" t="n">
        <f aca="false">Tabella52791124791618202224262830323436384042444648505254565860626468707274767880828486908892949698100102104106108110112114116118120122124126130128132134136138140142144146148[[#This Row],[Colonna4]]*$Q3</f>
        <v>0.4</v>
      </c>
      <c r="W42" s="156"/>
      <c r="X42" s="156"/>
      <c r="Y42" s="156"/>
    </row>
    <row r="43" customFormat="false" ht="15" hidden="false" customHeight="false" outlineLevel="0" collapsed="false">
      <c r="D43" s="161" t="s">
        <v>50</v>
      </c>
      <c r="E43" s="161"/>
      <c r="F43" s="161"/>
      <c r="G43" s="154" t="n">
        <v>1168</v>
      </c>
      <c r="H43" s="154" t="n">
        <v>1215</v>
      </c>
      <c r="I43" s="154" t="n">
        <v>157</v>
      </c>
      <c r="J43" s="154" t="n">
        <v>225</v>
      </c>
      <c r="K43" s="154" t="n">
        <v>270</v>
      </c>
      <c r="L43" s="154" t="n">
        <v>850</v>
      </c>
      <c r="M43" s="154" t="n">
        <v>686</v>
      </c>
      <c r="N43" s="146"/>
      <c r="O43" s="146"/>
      <c r="P43" s="161" t="s">
        <v>50</v>
      </c>
      <c r="Q43" s="161"/>
      <c r="R43" s="161"/>
      <c r="S43" s="156" t="n">
        <f aca="false">Tabella52791124791618202224262830323436384042444648505254565860626468707274767880828486908892949698100102104106108110112114116118120122124126130128132134136138140142144146148[[#This Row],[Colonna1]]*$Q3</f>
        <v>467.2</v>
      </c>
      <c r="T43" s="156" t="n">
        <f aca="false">Tabella52791124791618202224262830323436384042444648505254565860626468707274767880828486908892949698100102104106108110112114116118120122124126130128132134136138140142144146148[[#This Row],[Colonna2]]*$Q3</f>
        <v>486</v>
      </c>
      <c r="U43" s="156" t="n">
        <f aca="false">Tabella52791124791618202224262830323436384042444648505254565860626468707274767880828486908892949698100102104106108110112114116118120122124126130128132134136138140142144146148[[#This Row],[Colonna3]]*$Q3</f>
        <v>62.8</v>
      </c>
      <c r="V43" s="156" t="n">
        <f aca="false">Tabella52791124791618202224262830323436384042444648505254565860626468707274767880828486908892949698100102104106108110112114116118120122124126130128132134136138140142144146148[[#This Row],[Colonna4]]*$Q3</f>
        <v>90</v>
      </c>
      <c r="W43" s="156" t="n">
        <f aca="false">Tabella52791124791618202224262830323436384042444648505254565860626468707274767880828486908892949698100102104106108110112114116118120122124126130128132134136138140142144146148[[#This Row],[Colonna5]]*$Q3</f>
        <v>108</v>
      </c>
      <c r="X43" s="156" t="n">
        <f aca="false">Tabella52791124791618202224262830323436384042444648505254565860626468707274767880828486908892949698100102104106108110112114116118120122124126130128132134136138140142144146148[[#This Row],[Colonna6]]*$Q3</f>
        <v>340</v>
      </c>
      <c r="Y43" s="156" t="n">
        <f aca="false">Tabella52791124791618202224262830323436384042444648505254565860626468707274767880828486908892949698100102104106108110112114116118120122124126130128132134136138140142144146148[[#This Row],[Colonna7]]*$Q3</f>
        <v>274.4</v>
      </c>
    </row>
    <row r="44" customFormat="false" ht="15" hidden="false" customHeight="false" outlineLevel="0" collapsed="false">
      <c r="D44" s="157" t="s">
        <v>51</v>
      </c>
      <c r="E44" s="157"/>
      <c r="F44" s="157"/>
      <c r="G44" s="154" t="n">
        <v>32</v>
      </c>
      <c r="H44" s="154" t="n">
        <v>14</v>
      </c>
      <c r="I44" s="154" t="n">
        <v>13</v>
      </c>
      <c r="J44" s="154" t="n">
        <v>19</v>
      </c>
      <c r="K44" s="154"/>
      <c r="L44" s="154" t="n">
        <v>57</v>
      </c>
      <c r="M44" s="154" t="n">
        <v>25</v>
      </c>
      <c r="N44" s="146"/>
      <c r="O44" s="146"/>
      <c r="P44" s="157" t="s">
        <v>51</v>
      </c>
      <c r="Q44" s="157"/>
      <c r="R44" s="157"/>
      <c r="S44" s="156" t="n">
        <f aca="false">Tabella52791124791618202224262830323436384042444648505254565860626468707274767880828486908892949698100102104106108110112114116118120122124126130128132134136138140142144146148[[#This Row],[Colonna1]]*$Q3</f>
        <v>12.8</v>
      </c>
      <c r="T44" s="156" t="n">
        <f aca="false">Tabella52791124791618202224262830323436384042444648505254565860626468707274767880828486908892949698100102104106108110112114116118120122124126130128132134136138140142144146148[[#This Row],[Colonna2]]*$Q3</f>
        <v>5.6</v>
      </c>
      <c r="U44" s="156" t="n">
        <f aca="false">Tabella52791124791618202224262830323436384042444648505254565860626468707274767880828486908892949698100102104106108110112114116118120122124126130128132134136138140142144146148[[#This Row],[Colonna3]]*$Q3</f>
        <v>5.2</v>
      </c>
      <c r="V44" s="156" t="n">
        <f aca="false">Tabella52791124791618202224262830323436384042444648505254565860626468707274767880828486908892949698100102104106108110112114116118120122124126130128132134136138140142144146148[[#This Row],[Colonna4]]*$Q3</f>
        <v>7.6</v>
      </c>
      <c r="W44" s="156"/>
      <c r="X44" s="156" t="n">
        <f aca="false">Tabella52791124791618202224262830323436384042444648505254565860626468707274767880828486908892949698100102104106108110112114116118120122124126130128132134136138140142144146148[[#This Row],[Colonna6]]*$Q3</f>
        <v>22.8</v>
      </c>
      <c r="Y44" s="156" t="n">
        <f aca="false">Tabella52791124791618202224262830323436384042444648505254565860626468707274767880828486908892949698100102104106108110112114116118120122124126130128132134136138140142144146148[[#This Row],[Colonna7]]*$Q3</f>
        <v>10</v>
      </c>
    </row>
    <row r="45" customFormat="false" ht="15" hidden="false" customHeight="false" outlineLevel="0" collapsed="false">
      <c r="D45" s="161" t="s">
        <v>52</v>
      </c>
      <c r="E45" s="161"/>
      <c r="F45" s="161"/>
      <c r="G45" s="154"/>
      <c r="H45" s="154"/>
      <c r="I45" s="154"/>
      <c r="J45" s="154"/>
      <c r="K45" s="154"/>
      <c r="L45" s="154"/>
      <c r="M45" s="154"/>
      <c r="N45" s="146"/>
      <c r="O45" s="146"/>
      <c r="P45" s="161" t="s">
        <v>52</v>
      </c>
      <c r="Q45" s="161"/>
      <c r="R45" s="161"/>
      <c r="S45" s="156"/>
      <c r="T45" s="156"/>
      <c r="U45" s="156"/>
      <c r="V45" s="156"/>
      <c r="W45" s="156"/>
      <c r="X45" s="156"/>
      <c r="Y45" s="156"/>
    </row>
    <row r="46" customFormat="false" ht="15" hidden="false" customHeight="false" outlineLevel="0" collapsed="false">
      <c r="D46" s="157" t="s">
        <v>53</v>
      </c>
      <c r="E46" s="157"/>
      <c r="F46" s="157"/>
      <c r="G46" s="154"/>
      <c r="H46" s="154"/>
      <c r="I46" s="154"/>
      <c r="J46" s="154"/>
      <c r="K46" s="154"/>
      <c r="L46" s="154"/>
      <c r="M46" s="154"/>
      <c r="N46" s="146"/>
      <c r="O46" s="146"/>
      <c r="P46" s="157" t="s">
        <v>53</v>
      </c>
      <c r="Q46" s="157"/>
      <c r="R46" s="157"/>
      <c r="S46" s="156"/>
      <c r="T46" s="156"/>
      <c r="U46" s="156"/>
      <c r="V46" s="156"/>
      <c r="W46" s="156"/>
      <c r="X46" s="156"/>
      <c r="Y46" s="156"/>
    </row>
    <row r="47" customFormat="false" ht="15" hidden="false" customHeight="false" outlineLevel="0" collapsed="false">
      <c r="D47" s="159" t="s">
        <v>54</v>
      </c>
      <c r="E47" s="159"/>
      <c r="F47" s="159"/>
      <c r="G47" s="154"/>
      <c r="H47" s="154"/>
      <c r="I47" s="154"/>
      <c r="J47" s="154"/>
      <c r="K47" s="154"/>
      <c r="L47" s="154"/>
      <c r="M47" s="154"/>
      <c r="N47" s="146"/>
      <c r="O47" s="146"/>
      <c r="P47" s="159" t="s">
        <v>54</v>
      </c>
      <c r="Q47" s="159"/>
      <c r="R47" s="159"/>
      <c r="S47" s="156"/>
      <c r="T47" s="156"/>
      <c r="U47" s="156"/>
      <c r="V47" s="156"/>
      <c r="W47" s="156"/>
      <c r="X47" s="156"/>
      <c r="Y47" s="156"/>
    </row>
    <row r="48" customFormat="false" ht="15" hidden="false" customHeight="false" outlineLevel="0" collapsed="false">
      <c r="D48" s="157" t="s">
        <v>55</v>
      </c>
      <c r="E48" s="157"/>
      <c r="F48" s="157"/>
      <c r="G48" s="154"/>
      <c r="H48" s="154"/>
      <c r="I48" s="154"/>
      <c r="J48" s="154"/>
      <c r="K48" s="154"/>
      <c r="L48" s="154"/>
      <c r="M48" s="154"/>
      <c r="N48" s="146"/>
      <c r="O48" s="146"/>
      <c r="P48" s="157" t="s">
        <v>55</v>
      </c>
      <c r="Q48" s="157"/>
      <c r="R48" s="157"/>
      <c r="S48" s="156"/>
      <c r="T48" s="156"/>
      <c r="U48" s="156"/>
      <c r="V48" s="156"/>
      <c r="W48" s="156"/>
      <c r="X48" s="156"/>
      <c r="Y48" s="156"/>
    </row>
    <row r="49" customFormat="false" ht="15" hidden="false" customHeight="false" outlineLevel="0" collapsed="false">
      <c r="D49" s="161" t="s">
        <v>56</v>
      </c>
      <c r="E49" s="161"/>
      <c r="F49" s="161"/>
      <c r="G49" s="154"/>
      <c r="H49" s="154"/>
      <c r="I49" s="154"/>
      <c r="J49" s="154" t="n">
        <v>1</v>
      </c>
      <c r="K49" s="154"/>
      <c r="L49" s="154"/>
      <c r="M49" s="154"/>
      <c r="N49" s="146"/>
      <c r="O49" s="146"/>
      <c r="P49" s="161" t="s">
        <v>56</v>
      </c>
      <c r="Q49" s="161"/>
      <c r="R49" s="161"/>
      <c r="S49" s="156"/>
      <c r="T49" s="156"/>
      <c r="U49" s="156"/>
      <c r="V49" s="156" t="n">
        <f aca="false">Tabella52791124791618202224262830323436384042444648505254565860626468707274767880828486908892949698100102104106108110112114116118120122124126130128132134136138140142144146148[[#This Row],[Colonna4]]*$Q3</f>
        <v>0.4</v>
      </c>
      <c r="W49" s="156"/>
      <c r="X49" s="156"/>
      <c r="Y49" s="156"/>
    </row>
    <row r="50" customFormat="false" ht="15" hidden="false" customHeight="false" outlineLevel="0" collapsed="false">
      <c r="D50" s="155" t="s">
        <v>57</v>
      </c>
      <c r="E50" s="155"/>
      <c r="F50" s="155"/>
      <c r="G50" s="154"/>
      <c r="H50" s="154"/>
      <c r="I50" s="154"/>
      <c r="J50" s="154"/>
      <c r="K50" s="154"/>
      <c r="L50" s="154"/>
      <c r="M50" s="154"/>
      <c r="N50" s="146"/>
      <c r="O50" s="146"/>
      <c r="P50" s="155" t="s">
        <v>57</v>
      </c>
      <c r="Q50" s="155"/>
      <c r="R50" s="155"/>
      <c r="S50" s="156"/>
      <c r="T50" s="156"/>
      <c r="U50" s="156"/>
      <c r="V50" s="156"/>
      <c r="W50" s="156"/>
      <c r="X50" s="156"/>
      <c r="Y50" s="156"/>
    </row>
    <row r="51" customFormat="false" ht="15" hidden="false" customHeight="false" outlineLevel="0" collapsed="false">
      <c r="D51" s="161" t="s">
        <v>58</v>
      </c>
      <c r="E51" s="161"/>
      <c r="F51" s="161"/>
      <c r="G51" s="154"/>
      <c r="H51" s="154"/>
      <c r="I51" s="154"/>
      <c r="J51" s="154"/>
      <c r="K51" s="154"/>
      <c r="L51" s="154"/>
      <c r="M51" s="154"/>
      <c r="N51" s="146"/>
      <c r="O51" s="146"/>
      <c r="P51" s="161" t="s">
        <v>58</v>
      </c>
      <c r="Q51" s="161"/>
      <c r="R51" s="161"/>
      <c r="S51" s="156"/>
      <c r="T51" s="156"/>
      <c r="U51" s="156"/>
      <c r="V51" s="156"/>
      <c r="W51" s="156"/>
      <c r="X51" s="156"/>
      <c r="Y51" s="156"/>
    </row>
    <row r="52" customFormat="false" ht="15" hidden="false" customHeight="false" outlineLevel="0" collapsed="false">
      <c r="D52" s="157" t="s">
        <v>59</v>
      </c>
      <c r="E52" s="157"/>
      <c r="F52" s="157"/>
      <c r="G52" s="154"/>
      <c r="H52" s="154"/>
      <c r="I52" s="154"/>
      <c r="J52" s="154" t="n">
        <v>1</v>
      </c>
      <c r="K52" s="154"/>
      <c r="L52" s="154"/>
      <c r="M52" s="154"/>
      <c r="N52" s="146"/>
      <c r="O52" s="146"/>
      <c r="P52" s="157" t="s">
        <v>59</v>
      </c>
      <c r="Q52" s="157"/>
      <c r="R52" s="157"/>
      <c r="S52" s="156"/>
      <c r="T52" s="156"/>
      <c r="U52" s="156"/>
      <c r="V52" s="156" t="n">
        <f aca="false">Tabella52791124791618202224262830323436384042444648505254565860626468707274767880828486908892949698100102104106108110112114116118120122124126130128132134136138140142144146148[[#This Row],[Colonna4]]*$Q3</f>
        <v>0.4</v>
      </c>
      <c r="W52" s="156"/>
      <c r="X52" s="156"/>
      <c r="Y52" s="156"/>
    </row>
    <row r="53" customFormat="false" ht="15" hidden="false" customHeight="false" outlineLevel="0" collapsed="false">
      <c r="D53" s="160" t="s">
        <v>60</v>
      </c>
      <c r="E53" s="160"/>
      <c r="F53" s="160"/>
      <c r="G53" s="162" t="n">
        <f aca="false">SUM(G6:G52)</f>
        <v>5064</v>
      </c>
      <c r="H53" s="162" t="n">
        <f aca="false">SUM(H6:H52)</f>
        <v>4947</v>
      </c>
      <c r="I53" s="162" t="n">
        <f aca="false">SUM(I6:I52)</f>
        <v>605</v>
      </c>
      <c r="J53" s="162" t="n">
        <f aca="false">SUM(J6:J52)</f>
        <v>3176</v>
      </c>
      <c r="K53" s="162" t="n">
        <f aca="false">SUM(K6:K52)</f>
        <v>4845</v>
      </c>
      <c r="L53" s="162" t="n">
        <f aca="false">SUM(L6:L52)</f>
        <v>8751</v>
      </c>
      <c r="M53" s="162" t="n">
        <f aca="false">SUM(M6:M52)</f>
        <v>9956</v>
      </c>
      <c r="N53" s="146"/>
      <c r="O53" s="146"/>
      <c r="P53" s="160" t="s">
        <v>60</v>
      </c>
      <c r="Q53" s="160"/>
      <c r="R53" s="160"/>
      <c r="S53" s="163" t="n">
        <f aca="false">Tabella52791124791618202224262830323436384042444648505254565860626468707274767880828486908892949698100102104106108110112114116118120122124126130128132134136138140142144146148[[#This Row],[Colonna1]]*$Q3</f>
        <v>2025.6</v>
      </c>
      <c r="T53" s="163" t="n">
        <f aca="false">Tabella52791124791618202224262830323436384042444648505254565860626468707274767880828486908892949698100102104106108110112114116118120122124126130128132134136138140142144146148[[#This Row],[Colonna2]]*$Q3</f>
        <v>1978.8</v>
      </c>
      <c r="U53" s="163" t="n">
        <f aca="false">Tabella52791124791618202224262830323436384042444648505254565860626468707274767880828486908892949698100102104106108110112114116118120122124126130128132134136138140142144146148[[#This Row],[Colonna3]]*$Q3</f>
        <v>242</v>
      </c>
      <c r="V53" s="163" t="n">
        <f aca="false">Tabella52791124791618202224262830323436384042444648505254565860626468707274767880828486908892949698100102104106108110112114116118120122124126130128132134136138140142144146148[[#This Row],[Colonna4]]*$Q3</f>
        <v>1270.4</v>
      </c>
      <c r="W53" s="163" t="n">
        <f aca="false">Tabella52791124791618202224262830323436384042444648505254565860626468707274767880828486908892949698100102104106108110112114116118120122124126130128132134136138140142144146148[[#This Row],[Colonna5]]*$Q3</f>
        <v>1938</v>
      </c>
      <c r="X53" s="163" t="n">
        <f aca="false">Tabella52791124791618202224262830323436384042444648505254565860626468707274767880828486908892949698100102104106108110112114116118120122124126130128132134136138140142144146148[[#This Row],[Colonna6]]*$Q3</f>
        <v>3500.4</v>
      </c>
      <c r="Y53" s="163" t="n">
        <f aca="false">Tabella52791124791618202224262830323436384042444648505254565860626468707274767880828486908892949698100102104106108110112114116118120122124126130128132134136138140142144146148[[#This Row],[Colonna7]]*$Q3</f>
        <v>3982.4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28</v>
      </c>
      <c r="H58" s="26" t="n">
        <v>22</v>
      </c>
      <c r="I58" s="26" t="n">
        <v>2</v>
      </c>
      <c r="J58" s="26" t="n">
        <v>10</v>
      </c>
      <c r="K58" s="26" t="n">
        <v>14</v>
      </c>
      <c r="L58" s="26" t="n">
        <v>47</v>
      </c>
      <c r="M58" s="26" t="n">
        <v>31</v>
      </c>
      <c r="P58" s="23" t="s">
        <v>62</v>
      </c>
      <c r="Q58" s="23"/>
      <c r="R58" s="23"/>
      <c r="S58" s="57" t="n">
        <f aca="false">G58*$Q3</f>
        <v>11.2</v>
      </c>
      <c r="T58" s="57" t="n">
        <f aca="false">H58*$Q3</f>
        <v>8.8</v>
      </c>
      <c r="U58" s="57" t="n">
        <f aca="false">I58*$Q3</f>
        <v>0.8</v>
      </c>
      <c r="V58" s="57" t="n">
        <f aca="false">J58*$Q3</f>
        <v>4</v>
      </c>
      <c r="W58" s="57" t="n">
        <f aca="false">K58*$Q3</f>
        <v>5.6</v>
      </c>
      <c r="X58" s="57" t="n">
        <f aca="false">L58*$Q3</f>
        <v>18.8</v>
      </c>
      <c r="Y58" s="27" t="n">
        <f aca="false">M58*$Q3</f>
        <v>12.4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/>
      <c r="H62" s="26" t="n">
        <v>1</v>
      </c>
      <c r="I62" s="26"/>
      <c r="J62" s="26" t="n">
        <v>1</v>
      </c>
      <c r="K62" s="26" t="n">
        <v>1</v>
      </c>
      <c r="L62" s="26" t="n">
        <v>2</v>
      </c>
      <c r="M62" s="26" t="n">
        <v>1</v>
      </c>
      <c r="P62" s="9" t="s">
        <v>66</v>
      </c>
      <c r="Q62" s="9"/>
      <c r="R62" s="9"/>
      <c r="S62" s="57"/>
      <c r="T62" s="57" t="n">
        <f aca="false">H62*$Q3</f>
        <v>0.4</v>
      </c>
      <c r="U62" s="57"/>
      <c r="V62" s="57" t="n">
        <f aca="false">J62*$Q3</f>
        <v>0.4</v>
      </c>
      <c r="W62" s="57" t="n">
        <f aca="false">K62*$Q3</f>
        <v>0.4</v>
      </c>
      <c r="X62" s="57" t="n">
        <f aca="false">L62*$Q3</f>
        <v>0.8</v>
      </c>
      <c r="Y62" s="57" t="n">
        <f aca="false">M62*$Q3</f>
        <v>0.4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164"/>
      <c r="I63" s="13"/>
      <c r="J63" s="26"/>
      <c r="K63" s="26"/>
      <c r="L63" s="26"/>
      <c r="M63" s="26" t="n">
        <v>1</v>
      </c>
      <c r="P63" s="9" t="s">
        <v>67</v>
      </c>
      <c r="Q63" s="9"/>
      <c r="R63" s="9"/>
      <c r="S63" s="57"/>
      <c r="T63" s="57"/>
      <c r="U63" s="57"/>
      <c r="V63" s="57"/>
      <c r="W63" s="57"/>
      <c r="X63" s="57"/>
      <c r="Y63" s="57" t="n">
        <f aca="false">M63*$Q3</f>
        <v>0.4</v>
      </c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1</v>
      </c>
      <c r="H64" s="26"/>
      <c r="I64" s="26"/>
      <c r="J64" s="26"/>
      <c r="K64" s="26"/>
      <c r="L64" s="26" t="n">
        <v>1</v>
      </c>
      <c r="M64" s="26"/>
      <c r="P64" s="9" t="s">
        <v>68</v>
      </c>
      <c r="Q64" s="9"/>
      <c r="R64" s="9"/>
      <c r="S64" s="57" t="n">
        <f aca="false">G64*$Q3</f>
        <v>0.4</v>
      </c>
      <c r="T64" s="57"/>
      <c r="U64" s="57"/>
      <c r="V64" s="57"/>
      <c r="W64" s="57" t="n">
        <f aca="false">K64*$Q3</f>
        <v>0</v>
      </c>
      <c r="X64" s="57" t="n">
        <f aca="false">L64*$Q3</f>
        <v>0.4</v>
      </c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 t="n">
        <v>30</v>
      </c>
      <c r="I65" s="30" t="n">
        <v>22</v>
      </c>
      <c r="J65" s="26" t="n">
        <v>1</v>
      </c>
      <c r="K65" s="26" t="n">
        <v>2</v>
      </c>
      <c r="L65" s="26" t="n">
        <v>2</v>
      </c>
      <c r="M65" s="26" t="n">
        <v>1</v>
      </c>
      <c r="P65" s="9" t="s">
        <v>69</v>
      </c>
      <c r="Q65" s="9"/>
      <c r="R65" s="9"/>
      <c r="S65" s="57"/>
      <c r="T65" s="57" t="n">
        <f aca="false">H65*$Q3</f>
        <v>12</v>
      </c>
      <c r="U65" s="57" t="n">
        <f aca="false">I65*$Q3</f>
        <v>8.8</v>
      </c>
      <c r="V65" s="57" t="n">
        <f aca="false">J65*$Q3</f>
        <v>0.4</v>
      </c>
      <c r="W65" s="57" t="n">
        <f aca="false">K65*$Q3</f>
        <v>0.8</v>
      </c>
      <c r="X65" s="57" t="n">
        <f aca="false">L65*$Q3</f>
        <v>0.8</v>
      </c>
      <c r="Y65" s="27" t="n">
        <f aca="false">M65*$Q3</f>
        <v>0.4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2</v>
      </c>
      <c r="H67" s="139"/>
      <c r="I67" s="139" t="n">
        <v>2</v>
      </c>
      <c r="J67" s="26" t="n">
        <v>1</v>
      </c>
      <c r="K67" s="26" t="n">
        <v>1</v>
      </c>
      <c r="L67" s="26" t="n">
        <v>10</v>
      </c>
      <c r="M67" s="26" t="n">
        <v>8</v>
      </c>
      <c r="P67" s="9" t="s">
        <v>71</v>
      </c>
      <c r="Q67" s="9"/>
      <c r="R67" s="9"/>
      <c r="S67" s="57" t="n">
        <f aca="false">G67*$Q3</f>
        <v>0.8</v>
      </c>
      <c r="T67" s="57"/>
      <c r="U67" s="57" t="n">
        <f aca="false">I67*$Q3</f>
        <v>0.8</v>
      </c>
      <c r="V67" s="57" t="n">
        <f aca="false">J67*$Q3</f>
        <v>0.4</v>
      </c>
      <c r="W67" s="57" t="n">
        <f aca="false">K67*$Q3</f>
        <v>0.4</v>
      </c>
      <c r="X67" s="57" t="n">
        <f aca="false">L67*$Q3</f>
        <v>4</v>
      </c>
      <c r="Y67" s="57" t="n">
        <f aca="false">M67*$Q3</f>
        <v>3.2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4</v>
      </c>
      <c r="H68" s="30" t="n">
        <v>3</v>
      </c>
      <c r="I68" s="30" t="n">
        <v>4</v>
      </c>
      <c r="J68" s="30"/>
      <c r="K68" s="30"/>
      <c r="L68" s="30" t="n">
        <v>10</v>
      </c>
      <c r="M68" s="30" t="n">
        <v>4</v>
      </c>
      <c r="P68" s="9" t="s">
        <v>72</v>
      </c>
      <c r="Q68" s="9"/>
      <c r="R68" s="9"/>
      <c r="S68" s="57" t="n">
        <f aca="false">G68*$Q3</f>
        <v>1.6</v>
      </c>
      <c r="T68" s="57" t="n">
        <f aca="false">H68*$Q3</f>
        <v>1.2</v>
      </c>
      <c r="U68" s="57" t="n">
        <f aca="false">I68*$Q3</f>
        <v>1.6</v>
      </c>
      <c r="V68" s="57"/>
      <c r="W68" s="57"/>
      <c r="X68" s="57" t="n">
        <f aca="false">L68*$Q3</f>
        <v>4</v>
      </c>
      <c r="Y68" s="57" t="n">
        <f aca="false">M68*$Q3</f>
        <v>1.6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7</v>
      </c>
      <c r="H69" s="30" t="n">
        <v>7</v>
      </c>
      <c r="I69" s="30" t="n">
        <v>1</v>
      </c>
      <c r="J69" s="30" t="n">
        <v>1</v>
      </c>
      <c r="K69" s="30" t="n">
        <v>3</v>
      </c>
      <c r="L69" s="30" t="n">
        <v>2</v>
      </c>
      <c r="M69" s="30" t="n">
        <v>35</v>
      </c>
      <c r="P69" s="9" t="s">
        <v>73</v>
      </c>
      <c r="Q69" s="9"/>
      <c r="R69" s="9"/>
      <c r="S69" s="57" t="n">
        <f aca="false">G69*$Q3</f>
        <v>2.8</v>
      </c>
      <c r="T69" s="57" t="n">
        <f aca="false">H69*$Q3</f>
        <v>2.8</v>
      </c>
      <c r="U69" s="57" t="n">
        <f aca="false">I69*$Q3</f>
        <v>0.4</v>
      </c>
      <c r="V69" s="57" t="n">
        <f aca="false">J69*$Q3</f>
        <v>0.4</v>
      </c>
      <c r="W69" s="57" t="n">
        <f aca="false">K69*$Q3</f>
        <v>1.2</v>
      </c>
      <c r="X69" s="57" t="n">
        <f aca="false">L69*$Q3</f>
        <v>0.8</v>
      </c>
      <c r="Y69" s="57" t="n">
        <f aca="false">M69*$Q3</f>
        <v>14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42</v>
      </c>
      <c r="H70" s="60" t="n">
        <f aca="false">SUM(H58:H69)</f>
        <v>63</v>
      </c>
      <c r="I70" s="60" t="n">
        <f aca="false">SUM(I58:I69)</f>
        <v>31</v>
      </c>
      <c r="J70" s="60" t="n">
        <f aca="false">SUM(J58:J69)</f>
        <v>14</v>
      </c>
      <c r="K70" s="60" t="n">
        <f aca="false">SUM(K58:K69)</f>
        <v>21</v>
      </c>
      <c r="L70" s="60" t="n">
        <f aca="false">SUM(L58:L69)</f>
        <v>74</v>
      </c>
      <c r="M70" s="60" t="n">
        <f aca="false">SUM(M58:M69)</f>
        <v>81</v>
      </c>
      <c r="P70" s="9" t="s">
        <v>60</v>
      </c>
      <c r="Q70" s="9"/>
      <c r="R70" s="9"/>
      <c r="S70" s="61" t="n">
        <f aca="false">G70*$Q3</f>
        <v>16.8</v>
      </c>
      <c r="T70" s="61" t="n">
        <f aca="false">H70*$Q3</f>
        <v>25.2</v>
      </c>
      <c r="U70" s="61" t="n">
        <f aca="false">I70*$Q3</f>
        <v>12.4</v>
      </c>
      <c r="V70" s="61" t="n">
        <f aca="false">J70*$Q3</f>
        <v>5.6</v>
      </c>
      <c r="W70" s="61" t="n">
        <f aca="false">K70*$Q3</f>
        <v>8.4</v>
      </c>
      <c r="X70" s="61" t="n">
        <f aca="false">L70*$Q3</f>
        <v>29.6</v>
      </c>
      <c r="Y70" s="32" t="n">
        <f aca="false">M70*$Q3</f>
        <v>32.4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70" man="true" max="16383" min="0"/>
  </rowBreaks>
  <colBreaks count="1" manualBreakCount="1">
    <brk id="14" man="true" max="65535" min="0"/>
  </colBreaks>
  <tableParts>
    <tablePart r:id="rId1"/>
    <tablePart r:id="rId2"/>
  </tableParts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N43" colorId="64" zoomScale="100" zoomScaleNormal="100" zoomScalePageLayoutView="100" workbookViewId="0">
      <selection pane="topLeft" activeCell="N43" activeCellId="0" sqref="N43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102</v>
      </c>
      <c r="I3" s="119" t="s">
        <v>2</v>
      </c>
      <c r="J3" s="4" t="n">
        <v>45397</v>
      </c>
      <c r="K3" s="5" t="n">
        <v>45403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102</v>
      </c>
      <c r="U3" s="119" t="s">
        <v>2</v>
      </c>
      <c r="V3" s="4" t="n">
        <v>45397</v>
      </c>
      <c r="W3" s="5" t="n">
        <v>45403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114</v>
      </c>
      <c r="H7" s="13" t="n">
        <v>173</v>
      </c>
      <c r="I7" s="13" t="n">
        <v>42</v>
      </c>
      <c r="J7" s="13" t="n">
        <v>42</v>
      </c>
      <c r="K7" s="13" t="n">
        <v>29</v>
      </c>
      <c r="L7" s="13" t="n">
        <v>103</v>
      </c>
      <c r="M7" s="13" t="n">
        <v>35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Tabella52791124791618202224262830323436384042444648505254565860626468707274767880828486908892949698100102104106108110112114116118120122124126130128132134136138140142144146148150[[#This Row],[Colonna1]]*$Q3</f>
        <v>45.6</v>
      </c>
      <c r="T7" s="14" t="n">
        <f aca="false">Tabella52791124791618202224262830323436384042444648505254565860626468707274767880828486908892949698100102104106108110112114116118120122124126130128132134136138140142144146148150[[#This Row],[Colonna2]]*$Q3</f>
        <v>69.2</v>
      </c>
      <c r="U7" s="14" t="n">
        <f aca="false">Tabella52791124791618202224262830323436384042444648505254565860626468707274767880828486908892949698100102104106108110112114116118120122124126130128132134136138140142144146148150[[#This Row],[Colonna3]]*$Q3</f>
        <v>16.8</v>
      </c>
      <c r="V7" s="14" t="n">
        <f aca="false">Tabella52791124791618202224262830323436384042444648505254565860626468707274767880828486908892949698100102104106108110112114116118120122124126130128132134136138140142144146148150[[#This Row],[Colonna4]]*$Q3</f>
        <v>16.8</v>
      </c>
      <c r="W7" s="14" t="n">
        <f aca="false">Tabella52791124791618202224262830323436384042444648505254565860626468707274767880828486908892949698100102104106108110112114116118120122124126130128132134136138140142144146148150[[#This Row],[Colonna5]]*$Q3</f>
        <v>11.6</v>
      </c>
      <c r="X7" s="14" t="n">
        <f aca="false">Tabella52791124791618202224262830323436384042444648505254565860626468707274767880828486908892949698100102104106108110112114116118120122124126130128132134136138140142144146148150[[#This Row],[Colonna6]]*$Q3</f>
        <v>41.2</v>
      </c>
      <c r="Y7" s="14" t="n">
        <f aca="false">Tabella52791124791618202224262830323436384042444648505254565860626468707274767880828486908892949698100102104106108110112114116118120122124126130128132134136138140142144146148150[[#This Row],[Colonna7]]*$Q3</f>
        <v>14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106</v>
      </c>
      <c r="H10" s="13" t="n">
        <v>76</v>
      </c>
      <c r="I10" s="13" t="n">
        <v>34</v>
      </c>
      <c r="J10" s="13" t="n">
        <v>1</v>
      </c>
      <c r="K10" s="13" t="n">
        <v>9</v>
      </c>
      <c r="L10" s="13" t="n">
        <v>4</v>
      </c>
      <c r="M10" s="13" t="n">
        <v>5</v>
      </c>
      <c r="P10" s="12" t="s">
        <v>17</v>
      </c>
      <c r="Q10" s="12"/>
      <c r="R10" s="12"/>
      <c r="S10" s="14" t="n">
        <f aca="false">Tabella52791124791618202224262830323436384042444648505254565860626468707274767880828486908892949698100102104106108110112114116118120122124126130128132134136138140142144146148150[[#This Row],[Colonna1]]*$Q3</f>
        <v>42.4</v>
      </c>
      <c r="T10" s="14" t="n">
        <f aca="false">Tabella52791124791618202224262830323436384042444648505254565860626468707274767880828486908892949698100102104106108110112114116118120122124126130128132134136138140142144146148150[[#This Row],[Colonna2]]*$Q3</f>
        <v>30.4</v>
      </c>
      <c r="U10" s="14" t="n">
        <f aca="false">Tabella52791124791618202224262830323436384042444648505254565860626468707274767880828486908892949698100102104106108110112114116118120122124126130128132134136138140142144146148150[[#This Row],[Colonna3]]*$Q3</f>
        <v>13.6</v>
      </c>
      <c r="V10" s="14" t="n">
        <f aca="false">Tabella52791124791618202224262830323436384042444648505254565860626468707274767880828486908892949698100102104106108110112114116118120122124126130128132134136138140142144146148150[[#This Row],[Colonna4]]*$Q3</f>
        <v>0.4</v>
      </c>
      <c r="W10" s="14" t="n">
        <f aca="false">Tabella52791124791618202224262830323436384042444648505254565860626468707274767880828486908892949698100102104106108110112114116118120122124126130128132134136138140142144146148150[[#This Row],[Colonna5]]*$Q3</f>
        <v>3.6</v>
      </c>
      <c r="X10" s="14" t="n">
        <f aca="false">Tabella52791124791618202224262830323436384042444648505254565860626468707274767880828486908892949698100102104106108110112114116118120122124126130128132134136138140142144146148150[[#This Row],[Colonna6]]*$Q3</f>
        <v>1.6</v>
      </c>
      <c r="Y10" s="14" t="n">
        <f aca="false">Tabella52791124791618202224262830323436384042444648505254565860626468707274767880828486908892949698100102104106108110112114116118120122124126130128132134136138140142144146148150[[#This Row],[Colonna7]]*$Q3</f>
        <v>2</v>
      </c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 t="n">
        <v>3</v>
      </c>
      <c r="H19" s="13" t="n">
        <v>7</v>
      </c>
      <c r="I19" s="13" t="n">
        <v>6</v>
      </c>
      <c r="J19" s="13" t="n">
        <v>2</v>
      </c>
      <c r="K19" s="13" t="n">
        <v>1</v>
      </c>
      <c r="L19" s="13" t="n">
        <v>1</v>
      </c>
      <c r="M19" s="13" t="n">
        <v>1</v>
      </c>
      <c r="P19" s="9" t="s">
        <v>26</v>
      </c>
      <c r="Q19" s="9"/>
      <c r="R19" s="9"/>
      <c r="S19" s="14" t="n">
        <f aca="false">Tabella52791124791618202224262830323436384042444648505254565860626468707274767880828486908892949698100102104106108110112114116118120122124126130128132134136138140142144146148150[[#This Row],[Colonna1]]*$Q3</f>
        <v>1.2</v>
      </c>
      <c r="T19" s="14" t="n">
        <f aca="false">Tabella52791124791618202224262830323436384042444648505254565860626468707274767880828486908892949698100102104106108110112114116118120122124126130128132134136138140142144146148150[[#This Row],[Colonna2]]*$Q3</f>
        <v>2.8</v>
      </c>
      <c r="U19" s="14" t="n">
        <f aca="false">Tabella52791124791618202224262830323436384042444648505254565860626468707274767880828486908892949698100102104106108110112114116118120122124126130128132134136138140142144146148150[[#This Row],[Colonna3]]*$Q3</f>
        <v>2.4</v>
      </c>
      <c r="V19" s="14" t="n">
        <f aca="false">Tabella52791124791618202224262830323436384042444648505254565860626468707274767880828486908892949698100102104106108110112114116118120122124126130128132134136138140142144146148150[[#This Row],[Colonna4]]*$Q3</f>
        <v>0.8</v>
      </c>
      <c r="W19" s="14" t="n">
        <f aca="false">Tabella52791124791618202224262830323436384042444648505254565860626468707274767880828486908892949698100102104106108110112114116118120122124126130128132134136138140142144146148150[[#This Row],[Colonna5]]*$Q3</f>
        <v>0.4</v>
      </c>
      <c r="X19" s="14" t="n">
        <f aca="false">Tabella52791124791618202224262830323436384042444648505254565860626468707274767880828486908892949698100102104106108110112114116118120122124126130128132134136138140142144146148150[[#This Row],[Colonna6]]*$Q3</f>
        <v>0.4</v>
      </c>
      <c r="Y19" s="14" t="n">
        <f aca="false">Tabella52791124791618202224262830323436384042444648505254565860626468707274767880828486908892949698100102104106108110112114116118120122124126130128132134136138140142144146148150[[#This Row],[Colonna7]]*$Q3</f>
        <v>0.4</v>
      </c>
    </row>
    <row r="20" customFormat="false" ht="15" hidden="false" customHeight="false" outlineLevel="0" collapsed="false">
      <c r="D20" s="9" t="s">
        <v>27</v>
      </c>
      <c r="E20" s="9"/>
      <c r="F20" s="9"/>
      <c r="G20" s="13" t="n">
        <v>83</v>
      </c>
      <c r="H20" s="13" t="n">
        <v>96</v>
      </c>
      <c r="I20" s="13" t="n">
        <v>30</v>
      </c>
      <c r="J20" s="13"/>
      <c r="K20" s="13" t="n">
        <v>3</v>
      </c>
      <c r="L20" s="13" t="n">
        <v>7</v>
      </c>
      <c r="M20" s="13" t="n">
        <v>10</v>
      </c>
      <c r="P20" s="9" t="s">
        <v>27</v>
      </c>
      <c r="Q20" s="9"/>
      <c r="R20" s="9"/>
      <c r="S20" s="14" t="n">
        <f aca="false">Tabella52791124791618202224262830323436384042444648505254565860626468707274767880828486908892949698100102104106108110112114116118120122124126130128132134136138140142144146148150[[#This Row],[Colonna1]]*$Q3</f>
        <v>33.2</v>
      </c>
      <c r="T20" s="14" t="n">
        <f aca="false">Tabella52791124791618202224262830323436384042444648505254565860626468707274767880828486908892949698100102104106108110112114116118120122124126130128132134136138140142144146148150[[#This Row],[Colonna2]]*$Q3</f>
        <v>38.4</v>
      </c>
      <c r="U20" s="14" t="n">
        <f aca="false">Tabella52791124791618202224262830323436384042444648505254565860626468707274767880828486908892949698100102104106108110112114116118120122124126130128132134136138140142144146148150[[#This Row],[Colonna3]]*$Q3</f>
        <v>12</v>
      </c>
      <c r="V20" s="14"/>
      <c r="W20" s="14" t="n">
        <f aca="false">Tabella52791124791618202224262830323436384042444648505254565860626468707274767880828486908892949698100102104106108110112114116118120122124126130128132134136138140142144146148150[[#This Row],[Colonna5]]*$Q3</f>
        <v>1.2</v>
      </c>
      <c r="X20" s="14" t="n">
        <f aca="false">Tabella52791124791618202224262830323436384042444648505254565860626468707274767880828486908892949698100102104106108110112114116118120122124126130128132134136138140142144146148150[[#This Row],[Colonna6]]*$Q3</f>
        <v>2.8</v>
      </c>
      <c r="Y20" s="14" t="n">
        <f aca="false">Tabella52791124791618202224262830323436384042444648505254565860626468707274767880828486908892949698100102104106108110112114116118120122124126130128132134136138140142144146148150[[#This Row],[Colonna7]]*$Q3</f>
        <v>4</v>
      </c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53</v>
      </c>
      <c r="H22" s="13" t="n">
        <v>43</v>
      </c>
      <c r="I22" s="13" t="n">
        <v>5</v>
      </c>
      <c r="J22" s="13" t="n">
        <v>1</v>
      </c>
      <c r="K22" s="13" t="n">
        <v>3</v>
      </c>
      <c r="L22" s="13" t="n">
        <v>2</v>
      </c>
      <c r="M22" s="13" t="n">
        <v>3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Tabella52791124791618202224262830323436384042444648505254565860626468707274767880828486908892949698100102104106108110112114116118120122124126130128132134136138140142144146148150[[#This Row],[Colonna1]]*$Q3</f>
        <v>21.2</v>
      </c>
      <c r="T22" s="14" t="n">
        <f aca="false">Tabella52791124791618202224262830323436384042444648505254565860626468707274767880828486908892949698100102104106108110112114116118120122124126130128132134136138140142144146148150[[#This Row],[Colonna2]]*$Q3</f>
        <v>17.2</v>
      </c>
      <c r="U22" s="14" t="n">
        <f aca="false">Tabella52791124791618202224262830323436384042444648505254565860626468707274767880828486908892949698100102104106108110112114116118120122124126130128132134136138140142144146148150[[#This Row],[Colonna3]]*$Q3</f>
        <v>2</v>
      </c>
      <c r="V22" s="14" t="n">
        <f aca="false">Tabella52791124791618202224262830323436384042444648505254565860626468707274767880828486908892949698100102104106108110112114116118120122124126130128132134136138140142144146148150[[#This Row],[Colonna4]]*$Q3</f>
        <v>0.4</v>
      </c>
      <c r="W22" s="14" t="n">
        <f aca="false">Tabella52791124791618202224262830323436384042444648505254565860626468707274767880828486908892949698100102104106108110112114116118120122124126130128132134136138140142144146148150[[#This Row],[Colonna5]]*$Q3</f>
        <v>1.2</v>
      </c>
      <c r="X22" s="14" t="n">
        <f aca="false">Tabella52791124791618202224262830323436384042444648505254565860626468707274767880828486908892949698100102104106108110112114116118120122124126130128132134136138140142144146148150[[#This Row],[Colonna6]]*$Q3</f>
        <v>0.8</v>
      </c>
      <c r="Y22" s="14" t="n">
        <f aca="false">Tabella52791124791618202224262830323436384042444648505254565860626468707274767880828486908892949698100102104106108110112114116118120122124126130128132134136138140142144146148150[[#This Row],[Colonna7]]*$Q3</f>
        <v>1.2</v>
      </c>
    </row>
    <row r="23" customFormat="false" ht="15" hidden="false" customHeight="false" outlineLevel="0" collapsed="false">
      <c r="D23" s="17" t="s">
        <v>30</v>
      </c>
      <c r="E23" s="17"/>
      <c r="F23" s="17"/>
      <c r="G23" s="13" t="n">
        <v>4</v>
      </c>
      <c r="H23" s="13" t="n">
        <v>3</v>
      </c>
      <c r="I23" s="13" t="n">
        <v>1</v>
      </c>
      <c r="J23" s="13"/>
      <c r="K23" s="13" t="n">
        <v>1</v>
      </c>
      <c r="L23" s="13" t="n">
        <v>1</v>
      </c>
      <c r="M23" s="13"/>
      <c r="P23" s="17" t="s">
        <v>30</v>
      </c>
      <c r="Q23" s="17"/>
      <c r="R23" s="17"/>
      <c r="S23" s="14" t="n">
        <f aca="false">Tabella52791124791618202224262830323436384042444648505254565860626468707274767880828486908892949698100102104106108110112114116118120122124126130128132134136138140142144146148150[[#This Row],[Colonna1]]*$Q3</f>
        <v>1.6</v>
      </c>
      <c r="T23" s="14" t="n">
        <f aca="false">Tabella52791124791618202224262830323436384042444648505254565860626468707274767880828486908892949698100102104106108110112114116118120122124126130128132134136138140142144146148150[[#This Row],[Colonna2]]*$Q3</f>
        <v>1.2</v>
      </c>
      <c r="U23" s="14" t="n">
        <f aca="false">Tabella52791124791618202224262830323436384042444648505254565860626468707274767880828486908892949698100102104106108110112114116118120122124126130128132134136138140142144146148150[[#This Row],[Colonna3]]*$Q3</f>
        <v>0.4</v>
      </c>
      <c r="V23" s="14"/>
      <c r="W23" s="14" t="n">
        <f aca="false">Tabella52791124791618202224262830323436384042444648505254565860626468707274767880828486908892949698100102104106108110112114116118120122124126130128132134136138140142144146148150[[#This Row],[Colonna5]]*$Q3</f>
        <v>0.4</v>
      </c>
      <c r="X23" s="14" t="n">
        <f aca="false">Tabella52791124791618202224262830323436384042444648505254565860626468707274767880828486908892949698100102104106108110112114116118120122124126130128132134136138140142144146148150[[#This Row],[Colonna6]]*$Q3</f>
        <v>0.4</v>
      </c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228</v>
      </c>
      <c r="H27" s="13" t="n">
        <v>161</v>
      </c>
      <c r="I27" s="13" t="n">
        <v>10</v>
      </c>
      <c r="J27" s="13" t="n">
        <v>1</v>
      </c>
      <c r="K27" s="13" t="n">
        <v>4</v>
      </c>
      <c r="L27" s="13" t="n">
        <v>8</v>
      </c>
      <c r="M27" s="13" t="n">
        <v>1</v>
      </c>
      <c r="P27" s="12" t="s">
        <v>34</v>
      </c>
      <c r="Q27" s="12"/>
      <c r="R27" s="12"/>
      <c r="S27" s="14" t="n">
        <f aca="false">Tabella52791124791618202224262830323436384042444648505254565860626468707274767880828486908892949698100102104106108110112114116118120122124126130128132134136138140142144146148150[[#This Row],[Colonna1]]*$Q3</f>
        <v>91.2</v>
      </c>
      <c r="T27" s="14" t="n">
        <f aca="false">Tabella52791124791618202224262830323436384042444648505254565860626468707274767880828486908892949698100102104106108110112114116118120122124126130128132134136138140142144146148150[[#This Row],[Colonna2]]*$Q3</f>
        <v>64.4</v>
      </c>
      <c r="U27" s="14" t="n">
        <f aca="false">Tabella52791124791618202224262830323436384042444648505254565860626468707274767880828486908892949698100102104106108110112114116118120122124126130128132134136138140142144146148150[[#This Row],[Colonna3]]*$Q3</f>
        <v>4</v>
      </c>
      <c r="V27" s="14" t="n">
        <f aca="false">Tabella52791124791618202224262830323436384042444648505254565860626468707274767880828486908892949698100102104106108110112114116118120122124126130128132134136138140142144146148150[[#This Row],[Colonna4]]*$Q3</f>
        <v>0.4</v>
      </c>
      <c r="W27" s="14" t="n">
        <f aca="false">Tabella52791124791618202224262830323436384042444648505254565860626468707274767880828486908892949698100102104106108110112114116118120122124126130128132134136138140142144146148150[[#This Row],[Colonna5]]*$Q3</f>
        <v>1.6</v>
      </c>
      <c r="X27" s="14" t="n">
        <f aca="false">Tabella52791124791618202224262830323436384042444648505254565860626468707274767880828486908892949698100102104106108110112114116118120122124126130128132134136138140142144146148150[[#This Row],[Colonna6]]*$Q3</f>
        <v>3.2</v>
      </c>
      <c r="Y27" s="14" t="n">
        <f aca="false">Tabella52791124791618202224262830323436384042444648505254565860626468707274767880828486908892949698100102104106108110112114116118120122124126130128132134136138140142144146148150[[#This Row],[Colonna7]]*$Q3</f>
        <v>0.4</v>
      </c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140</v>
      </c>
      <c r="H28" s="13" t="n">
        <v>59</v>
      </c>
      <c r="I28" s="13" t="n">
        <v>55</v>
      </c>
      <c r="J28" s="13" t="n">
        <v>1</v>
      </c>
      <c r="K28" s="13" t="n">
        <v>13</v>
      </c>
      <c r="L28" s="13" t="n">
        <v>15</v>
      </c>
      <c r="M28" s="13" t="n">
        <v>8</v>
      </c>
      <c r="P28" s="12" t="s">
        <v>35</v>
      </c>
      <c r="Q28" s="12"/>
      <c r="R28" s="12"/>
      <c r="S28" s="14" t="n">
        <f aca="false">Tabella52791124791618202224262830323436384042444648505254565860626468707274767880828486908892949698100102104106108110112114116118120122124126130128132134136138140142144146148150[[#This Row],[Colonna1]]*$Q3</f>
        <v>56</v>
      </c>
      <c r="T28" s="14" t="n">
        <f aca="false">Tabella52791124791618202224262830323436384042444648505254565860626468707274767880828486908892949698100102104106108110112114116118120122124126130128132134136138140142144146148150[[#This Row],[Colonna2]]*$Q3</f>
        <v>23.6</v>
      </c>
      <c r="U28" s="14" t="n">
        <f aca="false">Tabella52791124791618202224262830323436384042444648505254565860626468707274767880828486908892949698100102104106108110112114116118120122124126130128132134136138140142144146148150[[#This Row],[Colonna3]]*$Q3</f>
        <v>22</v>
      </c>
      <c r="V28" s="14" t="n">
        <f aca="false">Tabella52791124791618202224262830323436384042444648505254565860626468707274767880828486908892949698100102104106108110112114116118120122124126130128132134136138140142144146148150[[#This Row],[Colonna4]]*$Q3</f>
        <v>0.4</v>
      </c>
      <c r="W28" s="14" t="n">
        <f aca="false">Tabella52791124791618202224262830323436384042444648505254565860626468707274767880828486908892949698100102104106108110112114116118120122124126130128132134136138140142144146148150[[#This Row],[Colonna5]]*$Q3</f>
        <v>5.2</v>
      </c>
      <c r="X28" s="14" t="n">
        <f aca="false">Tabella52791124791618202224262830323436384042444648505254565860626468707274767880828486908892949698100102104106108110112114116118120122124126130128132134136138140142144146148150[[#This Row],[Colonna6]]*$Q3</f>
        <v>6</v>
      </c>
      <c r="Y28" s="14" t="n">
        <f aca="false">Tabella52791124791618202224262830323436384042444648505254565860626468707274767880828486908892949698100102104106108110112114116118120122124126130128132134136138140142144146148150[[#This Row],[Colonna7]]*$Q3</f>
        <v>3.2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730</v>
      </c>
      <c r="H29" s="13" t="n">
        <v>282</v>
      </c>
      <c r="I29" s="13" t="n">
        <v>270</v>
      </c>
      <c r="J29" s="13" t="n">
        <v>47</v>
      </c>
      <c r="K29" s="13" t="n">
        <v>166</v>
      </c>
      <c r="L29" s="13" t="n">
        <v>312</v>
      </c>
      <c r="M29" s="13" t="n">
        <v>137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Tabella52791124791618202224262830323436384042444648505254565860626468707274767880828486908892949698100102104106108110112114116118120122124126130128132134136138140142144146148150[[#This Row],[Colonna1]]*$Q3</f>
        <v>292</v>
      </c>
      <c r="T29" s="14" t="n">
        <f aca="false">Tabella52791124791618202224262830323436384042444648505254565860626468707274767880828486908892949698100102104106108110112114116118120122124126130128132134136138140142144146148150[[#This Row],[Colonna2]]*$Q3</f>
        <v>112.8</v>
      </c>
      <c r="U29" s="14" t="n">
        <f aca="false">Tabella52791124791618202224262830323436384042444648505254565860626468707274767880828486908892949698100102104106108110112114116118120122124126130128132134136138140142144146148150[[#This Row],[Colonna3]]*$Q3</f>
        <v>108</v>
      </c>
      <c r="V29" s="14" t="n">
        <f aca="false">Tabella52791124791618202224262830323436384042444648505254565860626468707274767880828486908892949698100102104106108110112114116118120122124126130128132134136138140142144146148150[[#This Row],[Colonna4]]*$Q3</f>
        <v>18.8</v>
      </c>
      <c r="W29" s="14" t="n">
        <f aca="false">Tabella52791124791618202224262830323436384042444648505254565860626468707274767880828486908892949698100102104106108110112114116118120122124126130128132134136138140142144146148150[[#This Row],[Colonna5]]*$Q3</f>
        <v>66.4</v>
      </c>
      <c r="X29" s="14" t="n">
        <f aca="false">Tabella52791124791618202224262830323436384042444648505254565860626468707274767880828486908892949698100102104106108110112114116118120122124126130128132134136138140142144146148150[[#This Row],[Colonna6]]*$Q3</f>
        <v>124.8</v>
      </c>
      <c r="Y29" s="14" t="n">
        <f aca="false">Tabella52791124791618202224262830323436384042444648505254565860626468707274767880828486908892949698100102104106108110112114116118120122124126130128132134136138140142144146148150[[#This Row],[Colonna7]]*$Q3</f>
        <v>54.8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60</v>
      </c>
      <c r="H31" s="13" t="n">
        <v>21</v>
      </c>
      <c r="I31" s="13" t="n">
        <v>2</v>
      </c>
      <c r="J31" s="13" t="n">
        <v>1</v>
      </c>
      <c r="K31" s="13" t="n">
        <v>2</v>
      </c>
      <c r="L31" s="13" t="n">
        <v>2</v>
      </c>
      <c r="M31" s="13" t="n">
        <v>2</v>
      </c>
      <c r="P31" s="9" t="s">
        <v>38</v>
      </c>
      <c r="Q31" s="9"/>
      <c r="R31" s="9"/>
      <c r="S31" s="14" t="n">
        <f aca="false">Tabella52791124791618202224262830323436384042444648505254565860626468707274767880828486908892949698100102104106108110112114116118120122124126130128132134136138140142144146148150[[#This Row],[Colonna1]]*$Q3</f>
        <v>24</v>
      </c>
      <c r="T31" s="14" t="n">
        <f aca="false">Tabella52791124791618202224262830323436384042444648505254565860626468707274767880828486908892949698100102104106108110112114116118120122124126130128132134136138140142144146148150[[#This Row],[Colonna2]]*$Q3</f>
        <v>8.4</v>
      </c>
      <c r="U31" s="14" t="n">
        <f aca="false">Tabella52791124791618202224262830323436384042444648505254565860626468707274767880828486908892949698100102104106108110112114116118120122124126130128132134136138140142144146148150[[#This Row],[Colonna3]]*$Q3</f>
        <v>0.8</v>
      </c>
      <c r="V31" s="14" t="n">
        <f aca="false">Tabella52791124791618202224262830323436384042444648505254565860626468707274767880828486908892949698100102104106108110112114116118120122124126130128132134136138140142144146148150[[#This Row],[Colonna4]]*$Q3</f>
        <v>0.4</v>
      </c>
      <c r="W31" s="14" t="n">
        <f aca="false">Tabella52791124791618202224262830323436384042444648505254565860626468707274767880828486908892949698100102104106108110112114116118120122124126130128132134136138140142144146148150[[#This Row],[Colonna5]]*$Q3</f>
        <v>0.8</v>
      </c>
      <c r="X31" s="14" t="n">
        <f aca="false">Tabella52791124791618202224262830323436384042444648505254565860626468707274767880828486908892949698100102104106108110112114116118120122124126130128132134136138140142144146148150[[#This Row],[Colonna6]]*$Q3</f>
        <v>0.8</v>
      </c>
      <c r="Y31" s="14" t="n">
        <f aca="false">Tabella52791124791618202224262830323436384042444648505254565860626468707274767880828486908892949698100102104106108110112114116118120122124126130128132134136138140142144146148150[[#This Row],[Colonna7]]*$Q3</f>
        <v>0.8</v>
      </c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 t="n">
        <v>958</v>
      </c>
      <c r="H34" s="13" t="n">
        <v>440</v>
      </c>
      <c r="I34" s="13" t="n">
        <v>596</v>
      </c>
      <c r="J34" s="13" t="n">
        <v>155</v>
      </c>
      <c r="K34" s="13" t="n">
        <v>388</v>
      </c>
      <c r="L34" s="13" t="n">
        <v>367</v>
      </c>
      <c r="M34" s="13" t="n">
        <v>740</v>
      </c>
      <c r="P34" s="9" t="s">
        <v>41</v>
      </c>
      <c r="Q34" s="9"/>
      <c r="R34" s="9"/>
      <c r="S34" s="14" t="n">
        <f aca="false">Tabella52791124791618202224262830323436384042444648505254565860626468707274767880828486908892949698100102104106108110112114116118120122124126130128132134136138140142144146148150[[#This Row],[Colonna1]]*$Q3</f>
        <v>383.2</v>
      </c>
      <c r="T34" s="14" t="n">
        <f aca="false">Tabella52791124791618202224262830323436384042444648505254565860626468707274767880828486908892949698100102104106108110112114116118120122124126130128132134136138140142144146148150[[#This Row],[Colonna2]]*$Q3</f>
        <v>176</v>
      </c>
      <c r="U34" s="14" t="n">
        <f aca="false">Tabella52791124791618202224262830323436384042444648505254565860626468707274767880828486908892949698100102104106108110112114116118120122124126130128132134136138140142144146148150[[#This Row],[Colonna3]]*$Q3</f>
        <v>238.4</v>
      </c>
      <c r="V34" s="14" t="n">
        <f aca="false">Tabella52791124791618202224262830323436384042444648505254565860626468707274767880828486908892949698100102104106108110112114116118120122124126130128132134136138140142144146148150[[#This Row],[Colonna4]]*$Q3</f>
        <v>62</v>
      </c>
      <c r="W34" s="14" t="n">
        <f aca="false">Tabella52791124791618202224262830323436384042444648505254565860626468707274767880828486908892949698100102104106108110112114116118120122124126130128132134136138140142144146148150[[#This Row],[Colonna5]]*$Q3</f>
        <v>155.2</v>
      </c>
      <c r="X34" s="14" t="n">
        <f aca="false">Tabella52791124791618202224262830323436384042444648505254565860626468707274767880828486908892949698100102104106108110112114116118120122124126130128132134136138140142144146148150[[#This Row],[Colonna6]]*$Q3</f>
        <v>146.8</v>
      </c>
      <c r="Y34" s="14" t="n">
        <f aca="false">Tabella52791124791618202224262830323436384042444648505254565860626468707274767880828486908892949698100102104106108110112114116118120122124126130128132134136138140142144146148150[[#This Row],[Colonna7]]*$Q3</f>
        <v>296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50</v>
      </c>
      <c r="H38" s="13" t="n">
        <v>52</v>
      </c>
      <c r="I38" s="13" t="n">
        <v>8</v>
      </c>
      <c r="J38" s="13" t="n">
        <v>2</v>
      </c>
      <c r="K38" s="13" t="n">
        <v>7</v>
      </c>
      <c r="L38" s="13" t="n">
        <v>8</v>
      </c>
      <c r="M38" s="13" t="n">
        <v>4</v>
      </c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Tabella52791124791618202224262830323436384042444648505254565860626468707274767880828486908892949698100102104106108110112114116118120122124126130128132134136138140142144146148150[[#This Row],[Colonna1]]*$Q3</f>
        <v>20</v>
      </c>
      <c r="T38" s="14" t="n">
        <f aca="false">Tabella52791124791618202224262830323436384042444648505254565860626468707274767880828486908892949698100102104106108110112114116118120122124126130128132134136138140142144146148150[[#This Row],[Colonna2]]*$Q3</f>
        <v>20.8</v>
      </c>
      <c r="U38" s="14" t="n">
        <f aca="false">Tabella52791124791618202224262830323436384042444648505254565860626468707274767880828486908892949698100102104106108110112114116118120122124126130128132134136138140142144146148150[[#This Row],[Colonna3]]*$Q3</f>
        <v>3.2</v>
      </c>
      <c r="V38" s="14" t="n">
        <f aca="false">Tabella52791124791618202224262830323436384042444648505254565860626468707274767880828486908892949698100102104106108110112114116118120122124126130128132134136138140142144146148150[[#This Row],[Colonna4]]*$Q3</f>
        <v>0.8</v>
      </c>
      <c r="W38" s="14" t="n">
        <f aca="false">Tabella52791124791618202224262830323436384042444648505254565860626468707274767880828486908892949698100102104106108110112114116118120122124126130128132134136138140142144146148150[[#This Row],[Colonna5]]*$Q3</f>
        <v>2.8</v>
      </c>
      <c r="X38" s="14" t="n">
        <f aca="false">Tabella52791124791618202224262830323436384042444648505254565860626468707274767880828486908892949698100102104106108110112114116118120122124126130128132134136138140142144146148150[[#This Row],[Colonna6]]*$Q3</f>
        <v>3.2</v>
      </c>
      <c r="Y38" s="14" t="n">
        <f aca="false">Tabella52791124791618202224262830323436384042444648505254565860626468707274767880828486908892949698100102104106108110112114116118120122124126130128132134136138140142144146148150[[#This Row],[Colonna7]]*$Q3</f>
        <v>1.6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 t="n">
        <v>318</v>
      </c>
      <c r="H40" s="13" t="n">
        <v>166</v>
      </c>
      <c r="I40" s="13" t="n">
        <v>42</v>
      </c>
      <c r="J40" s="13" t="n">
        <v>5</v>
      </c>
      <c r="K40" s="13" t="n">
        <v>75</v>
      </c>
      <c r="L40" s="13" t="n">
        <v>5</v>
      </c>
      <c r="M40" s="13" t="n">
        <v>23</v>
      </c>
      <c r="P40" s="12" t="s">
        <v>47</v>
      </c>
      <c r="Q40" s="12"/>
      <c r="R40" s="12"/>
      <c r="S40" s="14" t="n">
        <f aca="false">Tabella52791124791618202224262830323436384042444648505254565860626468707274767880828486908892949698100102104106108110112114116118120122124126130128132134136138140142144146148150[[#This Row],[Colonna1]]*$Q3</f>
        <v>127.2</v>
      </c>
      <c r="T40" s="14" t="n">
        <f aca="false">Tabella52791124791618202224262830323436384042444648505254565860626468707274767880828486908892949698100102104106108110112114116118120122124126130128132134136138140142144146148150[[#This Row],[Colonna2]]*$Q3</f>
        <v>66.4</v>
      </c>
      <c r="U40" s="14" t="n">
        <f aca="false">Tabella52791124791618202224262830323436384042444648505254565860626468707274767880828486908892949698100102104106108110112114116118120122124126130128132134136138140142144146148150[[#This Row],[Colonna3]]*$Q3</f>
        <v>16.8</v>
      </c>
      <c r="V40" s="14" t="n">
        <f aca="false">Tabella52791124791618202224262830323436384042444648505254565860626468707274767880828486908892949698100102104106108110112114116118120122124126130128132134136138140142144146148150[[#This Row],[Colonna4]]*$Q3</f>
        <v>2</v>
      </c>
      <c r="W40" s="14" t="n">
        <f aca="false">Tabella52791124791618202224262830323436384042444648505254565860626468707274767880828486908892949698100102104106108110112114116118120122124126130128132134136138140142144146148150[[#This Row],[Colonna5]]*$Q3</f>
        <v>30</v>
      </c>
      <c r="X40" s="14" t="n">
        <f aca="false">Tabella52791124791618202224262830323436384042444648505254565860626468707274767880828486908892949698100102104106108110112114116118120122124126130128132134136138140142144146148150[[#This Row],[Colonna6]]*$Q3</f>
        <v>2</v>
      </c>
      <c r="Y40" s="14" t="n">
        <f aca="false">Tabella52791124791618202224262830323436384042444648505254565860626468707274767880828486908892949698100102104106108110112114116118120122124126130128132134136138140142144146148150[[#This Row],[Colonna7]]*$Q3</f>
        <v>9.2</v>
      </c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52</v>
      </c>
      <c r="H41" s="13" t="n">
        <v>20</v>
      </c>
      <c r="I41" s="13" t="n">
        <v>16</v>
      </c>
      <c r="J41" s="13" t="n">
        <v>3</v>
      </c>
      <c r="K41" s="13" t="n">
        <v>10</v>
      </c>
      <c r="L41" s="13" t="n">
        <v>6</v>
      </c>
      <c r="M41" s="13" t="n">
        <v>3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Tabella52791124791618202224262830323436384042444648505254565860626468707274767880828486908892949698100102104106108110112114116118120122124126130128132134136138140142144146148150[[#This Row],[Colonna1]]*$Q3</f>
        <v>20.8</v>
      </c>
      <c r="T41" s="14" t="n">
        <f aca="false">Tabella52791124791618202224262830323436384042444648505254565860626468707274767880828486908892949698100102104106108110112114116118120122124126130128132134136138140142144146148150[[#This Row],[Colonna2]]*$Q3</f>
        <v>8</v>
      </c>
      <c r="U41" s="14" t="n">
        <f aca="false">Tabella52791124791618202224262830323436384042444648505254565860626468707274767880828486908892949698100102104106108110112114116118120122124126130128132134136138140142144146148150[[#This Row],[Colonna3]]*$Q3</f>
        <v>6.4</v>
      </c>
      <c r="V41" s="14" t="n">
        <f aca="false">Tabella52791124791618202224262830323436384042444648505254565860626468707274767880828486908892949698100102104106108110112114116118120122124126130128132134136138140142144146148150[[#This Row],[Colonna4]]*$Q3</f>
        <v>1.2</v>
      </c>
      <c r="W41" s="14" t="n">
        <f aca="false">Tabella52791124791618202224262830323436384042444648505254565860626468707274767880828486908892949698100102104106108110112114116118120122124126130128132134136138140142144146148150[[#This Row],[Colonna5]]*$Q3</f>
        <v>4</v>
      </c>
      <c r="X41" s="14" t="n">
        <f aca="false">Tabella52791124791618202224262830323436384042444648505254565860626468707274767880828486908892949698100102104106108110112114116118120122124126130128132134136138140142144146148150[[#This Row],[Colonna6]]*$Q3</f>
        <v>2.4</v>
      </c>
      <c r="Y41" s="14" t="n">
        <f aca="false">Tabella52791124791618202224262830323436384042444648505254565860626468707274767880828486908892949698100102104106108110112114116118120122124126130128132134136138140142144146148150[[#This Row],[Colonna7]]*$Q3</f>
        <v>1.2</v>
      </c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2</v>
      </c>
      <c r="H42" s="13"/>
      <c r="I42" s="13" t="n">
        <v>1</v>
      </c>
      <c r="J42" s="13"/>
      <c r="K42" s="13"/>
      <c r="L42" s="13"/>
      <c r="M42" s="13"/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Tabella52791124791618202224262830323436384042444648505254565860626468707274767880828486908892949698100102104106108110112114116118120122124126130128132134136138140142144146148150[[#This Row],[Colonna1]]*$Q3</f>
        <v>0.8</v>
      </c>
      <c r="T42" s="14"/>
      <c r="U42" s="14" t="n">
        <f aca="false">Tabella52791124791618202224262830323436384042444648505254565860626468707274767880828486908892949698100102104106108110112114116118120122124126130128132134136138140142144146148150[[#This Row],[Colonna3]]*$Q3</f>
        <v>0.4</v>
      </c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671</v>
      </c>
      <c r="H43" s="13" t="n">
        <v>411</v>
      </c>
      <c r="I43" s="13" t="n">
        <v>67</v>
      </c>
      <c r="J43" s="13" t="n">
        <v>12</v>
      </c>
      <c r="K43" s="13" t="n">
        <v>32</v>
      </c>
      <c r="L43" s="13" t="n">
        <v>20</v>
      </c>
      <c r="M43" s="13" t="n">
        <v>13</v>
      </c>
      <c r="P43" s="18" t="s">
        <v>50</v>
      </c>
      <c r="Q43" s="18"/>
      <c r="R43" s="18"/>
      <c r="S43" s="14" t="n">
        <f aca="false">Tabella52791124791618202224262830323436384042444648505254565860626468707274767880828486908892949698100102104106108110112114116118120122124126130128132134136138140142144146148150[[#This Row],[Colonna1]]*$Q3</f>
        <v>268.4</v>
      </c>
      <c r="T43" s="14" t="n">
        <f aca="false">Tabella52791124791618202224262830323436384042444648505254565860626468707274767880828486908892949698100102104106108110112114116118120122124126130128132134136138140142144146148150[[#This Row],[Colonna2]]*$Q3</f>
        <v>164.4</v>
      </c>
      <c r="U43" s="14" t="n">
        <f aca="false">Tabella52791124791618202224262830323436384042444648505254565860626468707274767880828486908892949698100102104106108110112114116118120122124126130128132134136138140142144146148150[[#This Row],[Colonna3]]*$Q3</f>
        <v>26.8</v>
      </c>
      <c r="V43" s="14" t="n">
        <f aca="false">Tabella52791124791618202224262830323436384042444648505254565860626468707274767880828486908892949698100102104106108110112114116118120122124126130128132134136138140142144146148150[[#This Row],[Colonna4]]*$Q3</f>
        <v>4.8</v>
      </c>
      <c r="W43" s="14" t="n">
        <f aca="false">Tabella52791124791618202224262830323436384042444648505254565860626468707274767880828486908892949698100102104106108110112114116118120122124126130128132134136138140142144146148150[[#This Row],[Colonna5]]*$Q3</f>
        <v>12.8</v>
      </c>
      <c r="X43" s="14" t="n">
        <f aca="false">Tabella52791124791618202224262830323436384042444648505254565860626468707274767880828486908892949698100102104106108110112114116118120122124126130128132134136138140142144146148150[[#This Row],[Colonna6]]*$Q3</f>
        <v>8</v>
      </c>
      <c r="Y43" s="14" t="n">
        <f aca="false">Tabella52791124791618202224262830323436384042444648505254565860626468707274767880828486908892949698100102104106108110112114116118120122124126130128132134136138140142144146148150[[#This Row],[Colonna7]]*$Q3</f>
        <v>5.2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139</v>
      </c>
      <c r="H44" s="13" t="n">
        <v>241</v>
      </c>
      <c r="I44" s="13" t="n">
        <v>50</v>
      </c>
      <c r="J44" s="13" t="n">
        <v>15</v>
      </c>
      <c r="K44" s="13" t="n">
        <v>21</v>
      </c>
      <c r="L44" s="13" t="n">
        <v>30</v>
      </c>
      <c r="M44" s="13" t="n">
        <v>13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Tabella52791124791618202224262830323436384042444648505254565860626468707274767880828486908892949698100102104106108110112114116118120122124126130128132134136138140142144146148150[[#This Row],[Colonna1]]*$Q3</f>
        <v>55.6</v>
      </c>
      <c r="T44" s="14" t="n">
        <f aca="false">Tabella52791124791618202224262830323436384042444648505254565860626468707274767880828486908892949698100102104106108110112114116118120122124126130128132134136138140142144146148150[[#This Row],[Colonna2]]*$Q3</f>
        <v>96.4</v>
      </c>
      <c r="U44" s="14" t="n">
        <f aca="false">Tabella52791124791618202224262830323436384042444648505254565860626468707274767880828486908892949698100102104106108110112114116118120122124126130128132134136138140142144146148150[[#This Row],[Colonna3]]*$Q3</f>
        <v>20</v>
      </c>
      <c r="V44" s="14" t="n">
        <f aca="false">Tabella52791124791618202224262830323436384042444648505254565860626468707274767880828486908892949698100102104106108110112114116118120122124126130128132134136138140142144146148150[[#This Row],[Colonna4]]*$Q3</f>
        <v>6</v>
      </c>
      <c r="W44" s="14" t="n">
        <f aca="false">Tabella52791124791618202224262830323436384042444648505254565860626468707274767880828486908892949698100102104106108110112114116118120122124126130128132134136138140142144146148150[[#This Row],[Colonna5]]*$Q3</f>
        <v>8.4</v>
      </c>
      <c r="X44" s="14" t="n">
        <f aca="false">Tabella52791124791618202224262830323436384042444648505254565860626468707274767880828486908892949698100102104106108110112114116118120122124126130128132134136138140142144146148150[[#This Row],[Colonna6]]*$Q3</f>
        <v>12</v>
      </c>
      <c r="Y44" s="14" t="n">
        <f aca="false">Tabella52791124791618202224262830323436384042444648505254565860626468707274767880828486908892949698100102104106108110112114116118120122124126130128132134136138140142144146148150[[#This Row],[Colonna7]]*$Q3</f>
        <v>5.2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</v>
      </c>
      <c r="H52" s="13"/>
      <c r="I52" s="13" t="n">
        <v>1</v>
      </c>
      <c r="J52" s="13"/>
      <c r="K52" s="13" t="n">
        <v>7</v>
      </c>
      <c r="L52" s="13" t="n">
        <v>4</v>
      </c>
      <c r="M52" s="13" t="n">
        <v>4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Tabella52791124791618202224262830323436384042444648505254565860626468707274767880828486908892949698100102104106108110112114116118120122124126130128132134136138140142144146148150[[#This Row],[Colonna1]]*$Q3</f>
        <v>0.8</v>
      </c>
      <c r="T52" s="14"/>
      <c r="U52" s="14" t="n">
        <f aca="false">Tabella52791124791618202224262830323436384042444648505254565860626468707274767880828486908892949698100102104106108110112114116118120122124126130128132134136138140142144146148150[[#This Row],[Colonna3]]*$Q3</f>
        <v>0.4</v>
      </c>
      <c r="V52" s="14"/>
      <c r="W52" s="14" t="n">
        <f aca="false">Tabella52791124791618202224262830323436384042444648505254565860626468707274767880828486908892949698100102104106108110112114116118120122124126130128132134136138140142144146148150[[#This Row],[Colonna5]]*$Q3</f>
        <v>2.8</v>
      </c>
      <c r="X52" s="14" t="n">
        <f aca="false">Tabella52791124791618202224262830323436384042444648505254565860626468707274767880828486908892949698100102104106108110112114116118120122124126130128132134136138140142144146148150[[#This Row],[Colonna6]]*$Q3</f>
        <v>1.6</v>
      </c>
      <c r="Y52" s="14" t="n">
        <f aca="false">Tabella52791124791618202224262830323436384042444648505254565860626468707274767880828486908892949698100102104106108110112114116118120122124126130128132134136138140142144146148150[[#This Row],[Colonna7]]*$Q3</f>
        <v>1.6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3713</v>
      </c>
      <c r="H53" s="55" t="n">
        <f aca="false">SUM(H6:H52)</f>
        <v>2251</v>
      </c>
      <c r="I53" s="55" t="n">
        <f aca="false">SUM(I6:I52)</f>
        <v>1236</v>
      </c>
      <c r="J53" s="55" t="n">
        <f aca="false">SUM(J6:J52)</f>
        <v>288</v>
      </c>
      <c r="K53" s="55" t="n">
        <f aca="false">SUM(K6:K52)</f>
        <v>771</v>
      </c>
      <c r="L53" s="55" t="n">
        <f aca="false">SUM(L6:L52)</f>
        <v>895</v>
      </c>
      <c r="M53" s="55" t="n">
        <f aca="false">SUM(M6:M52)</f>
        <v>1002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Tabella52791124791618202224262830323436384042444648505254565860626468707274767880828486908892949698100102104106108110112114116118120122124126130128132134136138140142144146148150[[#This Row],[Colonna1]]*$Q3</f>
        <v>1485.2</v>
      </c>
      <c r="T53" s="56" t="n">
        <f aca="false">Tabella52791124791618202224262830323436384042444648505254565860626468707274767880828486908892949698100102104106108110112114116118120122124126130128132134136138140142144146148150[[#This Row],[Colonna2]]*$Q3</f>
        <v>900.4</v>
      </c>
      <c r="U53" s="56" t="n">
        <f aca="false">Tabella52791124791618202224262830323436384042444648505254565860626468707274767880828486908892949698100102104106108110112114116118120122124126130128132134136138140142144146148150[[#This Row],[Colonna3]]*$Q3</f>
        <v>494.4</v>
      </c>
      <c r="V53" s="56" t="n">
        <f aca="false">Tabella52791124791618202224262830323436384042444648505254565860626468707274767880828486908892949698100102104106108110112114116118120122124126130128132134136138140142144146148150[[#This Row],[Colonna4]]*$Q3</f>
        <v>115.2</v>
      </c>
      <c r="W53" s="56" t="n">
        <f aca="false">Tabella52791124791618202224262830323436384042444648505254565860626468707274767880828486908892949698100102104106108110112114116118120122124126130128132134136138140142144146148150[[#This Row],[Colonna5]]*$Q3</f>
        <v>308.4</v>
      </c>
      <c r="X53" s="56" t="n">
        <f aca="false">Tabella52791124791618202224262830323436384042444648505254565860626468707274767880828486908892949698100102104106108110112114116118120122124126130128132134136138140142144146148150[[#This Row],[Colonna6]]*$Q3</f>
        <v>358</v>
      </c>
      <c r="Y53" s="56" t="n">
        <f aca="false">Tabella52791124791618202224262830323436384042444648505254565860626468707274767880828486908892949698100102104106108110112114116118120122124126130128132134136138140142144146148150[[#This Row],[Colonna7]]*$Q3</f>
        <v>400.8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48</v>
      </c>
      <c r="H58" s="26" t="n">
        <v>42</v>
      </c>
      <c r="I58" s="26" t="n">
        <v>22</v>
      </c>
      <c r="J58" s="26" t="n">
        <v>14</v>
      </c>
      <c r="K58" s="26" t="n">
        <v>6</v>
      </c>
      <c r="L58" s="26" t="n">
        <v>16</v>
      </c>
      <c r="M58" s="26" t="n">
        <v>3</v>
      </c>
      <c r="P58" s="23" t="s">
        <v>62</v>
      </c>
      <c r="Q58" s="23"/>
      <c r="R58" s="23"/>
      <c r="S58" s="57" t="n">
        <f aca="false">G58*$Q3</f>
        <v>19.2</v>
      </c>
      <c r="T58" s="57" t="n">
        <f aca="false">H58*$Q3</f>
        <v>16.8</v>
      </c>
      <c r="U58" s="57" t="n">
        <f aca="false">I58*$Q3</f>
        <v>8.8</v>
      </c>
      <c r="V58" s="57" t="n">
        <f aca="false">J58*$Q3</f>
        <v>5.6</v>
      </c>
      <c r="W58" s="57" t="n">
        <f aca="false">K58*$Q3</f>
        <v>2.4</v>
      </c>
      <c r="X58" s="57" t="n">
        <f aca="false">L58*$Q3</f>
        <v>6.4</v>
      </c>
      <c r="Y58" s="27" t="n">
        <f aca="false">M58*$Q3</f>
        <v>1.2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/>
      <c r="H62" s="26" t="n">
        <v>6</v>
      </c>
      <c r="I62" s="26"/>
      <c r="J62" s="26"/>
      <c r="K62" s="26"/>
      <c r="L62" s="26" t="n">
        <v>2</v>
      </c>
      <c r="M62" s="26" t="n">
        <v>1</v>
      </c>
      <c r="P62" s="9" t="s">
        <v>66</v>
      </c>
      <c r="Q62" s="9"/>
      <c r="R62" s="9"/>
      <c r="S62" s="57"/>
      <c r="T62" s="57" t="n">
        <f aca="false">H62*$Q3</f>
        <v>2.4</v>
      </c>
      <c r="U62" s="57"/>
      <c r="V62" s="57"/>
      <c r="W62" s="57"/>
      <c r="X62" s="57" t="n">
        <f aca="false">L62*$Q3</f>
        <v>0.8</v>
      </c>
      <c r="Y62" s="57" t="n">
        <f aca="false">M62*$Q3</f>
        <v>0.4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164"/>
      <c r="I63" s="13"/>
      <c r="J63" s="26"/>
      <c r="K63" s="26"/>
      <c r="L63" s="26"/>
      <c r="M63" s="26"/>
      <c r="P63" s="9" t="s">
        <v>67</v>
      </c>
      <c r="Q63" s="9"/>
      <c r="R63" s="9"/>
      <c r="S63" s="57"/>
      <c r="T63" s="57"/>
      <c r="U63" s="57"/>
      <c r="V63" s="57"/>
      <c r="W63" s="57"/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 t="n">
        <v>1</v>
      </c>
      <c r="I64" s="26"/>
      <c r="J64" s="26" t="n">
        <v>1</v>
      </c>
      <c r="K64" s="26"/>
      <c r="L64" s="26" t="n">
        <v>1</v>
      </c>
      <c r="M64" s="26"/>
      <c r="P64" s="9" t="s">
        <v>68</v>
      </c>
      <c r="Q64" s="9"/>
      <c r="R64" s="9"/>
      <c r="S64" s="57"/>
      <c r="T64" s="57" t="n">
        <f aca="false">H64*$Q3</f>
        <v>0.4</v>
      </c>
      <c r="U64" s="57"/>
      <c r="V64" s="57" t="n">
        <f aca="false">J64*$Q3</f>
        <v>0.4</v>
      </c>
      <c r="W64" s="57"/>
      <c r="X64" s="57" t="n">
        <f aca="false">L64*$Q3</f>
        <v>0.4</v>
      </c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 t="n">
        <v>1</v>
      </c>
      <c r="I65" s="30" t="n">
        <v>4</v>
      </c>
      <c r="J65" s="26" t="n">
        <v>2</v>
      </c>
      <c r="K65" s="26" t="n">
        <v>3</v>
      </c>
      <c r="L65" s="26" t="n">
        <v>2</v>
      </c>
      <c r="M65" s="26" t="n">
        <v>6</v>
      </c>
      <c r="P65" s="9" t="s">
        <v>69</v>
      </c>
      <c r="Q65" s="9"/>
      <c r="R65" s="9"/>
      <c r="S65" s="57"/>
      <c r="T65" s="57" t="n">
        <f aca="false">H65*$Q3</f>
        <v>0.4</v>
      </c>
      <c r="U65" s="57" t="n">
        <f aca="false">I65*$Q3</f>
        <v>1.6</v>
      </c>
      <c r="V65" s="57" t="n">
        <f aca="false">J65*$Q3</f>
        <v>0.8</v>
      </c>
      <c r="W65" s="57" t="n">
        <f aca="false">K65*$Q3</f>
        <v>1.2</v>
      </c>
      <c r="X65" s="57" t="n">
        <f aca="false">L65*$Q3</f>
        <v>0.8</v>
      </c>
      <c r="Y65" s="27" t="n">
        <f aca="false">M65*$Q3</f>
        <v>2.4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3</v>
      </c>
      <c r="H67" s="139" t="n">
        <v>3</v>
      </c>
      <c r="I67" s="139"/>
      <c r="J67" s="26" t="n">
        <v>1</v>
      </c>
      <c r="K67" s="26"/>
      <c r="L67" s="26" t="n">
        <v>4</v>
      </c>
      <c r="M67" s="26" t="n">
        <v>1</v>
      </c>
      <c r="P67" s="9" t="s">
        <v>71</v>
      </c>
      <c r="Q67" s="9"/>
      <c r="R67" s="9"/>
      <c r="S67" s="57" t="n">
        <f aca="false">G67*$Q3</f>
        <v>1.2</v>
      </c>
      <c r="T67" s="57" t="n">
        <f aca="false">H67*$Q3</f>
        <v>1.2</v>
      </c>
      <c r="U67" s="57"/>
      <c r="V67" s="57" t="n">
        <f aca="false">J67*$Q3</f>
        <v>0.4</v>
      </c>
      <c r="W67" s="57"/>
      <c r="X67" s="57" t="n">
        <f aca="false">L67*$Q3</f>
        <v>1.6</v>
      </c>
      <c r="Y67" s="57" t="n">
        <f aca="false">M67*$Q3</f>
        <v>0.4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37</v>
      </c>
      <c r="H68" s="30" t="n">
        <v>71</v>
      </c>
      <c r="I68" s="30" t="n">
        <v>18</v>
      </c>
      <c r="J68" s="30" t="n">
        <v>4</v>
      </c>
      <c r="K68" s="30" t="n">
        <v>8</v>
      </c>
      <c r="L68" s="30" t="n">
        <v>12</v>
      </c>
      <c r="M68" s="30" t="n">
        <v>6</v>
      </c>
      <c r="P68" s="9" t="s">
        <v>72</v>
      </c>
      <c r="Q68" s="9"/>
      <c r="R68" s="9"/>
      <c r="S68" s="57" t="n">
        <f aca="false">G68*$Q3</f>
        <v>14.8</v>
      </c>
      <c r="T68" s="57" t="n">
        <f aca="false">H68*$Q3</f>
        <v>28.4</v>
      </c>
      <c r="U68" s="57" t="n">
        <f aca="false">I68*$Q3</f>
        <v>7.2</v>
      </c>
      <c r="V68" s="57" t="n">
        <f aca="false">J68*$Q3</f>
        <v>1.6</v>
      </c>
      <c r="W68" s="57" t="n">
        <f aca="false">K68*$Q3</f>
        <v>3.2</v>
      </c>
      <c r="X68" s="57" t="n">
        <f aca="false">L68*$Q3</f>
        <v>4.8</v>
      </c>
      <c r="Y68" s="57" t="n">
        <f aca="false">M68*$Q3</f>
        <v>2.4</v>
      </c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 t="n">
        <v>19</v>
      </c>
      <c r="I69" s="30" t="n">
        <v>14</v>
      </c>
      <c r="J69" s="30" t="n">
        <v>12</v>
      </c>
      <c r="K69" s="30" t="n">
        <v>4</v>
      </c>
      <c r="L69" s="30" t="n">
        <v>21</v>
      </c>
      <c r="M69" s="30" t="n">
        <v>3</v>
      </c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7.6</v>
      </c>
      <c r="U69" s="57" t="n">
        <f aca="false">I69*$Q3</f>
        <v>5.6</v>
      </c>
      <c r="V69" s="57" t="n">
        <f aca="false">J69*$Q3</f>
        <v>4.8</v>
      </c>
      <c r="W69" s="57" t="n">
        <f aca="false">K69*$Q3</f>
        <v>1.6</v>
      </c>
      <c r="X69" s="57" t="n">
        <f aca="false">L69*$Q3</f>
        <v>8.4</v>
      </c>
      <c r="Y69" s="57" t="n">
        <f aca="false">M69*$Q3</f>
        <v>1.2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88</v>
      </c>
      <c r="H70" s="60" t="n">
        <f aca="false">SUM(H58:H69)</f>
        <v>143</v>
      </c>
      <c r="I70" s="60" t="n">
        <f aca="false">SUM(I58:I69)</f>
        <v>58</v>
      </c>
      <c r="J70" s="60" t="n">
        <f aca="false">SUM(J58:J69)</f>
        <v>34</v>
      </c>
      <c r="K70" s="60" t="n">
        <f aca="false">SUM(K58:K69)</f>
        <v>21</v>
      </c>
      <c r="L70" s="60" t="n">
        <f aca="false">SUM(L58:L69)</f>
        <v>58</v>
      </c>
      <c r="M70" s="60" t="n">
        <f aca="false">SUM(M58:M69)</f>
        <v>20</v>
      </c>
      <c r="P70" s="9" t="s">
        <v>60</v>
      </c>
      <c r="Q70" s="9"/>
      <c r="R70" s="9"/>
      <c r="S70" s="61" t="n">
        <f aca="false">G70*$Q3</f>
        <v>35.2</v>
      </c>
      <c r="T70" s="61" t="n">
        <f aca="false">H70*$Q3</f>
        <v>57.2</v>
      </c>
      <c r="U70" s="61" t="n">
        <f aca="false">I70*$Q3</f>
        <v>23.2</v>
      </c>
      <c r="V70" s="61" t="n">
        <f aca="false">J70*$Q3</f>
        <v>13.6</v>
      </c>
      <c r="W70" s="61" t="n">
        <f aca="false">K70*$Q3</f>
        <v>8.4</v>
      </c>
      <c r="X70" s="61" t="n">
        <f aca="false">L70*$Q3</f>
        <v>23.2</v>
      </c>
      <c r="Y70" s="32" t="n">
        <f aca="false">M70*$Q3</f>
        <v>8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4" man="true" max="65535" min="0"/>
  </colBreaks>
  <tableParts>
    <tablePart r:id="rId1"/>
    <tablePart r:id="rId2"/>
  </tableParts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103</v>
      </c>
      <c r="I3" s="119" t="s">
        <v>2</v>
      </c>
      <c r="J3" s="4" t="n">
        <v>45411</v>
      </c>
      <c r="K3" s="5" t="n">
        <v>45417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103</v>
      </c>
      <c r="U3" s="119" t="s">
        <v>2</v>
      </c>
      <c r="V3" s="4" t="n">
        <v>45411</v>
      </c>
      <c r="W3" s="5" t="n">
        <v>45417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4</v>
      </c>
      <c r="H7" s="13" t="n">
        <v>43</v>
      </c>
      <c r="I7" s="13" t="n">
        <v>5</v>
      </c>
      <c r="J7" s="13" t="n">
        <v>22</v>
      </c>
      <c r="K7" s="13" t="n">
        <v>14</v>
      </c>
      <c r="L7" s="13" t="n">
        <v>16</v>
      </c>
      <c r="M7" s="13" t="n">
        <v>43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Tabella52791124791618202224262830323436384042444648505254565860626468707274767880828486908892949698100102104106108110112114116118120122124126130128132134136138140142144146148150152[[#This Row],[Colonna1]]*$Q3</f>
        <v>1.6</v>
      </c>
      <c r="T7" s="14" t="n">
        <f aca="false">Tabella52791124791618202224262830323436384042444648505254565860626468707274767880828486908892949698100102104106108110112114116118120122124126130128132134136138140142144146148150152[[#This Row],[Colonna2]]*$Q3</f>
        <v>17.2</v>
      </c>
      <c r="U7" s="14" t="n">
        <f aca="false">Tabella52791124791618202224262830323436384042444648505254565860626468707274767880828486908892949698100102104106108110112114116118120122124126130128132134136138140142144146148150152[[#This Row],[Colonna3]]*$Q3</f>
        <v>2</v>
      </c>
      <c r="V7" s="14" t="n">
        <f aca="false">Tabella52791124791618202224262830323436384042444648505254565860626468707274767880828486908892949698100102104106108110112114116118120122124126130128132134136138140142144146148150152[[#This Row],[Colonna4]]*$Q3</f>
        <v>8.8</v>
      </c>
      <c r="W7" s="14" t="n">
        <f aca="false">Tabella52791124791618202224262830323436384042444648505254565860626468707274767880828486908892949698100102104106108110112114116118120122124126130128132134136138140142144146148150152[[#This Row],[Colonna5]]*$Q3</f>
        <v>5.6</v>
      </c>
      <c r="X7" s="14" t="n">
        <f aca="false">Tabella52791124791618202224262830323436384042444648505254565860626468707274767880828486908892949698100102104106108110112114116118120122124126130128132134136138140142144146148150152[[#This Row],[Colonna6]]*$Q3</f>
        <v>6.4</v>
      </c>
      <c r="Y7" s="14" t="n">
        <f aca="false">Tabella52791124791618202224262830323436384042444648505254565860626468707274767880828486908892949698100102104106108110112114116118120122124126130128132134136138140142144146148150152[[#This Row],[Colonna7]]*$Q3</f>
        <v>17.2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2</v>
      </c>
      <c r="H10" s="13" t="n">
        <v>3</v>
      </c>
      <c r="I10" s="13" t="n">
        <v>1</v>
      </c>
      <c r="J10" s="13" t="n">
        <v>1</v>
      </c>
      <c r="K10" s="13"/>
      <c r="L10" s="13"/>
      <c r="M10" s="13"/>
      <c r="P10" s="12" t="s">
        <v>17</v>
      </c>
      <c r="Q10" s="12"/>
      <c r="R10" s="12"/>
      <c r="S10" s="14" t="n">
        <f aca="false">Tabella52791124791618202224262830323436384042444648505254565860626468707274767880828486908892949698100102104106108110112114116118120122124126130128132134136138140142144146148150152[[#This Row],[Colonna1]]*$Q3</f>
        <v>0.8</v>
      </c>
      <c r="T10" s="14" t="n">
        <f aca="false">Tabella52791124791618202224262830323436384042444648505254565860626468707274767880828486908892949698100102104106108110112114116118120122124126130128132134136138140142144146148150152[[#This Row],[Colonna2]]*$Q3</f>
        <v>1.2</v>
      </c>
      <c r="U10" s="14" t="n">
        <f aca="false">Tabella52791124791618202224262830323436384042444648505254565860626468707274767880828486908892949698100102104106108110112114116118120122124126130128132134136138140142144146148150152[[#This Row],[Colonna3]]*$Q3</f>
        <v>0.4</v>
      </c>
      <c r="V10" s="14" t="n">
        <f aca="false">Tabella52791124791618202224262830323436384042444648505254565860626468707274767880828486908892949698100102104106108110112114116118120122124126130128132134136138140142144146148150152[[#This Row],[Colonna4]]*$Q3</f>
        <v>0.4</v>
      </c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 t="n">
        <v>2</v>
      </c>
      <c r="K19" s="13" t="n">
        <v>1</v>
      </c>
      <c r="L19" s="13" t="n">
        <v>1</v>
      </c>
      <c r="M19" s="13"/>
      <c r="P19" s="9" t="s">
        <v>26</v>
      </c>
      <c r="Q19" s="9"/>
      <c r="R19" s="9"/>
      <c r="S19" s="14"/>
      <c r="T19" s="14"/>
      <c r="U19" s="14"/>
      <c r="V19" s="14" t="n">
        <f aca="false">Tabella52791124791618202224262830323436384042444648505254565860626468707274767880828486908892949698100102104106108110112114116118120122124126130128132134136138140142144146148150152[[#This Row],[Colonna4]]*$Q3</f>
        <v>0.8</v>
      </c>
      <c r="W19" s="14" t="n">
        <f aca="false">Tabella52791124791618202224262830323436384042444648505254565860626468707274767880828486908892949698100102104106108110112114116118120122124126130128132134136138140142144146148150152[[#This Row],[Colonna5]]*$Q3</f>
        <v>0.4</v>
      </c>
      <c r="X19" s="14" t="n">
        <f aca="false">Tabella52791124791618202224262830323436384042444648505254565860626468707274767880828486908892949698100102104106108110112114116118120122124126130128132134136138140142144146148150152[[#This Row],[Colonna6]]*$Q3</f>
        <v>0.4</v>
      </c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 t="n">
        <v>1</v>
      </c>
      <c r="H20" s="13" t="n">
        <v>9</v>
      </c>
      <c r="I20" s="13"/>
      <c r="J20" s="13" t="n">
        <v>5</v>
      </c>
      <c r="K20" s="13"/>
      <c r="L20" s="13" t="n">
        <v>1</v>
      </c>
      <c r="M20" s="13" t="n">
        <v>5</v>
      </c>
      <c r="P20" s="9" t="s">
        <v>27</v>
      </c>
      <c r="Q20" s="9"/>
      <c r="R20" s="9"/>
      <c r="S20" s="14" t="n">
        <f aca="false">Tabella52791124791618202224262830323436384042444648505254565860626468707274767880828486908892949698100102104106108110112114116118120122124126130128132134136138140142144146148150152[[#This Row],[Colonna1]]*$Q3</f>
        <v>0.4</v>
      </c>
      <c r="T20" s="14" t="n">
        <f aca="false">Tabella52791124791618202224262830323436384042444648505254565860626468707274767880828486908892949698100102104106108110112114116118120122124126130128132134136138140142144146148150152[[#This Row],[Colonna2]]*$Q3</f>
        <v>3.6</v>
      </c>
      <c r="U20" s="14"/>
      <c r="V20" s="14" t="n">
        <f aca="false">Tabella52791124791618202224262830323436384042444648505254565860626468707274767880828486908892949698100102104106108110112114116118120122124126130128132134136138140142144146148150152[[#This Row],[Colonna4]]*$Q3</f>
        <v>2</v>
      </c>
      <c r="W20" s="14"/>
      <c r="X20" s="14" t="n">
        <f aca="false">Tabella52791124791618202224262830323436384042444648505254565860626468707274767880828486908892949698100102104106108110112114116118120122124126130128132134136138140142144146148150152[[#This Row],[Colonna6]]*$Q3</f>
        <v>0.4</v>
      </c>
      <c r="Y20" s="14" t="n">
        <f aca="false">Tabella52791124791618202224262830323436384042444648505254565860626468707274767880828486908892949698100102104106108110112114116118120122124126130128132134136138140142144146148150152[[#This Row],[Colonna7]]*$Q3</f>
        <v>2</v>
      </c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6</v>
      </c>
      <c r="H22" s="13" t="n">
        <v>139</v>
      </c>
      <c r="I22" s="13" t="n">
        <v>3</v>
      </c>
      <c r="J22" s="13" t="n">
        <v>63</v>
      </c>
      <c r="K22" s="13" t="n">
        <v>4</v>
      </c>
      <c r="L22" s="13" t="n">
        <v>16</v>
      </c>
      <c r="M22" s="13" t="n">
        <v>7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Tabella52791124791618202224262830323436384042444648505254565860626468707274767880828486908892949698100102104106108110112114116118120122124126130128132134136138140142144146148150152[[#This Row],[Colonna1]]*$Q3</f>
        <v>2.4</v>
      </c>
      <c r="T22" s="14" t="n">
        <f aca="false">Tabella52791124791618202224262830323436384042444648505254565860626468707274767880828486908892949698100102104106108110112114116118120122124126130128132134136138140142144146148150152[[#This Row],[Colonna2]]*$Q3</f>
        <v>55.6</v>
      </c>
      <c r="U22" s="14" t="n">
        <f aca="false">Tabella52791124791618202224262830323436384042444648505254565860626468707274767880828486908892949698100102104106108110112114116118120122124126130128132134136138140142144146148150152[[#This Row],[Colonna3]]*$Q3</f>
        <v>1.2</v>
      </c>
      <c r="V22" s="14" t="n">
        <f aca="false">Tabella52791124791618202224262830323436384042444648505254565860626468707274767880828486908892949698100102104106108110112114116118120122124126130128132134136138140142144146148150152[[#This Row],[Colonna4]]*$Q3</f>
        <v>25.2</v>
      </c>
      <c r="W22" s="14" t="n">
        <f aca="false">Tabella52791124791618202224262830323436384042444648505254565860626468707274767880828486908892949698100102104106108110112114116118120122124126130128132134136138140142144146148150152[[#This Row],[Colonna5]]*$Q3</f>
        <v>1.6</v>
      </c>
      <c r="X22" s="14" t="n">
        <f aca="false">Tabella52791124791618202224262830323436384042444648505254565860626468707274767880828486908892949698100102104106108110112114116118120122124126130128132134136138140142144146148150152[[#This Row],[Colonna6]]*$Q3</f>
        <v>6.4</v>
      </c>
      <c r="Y22" s="14" t="n">
        <f aca="false">Tabella52791124791618202224262830323436384042444648505254565860626468707274767880828486908892949698100102104106108110112114116118120122124126130128132134136138140142144146148150152[[#This Row],[Colonna7]]*$Q3</f>
        <v>2.8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14</v>
      </c>
      <c r="H27" s="13" t="n">
        <v>2</v>
      </c>
      <c r="I27" s="13" t="n">
        <v>3</v>
      </c>
      <c r="J27" s="13" t="n">
        <v>1</v>
      </c>
      <c r="K27" s="13" t="n">
        <v>5</v>
      </c>
      <c r="L27" s="13" t="n">
        <v>1</v>
      </c>
      <c r="M27" s="13" t="n">
        <v>24</v>
      </c>
      <c r="P27" s="12" t="s">
        <v>34</v>
      </c>
      <c r="Q27" s="12"/>
      <c r="R27" s="12"/>
      <c r="S27" s="14" t="n">
        <f aca="false">Tabella52791124791618202224262830323436384042444648505254565860626468707274767880828486908892949698100102104106108110112114116118120122124126130128132134136138140142144146148150152[[#This Row],[Colonna1]]*$Q3</f>
        <v>5.6</v>
      </c>
      <c r="T27" s="14" t="n">
        <f aca="false">Tabella52791124791618202224262830323436384042444648505254565860626468707274767880828486908892949698100102104106108110112114116118120122124126130128132134136138140142144146148150152[[#This Row],[Colonna2]]*$Q3</f>
        <v>0.8</v>
      </c>
      <c r="U27" s="14" t="n">
        <f aca="false">Tabella52791124791618202224262830323436384042444648505254565860626468707274767880828486908892949698100102104106108110112114116118120122124126130128132134136138140142144146148150152[[#This Row],[Colonna3]]*$Q3</f>
        <v>1.2</v>
      </c>
      <c r="V27" s="14" t="n">
        <f aca="false">Tabella52791124791618202224262830323436384042444648505254565860626468707274767880828486908892949698100102104106108110112114116118120122124126130128132134136138140142144146148150152[[#This Row],[Colonna4]]*$Q3</f>
        <v>0.4</v>
      </c>
      <c r="W27" s="14" t="n">
        <f aca="false">Tabella52791124791618202224262830323436384042444648505254565860626468707274767880828486908892949698100102104106108110112114116118120122124126130128132134136138140142144146148150152[[#This Row],[Colonna5]]*$Q3</f>
        <v>2</v>
      </c>
      <c r="X27" s="14" t="n">
        <f aca="false">Tabella52791124791618202224262830323436384042444648505254565860626468707274767880828486908892949698100102104106108110112114116118120122124126130128132134136138140142144146148150152[[#This Row],[Colonna6]]*$Q3</f>
        <v>0.4</v>
      </c>
      <c r="Y27" s="14" t="n">
        <f aca="false">Tabella52791124791618202224262830323436384042444648505254565860626468707274767880828486908892949698100102104106108110112114116118120122124126130128132134136138140142144146148150152[[#This Row],[Colonna7]]*$Q3</f>
        <v>9.6</v>
      </c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2</v>
      </c>
      <c r="H28" s="13" t="n">
        <v>9</v>
      </c>
      <c r="I28" s="13" t="n">
        <v>4</v>
      </c>
      <c r="J28" s="13" t="n">
        <v>6</v>
      </c>
      <c r="K28" s="13" t="n">
        <v>7</v>
      </c>
      <c r="L28" s="13" t="n">
        <v>11</v>
      </c>
      <c r="M28" s="13" t="n">
        <v>22</v>
      </c>
      <c r="P28" s="12" t="s">
        <v>35</v>
      </c>
      <c r="Q28" s="12"/>
      <c r="R28" s="12"/>
      <c r="S28" s="14" t="n">
        <f aca="false">Tabella52791124791618202224262830323436384042444648505254565860626468707274767880828486908892949698100102104106108110112114116118120122124126130128132134136138140142144146148150152[[#This Row],[Colonna1]]*$Q3</f>
        <v>0.8</v>
      </c>
      <c r="T28" s="14" t="n">
        <f aca="false">Tabella52791124791618202224262830323436384042444648505254565860626468707274767880828486908892949698100102104106108110112114116118120122124126130128132134136138140142144146148150152[[#This Row],[Colonna2]]*$Q3</f>
        <v>3.6</v>
      </c>
      <c r="U28" s="14" t="n">
        <f aca="false">Tabella52791124791618202224262830323436384042444648505254565860626468707274767880828486908892949698100102104106108110112114116118120122124126130128132134136138140142144146148150152[[#This Row],[Colonna3]]*$Q3</f>
        <v>1.6</v>
      </c>
      <c r="V28" s="14" t="n">
        <f aca="false">Tabella52791124791618202224262830323436384042444648505254565860626468707274767880828486908892949698100102104106108110112114116118120122124126130128132134136138140142144146148150152[[#This Row],[Colonna4]]*$Q3</f>
        <v>2.4</v>
      </c>
      <c r="W28" s="14" t="n">
        <f aca="false">Tabella52791124791618202224262830323436384042444648505254565860626468707274767880828486908892949698100102104106108110112114116118120122124126130128132134136138140142144146148150152[[#This Row],[Colonna5]]*$Q3</f>
        <v>2.8</v>
      </c>
      <c r="X28" s="14" t="n">
        <f aca="false">Tabella52791124791618202224262830323436384042444648505254565860626468707274767880828486908892949698100102104106108110112114116118120122124126130128132134136138140142144146148150152[[#This Row],[Colonna6]]*$Q3</f>
        <v>4.4</v>
      </c>
      <c r="Y28" s="14" t="n">
        <f aca="false">Tabella52791124791618202224262830323436384042444648505254565860626468707274767880828486908892949698100102104106108110112114116118120122124126130128132134136138140142144146148150152[[#This Row],[Colonna7]]*$Q3</f>
        <v>8.8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140</v>
      </c>
      <c r="H29" s="13" t="n">
        <v>294</v>
      </c>
      <c r="I29" s="13" t="n">
        <v>5</v>
      </c>
      <c r="J29" s="13" t="n">
        <v>26</v>
      </c>
      <c r="K29" s="13" t="n">
        <v>134</v>
      </c>
      <c r="L29" s="13" t="n">
        <v>283</v>
      </c>
      <c r="M29" s="13" t="n">
        <v>125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Tabella52791124791618202224262830323436384042444648505254565860626468707274767880828486908892949698100102104106108110112114116118120122124126130128132134136138140142144146148150152[[#This Row],[Colonna1]]*$Q3</f>
        <v>56</v>
      </c>
      <c r="T29" s="14" t="n">
        <f aca="false">Tabella52791124791618202224262830323436384042444648505254565860626468707274767880828486908892949698100102104106108110112114116118120122124126130128132134136138140142144146148150152[[#This Row],[Colonna2]]*$Q3</f>
        <v>117.6</v>
      </c>
      <c r="U29" s="14" t="n">
        <f aca="false">Tabella52791124791618202224262830323436384042444648505254565860626468707274767880828486908892949698100102104106108110112114116118120122124126130128132134136138140142144146148150152[[#This Row],[Colonna3]]*$Q3</f>
        <v>2</v>
      </c>
      <c r="V29" s="14" t="n">
        <f aca="false">Tabella52791124791618202224262830323436384042444648505254565860626468707274767880828486908892949698100102104106108110112114116118120122124126130128132134136138140142144146148150152[[#This Row],[Colonna4]]*$Q3</f>
        <v>10.4</v>
      </c>
      <c r="W29" s="14" t="n">
        <f aca="false">Tabella52791124791618202224262830323436384042444648505254565860626468707274767880828486908892949698100102104106108110112114116118120122124126130128132134136138140142144146148150152[[#This Row],[Colonna5]]*$Q3</f>
        <v>53.6</v>
      </c>
      <c r="X29" s="14" t="n">
        <f aca="false">Tabella52791124791618202224262830323436384042444648505254565860626468707274767880828486908892949698100102104106108110112114116118120122124126130128132134136138140142144146148150152[[#This Row],[Colonna6]]*$Q3</f>
        <v>113.2</v>
      </c>
      <c r="Y29" s="14" t="n">
        <f aca="false">Tabella52791124791618202224262830323436384042444648505254565860626468707274767880828486908892949698100102104106108110112114116118120122124126130128132134136138140142144146148150152[[#This Row],[Colonna7]]*$Q3</f>
        <v>50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 t="n">
        <v>1</v>
      </c>
      <c r="I31" s="13"/>
      <c r="J31" s="13" t="n">
        <v>3</v>
      </c>
      <c r="K31" s="13"/>
      <c r="L31" s="13" t="n">
        <v>3</v>
      </c>
      <c r="M31" s="13"/>
      <c r="P31" s="9" t="s">
        <v>38</v>
      </c>
      <c r="Q31" s="9"/>
      <c r="R31" s="9"/>
      <c r="S31" s="14"/>
      <c r="T31" s="14" t="n">
        <f aca="false">Tabella52791124791618202224262830323436384042444648505254565860626468707274767880828486908892949698100102104106108110112114116118120122124126130128132134136138140142144146148150152[[#This Row],[Colonna2]]*$Q3</f>
        <v>0.4</v>
      </c>
      <c r="U31" s="14"/>
      <c r="V31" s="14" t="n">
        <f aca="false">Tabella52791124791618202224262830323436384042444648505254565860626468707274767880828486908892949698100102104106108110112114116118120122124126130128132134136138140142144146148150152[[#This Row],[Colonna4]]*$Q3</f>
        <v>1.2</v>
      </c>
      <c r="W31" s="14"/>
      <c r="X31" s="14" t="n">
        <f aca="false">Tabella52791124791618202224262830323436384042444648505254565860626468707274767880828486908892949698100102104106108110112114116118120122124126130128132134136138140142144146148150152[[#This Row],[Colonna6]]*$Q3</f>
        <v>1.2</v>
      </c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 t="n">
        <v>193</v>
      </c>
      <c r="H34" s="13" t="n">
        <v>154</v>
      </c>
      <c r="I34" s="13" t="n">
        <v>35</v>
      </c>
      <c r="J34" s="13" t="n">
        <v>27</v>
      </c>
      <c r="K34" s="13" t="n">
        <v>30</v>
      </c>
      <c r="L34" s="13" t="n">
        <v>31</v>
      </c>
      <c r="M34" s="13" t="n">
        <v>62</v>
      </c>
      <c r="P34" s="9" t="s">
        <v>41</v>
      </c>
      <c r="Q34" s="9"/>
      <c r="R34" s="9"/>
      <c r="S34" s="14" t="n">
        <f aca="false">Tabella52791124791618202224262830323436384042444648505254565860626468707274767880828486908892949698100102104106108110112114116118120122124126130128132134136138140142144146148150152[[#This Row],[Colonna1]]*$Q3</f>
        <v>77.2</v>
      </c>
      <c r="T34" s="14" t="n">
        <f aca="false">Tabella52791124791618202224262830323436384042444648505254565860626468707274767880828486908892949698100102104106108110112114116118120122124126130128132134136138140142144146148150152[[#This Row],[Colonna2]]*$Q3</f>
        <v>61.6</v>
      </c>
      <c r="U34" s="14" t="n">
        <f aca="false">Tabella52791124791618202224262830323436384042444648505254565860626468707274767880828486908892949698100102104106108110112114116118120122124126130128132134136138140142144146148150152[[#This Row],[Colonna3]]*$Q3</f>
        <v>14</v>
      </c>
      <c r="V34" s="14" t="n">
        <f aca="false">Tabella52791124791618202224262830323436384042444648505254565860626468707274767880828486908892949698100102104106108110112114116118120122124126130128132134136138140142144146148150152[[#This Row],[Colonna4]]*$Q3</f>
        <v>10.8</v>
      </c>
      <c r="W34" s="14" t="n">
        <f aca="false">Tabella52791124791618202224262830323436384042444648505254565860626468707274767880828486908892949698100102104106108110112114116118120122124126130128132134136138140142144146148150152[[#This Row],[Colonna5]]*$Q3</f>
        <v>12</v>
      </c>
      <c r="X34" s="14" t="n">
        <f aca="false">Tabella52791124791618202224262830323436384042444648505254565860626468707274767880828486908892949698100102104106108110112114116118120122124126130128132134136138140142144146148150152[[#This Row],[Colonna6]]*$Q3</f>
        <v>12.4</v>
      </c>
      <c r="Y34" s="14" t="n">
        <f aca="false">Tabella52791124791618202224262830323436384042444648505254565860626468707274767880828486908892949698100102104106108110112114116118120122124126130128132134136138140142144146148150152[[#This Row],[Colonna7]]*$Q3</f>
        <v>24.8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1</v>
      </c>
      <c r="H38" s="13" t="n">
        <v>22</v>
      </c>
      <c r="I38" s="13" t="n">
        <v>2</v>
      </c>
      <c r="J38" s="13" t="n">
        <v>12</v>
      </c>
      <c r="K38" s="13" t="n">
        <v>5</v>
      </c>
      <c r="L38" s="13" t="n">
        <v>6</v>
      </c>
      <c r="M38" s="13" t="n">
        <v>14</v>
      </c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Tabella52791124791618202224262830323436384042444648505254565860626468707274767880828486908892949698100102104106108110112114116118120122124126130128132134136138140142144146148150152[[#This Row],[Colonna1]]*$Q3</f>
        <v>0.4</v>
      </c>
      <c r="T38" s="14" t="n">
        <f aca="false">Tabella52791124791618202224262830323436384042444648505254565860626468707274767880828486908892949698100102104106108110112114116118120122124126130128132134136138140142144146148150152[[#This Row],[Colonna2]]*$Q3</f>
        <v>8.8</v>
      </c>
      <c r="U38" s="14" t="n">
        <f aca="false">Tabella52791124791618202224262830323436384042444648505254565860626468707274767880828486908892949698100102104106108110112114116118120122124126130128132134136138140142144146148150152[[#This Row],[Colonna3]]*$Q3</f>
        <v>0.8</v>
      </c>
      <c r="V38" s="14" t="n">
        <f aca="false">Tabella52791124791618202224262830323436384042444648505254565860626468707274767880828486908892949698100102104106108110112114116118120122124126130128132134136138140142144146148150152[[#This Row],[Colonna4]]*$Q3</f>
        <v>4.8</v>
      </c>
      <c r="W38" s="14" t="n">
        <f aca="false">Tabella52791124791618202224262830323436384042444648505254565860626468707274767880828486908892949698100102104106108110112114116118120122124126130128132134136138140142144146148150152[[#This Row],[Colonna5]]*$Q3</f>
        <v>2</v>
      </c>
      <c r="X38" s="14" t="n">
        <f aca="false">Tabella52791124791618202224262830323436384042444648505254565860626468707274767880828486908892949698100102104106108110112114116118120122124126130128132134136138140142144146148150152[[#This Row],[Colonna6]]*$Q3</f>
        <v>2.4</v>
      </c>
      <c r="Y38" s="14" t="n">
        <f aca="false">Tabella52791124791618202224262830323436384042444648505254565860626468707274767880828486908892949698100102104106108110112114116118120122124126130128132134136138140142144146148150152[[#This Row],[Colonna7]]*$Q3</f>
        <v>5.6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 t="n">
        <v>1</v>
      </c>
      <c r="H40" s="13" t="n">
        <v>15</v>
      </c>
      <c r="I40" s="13" t="n">
        <v>10</v>
      </c>
      <c r="J40" s="13" t="n">
        <v>12</v>
      </c>
      <c r="K40" s="13" t="n">
        <v>10</v>
      </c>
      <c r="L40" s="13" t="n">
        <v>11</v>
      </c>
      <c r="M40" s="13" t="n">
        <v>18</v>
      </c>
      <c r="P40" s="12" t="s">
        <v>47</v>
      </c>
      <c r="Q40" s="12"/>
      <c r="R40" s="12"/>
      <c r="S40" s="14" t="n">
        <f aca="false">Tabella52791124791618202224262830323436384042444648505254565860626468707274767880828486908892949698100102104106108110112114116118120122124126130128132134136138140142144146148150152[[#This Row],[Colonna1]]*$Q3</f>
        <v>0.4</v>
      </c>
      <c r="T40" s="14" t="n">
        <f aca="false">Tabella52791124791618202224262830323436384042444648505254565860626468707274767880828486908892949698100102104106108110112114116118120122124126130128132134136138140142144146148150152[[#This Row],[Colonna2]]*$Q3</f>
        <v>6</v>
      </c>
      <c r="U40" s="14" t="n">
        <f aca="false">Tabella52791124791618202224262830323436384042444648505254565860626468707274767880828486908892949698100102104106108110112114116118120122124126130128132134136138140142144146148150152[[#This Row],[Colonna3]]*$Q3</f>
        <v>4</v>
      </c>
      <c r="V40" s="14" t="n">
        <f aca="false">Tabella52791124791618202224262830323436384042444648505254565860626468707274767880828486908892949698100102104106108110112114116118120122124126130128132134136138140142144146148150152[[#This Row],[Colonna4]]*$Q3</f>
        <v>4.8</v>
      </c>
      <c r="W40" s="14" t="n">
        <f aca="false">Tabella52791124791618202224262830323436384042444648505254565860626468707274767880828486908892949698100102104106108110112114116118120122124126130128132134136138140142144146148150152[[#This Row],[Colonna5]]*$Q3</f>
        <v>4</v>
      </c>
      <c r="X40" s="14" t="n">
        <f aca="false">Tabella52791124791618202224262830323436384042444648505254565860626468707274767880828486908892949698100102104106108110112114116118120122124126130128132134136138140142144146148150152[[#This Row],[Colonna6]]*$Q3</f>
        <v>4.4</v>
      </c>
      <c r="Y40" s="14" t="n">
        <f aca="false">Tabella52791124791618202224262830323436384042444648505254565860626468707274767880828486908892949698100102104106108110112114116118120122124126130128132134136138140142144146148150152[[#This Row],[Colonna7]]*$Q3</f>
        <v>7.2</v>
      </c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3</v>
      </c>
      <c r="H41" s="13" t="n">
        <v>9</v>
      </c>
      <c r="I41" s="13" t="n">
        <v>2</v>
      </c>
      <c r="J41" s="13" t="n">
        <v>1</v>
      </c>
      <c r="K41" s="13" t="n">
        <v>4</v>
      </c>
      <c r="L41" s="13" t="n">
        <v>8</v>
      </c>
      <c r="M41" s="13" t="n">
        <v>6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Tabella52791124791618202224262830323436384042444648505254565860626468707274767880828486908892949698100102104106108110112114116118120122124126130128132134136138140142144146148150152[[#This Row],[Colonna1]]*$Q3</f>
        <v>1.2</v>
      </c>
      <c r="T41" s="14" t="n">
        <f aca="false">Tabella52791124791618202224262830323436384042444648505254565860626468707274767880828486908892949698100102104106108110112114116118120122124126130128132134136138140142144146148150152[[#This Row],[Colonna2]]*$Q3</f>
        <v>3.6</v>
      </c>
      <c r="U41" s="14" t="n">
        <f aca="false">Tabella52791124791618202224262830323436384042444648505254565860626468707274767880828486908892949698100102104106108110112114116118120122124126130128132134136138140142144146148150152[[#This Row],[Colonna3]]*$Q3</f>
        <v>0.8</v>
      </c>
      <c r="V41" s="14" t="n">
        <f aca="false">Tabella52791124791618202224262830323436384042444648505254565860626468707274767880828486908892949698100102104106108110112114116118120122124126130128132134136138140142144146148150152[[#This Row],[Colonna4]]*$Q3</f>
        <v>0.4</v>
      </c>
      <c r="W41" s="14" t="n">
        <f aca="false">Tabella52791124791618202224262830323436384042444648505254565860626468707274767880828486908892949698100102104106108110112114116118120122124126130128132134136138140142144146148150152[[#This Row],[Colonna5]]*$Q3</f>
        <v>1.6</v>
      </c>
      <c r="X41" s="14" t="n">
        <f aca="false">Tabella52791124791618202224262830323436384042444648505254565860626468707274767880828486908892949698100102104106108110112114116118120122124126130128132134136138140142144146148150152[[#This Row],[Colonna6]]*$Q3</f>
        <v>3.2</v>
      </c>
      <c r="Y41" s="14" t="n">
        <f aca="false">Tabella52791124791618202224262830323436384042444648505254565860626468707274767880828486908892949698100102104106108110112114116118120122124126130128132134136138140142144146148150152[[#This Row],[Colonna7]]*$Q3</f>
        <v>2.4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 t="n">
        <v>1</v>
      </c>
      <c r="I42" s="13"/>
      <c r="J42" s="13" t="n">
        <v>1</v>
      </c>
      <c r="K42" s="13"/>
      <c r="L42" s="13"/>
      <c r="M42" s="13" t="n">
        <v>1</v>
      </c>
      <c r="P42" s="9" t="s">
        <v>49</v>
      </c>
      <c r="Q42" s="9"/>
      <c r="R42" s="9"/>
      <c r="S42" s="14"/>
      <c r="T42" s="14" t="n">
        <f aca="false">Tabella52791124791618202224262830323436384042444648505254565860626468707274767880828486908892949698100102104106108110112114116118120122124126130128132134136138140142144146148150152[[#This Row],[Colonna2]]*$Q3</f>
        <v>0.4</v>
      </c>
      <c r="U42" s="14"/>
      <c r="V42" s="14" t="n">
        <f aca="false">Tabella52791124791618202224262830323436384042444648505254565860626468707274767880828486908892949698100102104106108110112114116118120122124126130128132134136138140142144146148150152[[#This Row],[Colonna4]]*$Q3</f>
        <v>0.4</v>
      </c>
      <c r="W42" s="14"/>
      <c r="X42" s="14"/>
      <c r="Y42" s="14" t="n">
        <f aca="false">Tabella52791124791618202224262830323436384042444648505254565860626468707274767880828486908892949698100102104106108110112114116118120122124126130128132134136138140142144146148150152[[#This Row],[Colonna7]]*$Q3</f>
        <v>0.4</v>
      </c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2</v>
      </c>
      <c r="H43" s="13" t="n">
        <v>1</v>
      </c>
      <c r="I43" s="13"/>
      <c r="J43" s="13" t="n">
        <v>4</v>
      </c>
      <c r="K43" s="13" t="n">
        <v>2</v>
      </c>
      <c r="L43" s="13" t="n">
        <v>2</v>
      </c>
      <c r="M43" s="13" t="n">
        <v>7</v>
      </c>
      <c r="P43" s="18" t="s">
        <v>50</v>
      </c>
      <c r="Q43" s="18"/>
      <c r="R43" s="18"/>
      <c r="S43" s="14" t="n">
        <f aca="false">Tabella52791124791618202224262830323436384042444648505254565860626468707274767880828486908892949698100102104106108110112114116118120122124126130128132134136138140142144146148150152[[#This Row],[Colonna1]]*$Q3</f>
        <v>0.8</v>
      </c>
      <c r="T43" s="14" t="n">
        <f aca="false">Tabella52791124791618202224262830323436384042444648505254565860626468707274767880828486908892949698100102104106108110112114116118120122124126130128132134136138140142144146148150152[[#This Row],[Colonna2]]*$Q3</f>
        <v>0.4</v>
      </c>
      <c r="U43" s="14"/>
      <c r="V43" s="14" t="n">
        <f aca="false">Tabella52791124791618202224262830323436384042444648505254565860626468707274767880828486908892949698100102104106108110112114116118120122124126130128132134136138140142144146148150152[[#This Row],[Colonna4]]*$Q3</f>
        <v>1.6</v>
      </c>
      <c r="W43" s="14" t="n">
        <f aca="false">Tabella52791124791618202224262830323436384042444648505254565860626468707274767880828486908892949698100102104106108110112114116118120122124126130128132134136138140142144146148150152[[#This Row],[Colonna5]]*$Q3</f>
        <v>0.8</v>
      </c>
      <c r="X43" s="14" t="n">
        <f aca="false">Tabella52791124791618202224262830323436384042444648505254565860626468707274767880828486908892949698100102104106108110112114116118120122124126130128132134136138140142144146148150152[[#This Row],[Colonna6]]*$Q3</f>
        <v>0.8</v>
      </c>
      <c r="Y43" s="14" t="n">
        <f aca="false">Tabella52791124791618202224262830323436384042444648505254565860626468707274767880828486908892949698100102104106108110112114116118120122124126130128132134136138140142144146148150152[[#This Row],[Colonna7]]*$Q3</f>
        <v>2.8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25</v>
      </c>
      <c r="H44" s="13" t="n">
        <v>28</v>
      </c>
      <c r="I44" s="13" t="n">
        <v>10</v>
      </c>
      <c r="J44" s="13" t="n">
        <v>16</v>
      </c>
      <c r="K44" s="13" t="n">
        <v>11</v>
      </c>
      <c r="L44" s="13" t="n">
        <v>11</v>
      </c>
      <c r="M44" s="13" t="n">
        <v>23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Tabella52791124791618202224262830323436384042444648505254565860626468707274767880828486908892949698100102104106108110112114116118120122124126130128132134136138140142144146148150152[[#This Row],[Colonna1]]*$Q3</f>
        <v>10</v>
      </c>
      <c r="T44" s="14" t="n">
        <f aca="false">Tabella52791124791618202224262830323436384042444648505254565860626468707274767880828486908892949698100102104106108110112114116118120122124126130128132134136138140142144146148150152[[#This Row],[Colonna2]]*$Q3</f>
        <v>11.2</v>
      </c>
      <c r="U44" s="14" t="n">
        <f aca="false">Tabella52791124791618202224262830323436384042444648505254565860626468707274767880828486908892949698100102104106108110112114116118120122124126130128132134136138140142144146148150152[[#This Row],[Colonna3]]*$Q3</f>
        <v>4</v>
      </c>
      <c r="V44" s="14" t="n">
        <f aca="false">Tabella52791124791618202224262830323436384042444648505254565860626468707274767880828486908892949698100102104106108110112114116118120122124126130128132134136138140142144146148150152[[#This Row],[Colonna4]]*$Q3</f>
        <v>6.4</v>
      </c>
      <c r="W44" s="14" t="n">
        <f aca="false">Tabella52791124791618202224262830323436384042444648505254565860626468707274767880828486908892949698100102104106108110112114116118120122124126130128132134136138140142144146148150152[[#This Row],[Colonna5]]*$Q3</f>
        <v>4.4</v>
      </c>
      <c r="X44" s="14" t="n">
        <f aca="false">Tabella52791124791618202224262830323436384042444648505254565860626468707274767880828486908892949698100102104106108110112114116118120122124126130128132134136138140142144146148150152[[#This Row],[Colonna6]]*$Q3</f>
        <v>4.4</v>
      </c>
      <c r="Y44" s="14" t="n">
        <f aca="false">Tabella52791124791618202224262830323436384042444648505254565860626468707274767880828486908892949698100102104106108110112114116118120122124126130128132134136138140142144146148150152[[#This Row],[Colonna7]]*$Q3</f>
        <v>9.2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 t="n">
        <v>3</v>
      </c>
      <c r="I52" s="13" t="n">
        <v>3</v>
      </c>
      <c r="J52" s="13" t="n">
        <v>6</v>
      </c>
      <c r="K52" s="13" t="n">
        <v>4</v>
      </c>
      <c r="L52" s="13" t="n">
        <v>15</v>
      </c>
      <c r="M52" s="13" t="n">
        <v>7</v>
      </c>
      <c r="P52" s="12" t="s">
        <v>59</v>
      </c>
      <c r="Q52" s="12"/>
      <c r="R52" s="12"/>
      <c r="S52" s="14"/>
      <c r="T52" s="14" t="n">
        <f aca="false">Tabella52791124791618202224262830323436384042444648505254565860626468707274767880828486908892949698100102104106108110112114116118120122124126130128132134136138140142144146148150152[[#This Row],[Colonna3]]*$Q3</f>
        <v>1.2</v>
      </c>
      <c r="U52" s="14" t="n">
        <f aca="false">Tabella52791124791618202224262830323436384042444648505254565860626468707274767880828486908892949698100102104106108110112114116118120122124126130128132134136138140142144146148150152[[#This Row],[Colonna3]]*$Q3</f>
        <v>1.2</v>
      </c>
      <c r="V52" s="14" t="n">
        <f aca="false">Tabella52791124791618202224262830323436384042444648505254565860626468707274767880828486908892949698100102104106108110112114116118120122124126130128132134136138140142144146148150152[[#This Row],[Colonna4]]*$Q3</f>
        <v>2.4</v>
      </c>
      <c r="W52" s="14" t="n">
        <f aca="false">Tabella52791124791618202224262830323436384042444648505254565860626468707274767880828486908892949698100102104106108110112114116118120122124126130128132134136138140142144146148150152[[#This Row],[Colonna5]]*$Q3</f>
        <v>1.6</v>
      </c>
      <c r="X52" s="14" t="n">
        <f aca="false">Tabella52791124791618202224262830323436384042444648505254565860626468707274767880828486908892949698100102104106108110112114116118120122124126130128132134136138140142144146148150152[[#This Row],[Colonna6]]*$Q3</f>
        <v>6</v>
      </c>
      <c r="Y52" s="14" t="n">
        <f aca="false">Tabella52791124791618202224262830323436384042444648505254565860626468707274767880828486908892949698100102104106108110112114116118120122124126130128132134136138140142144146148150152[[#This Row],[Colonna7]]*$Q3</f>
        <v>2.8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394</v>
      </c>
      <c r="H53" s="55" t="n">
        <f aca="false">SUM(H6:H52)</f>
        <v>733</v>
      </c>
      <c r="I53" s="55" t="n">
        <f aca="false">SUM(I6:I52)</f>
        <v>83</v>
      </c>
      <c r="J53" s="55" t="n">
        <f aca="false">SUM(J6:J52)</f>
        <v>208</v>
      </c>
      <c r="K53" s="55" t="n">
        <f aca="false">SUM(K6:K52)</f>
        <v>231</v>
      </c>
      <c r="L53" s="55" t="n">
        <f aca="false">SUM(L6:L52)</f>
        <v>416</v>
      </c>
      <c r="M53" s="55" t="n">
        <f aca="false">SUM(M6:M52)</f>
        <v>364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Tabella52791124791618202224262830323436384042444648505254565860626468707274767880828486908892949698100102104106108110112114116118120122124126130128132134136138140142144146148150152[[#This Row],[Colonna1]]*$Q3</f>
        <v>157.6</v>
      </c>
      <c r="T53" s="56" t="n">
        <f aca="false">Tabella52791124791618202224262830323436384042444648505254565860626468707274767880828486908892949698100102104106108110112114116118120122124126130128132134136138140142144146148150152[[#This Row],[Colonna2]]*$Q3</f>
        <v>293.2</v>
      </c>
      <c r="U53" s="56" t="n">
        <f aca="false">Tabella52791124791618202224262830323436384042444648505254565860626468707274767880828486908892949698100102104106108110112114116118120122124126130128132134136138140142144146148150152[[#This Row],[Colonna3]]*$Q3</f>
        <v>33.2</v>
      </c>
      <c r="V53" s="56" t="n">
        <f aca="false">Tabella52791124791618202224262830323436384042444648505254565860626468707274767880828486908892949698100102104106108110112114116118120122124126130128132134136138140142144146148150152[[#This Row],[Colonna4]]*$Q3</f>
        <v>83.2</v>
      </c>
      <c r="W53" s="56" t="n">
        <f aca="false">Tabella52791124791618202224262830323436384042444648505254565860626468707274767880828486908892949698100102104106108110112114116118120122124126130128132134136138140142144146148150152[[#This Row],[Colonna5]]*$Q3</f>
        <v>92.4</v>
      </c>
      <c r="X53" s="56" t="n">
        <f aca="false">Tabella52791124791618202224262830323436384042444648505254565860626468707274767880828486908892949698100102104106108110112114116118120122124126130128132134136138140142144146148150152[[#This Row],[Colonna6]]*$Q3</f>
        <v>166.4</v>
      </c>
      <c r="Y53" s="56" t="n">
        <f aca="false">Tabella52791124791618202224262830323436384042444648505254565860626468707274767880828486908892949698100102104106108110112114116118120122124126130128132134136138140142144146148150152[[#This Row],[Colonna7]]*$Q3</f>
        <v>145.6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41</v>
      </c>
      <c r="H58" s="26" t="n">
        <v>55</v>
      </c>
      <c r="I58" s="26" t="n">
        <v>9</v>
      </c>
      <c r="J58" s="26" t="n">
        <v>12</v>
      </c>
      <c r="K58" s="26" t="n">
        <v>16</v>
      </c>
      <c r="L58" s="26" t="n">
        <v>25</v>
      </c>
      <c r="M58" s="26" t="n">
        <v>22</v>
      </c>
      <c r="P58" s="23" t="s">
        <v>62</v>
      </c>
      <c r="Q58" s="23"/>
      <c r="R58" s="23"/>
      <c r="S58" s="57" t="n">
        <f aca="false">G58*$Q3</f>
        <v>16.4</v>
      </c>
      <c r="T58" s="57" t="n">
        <f aca="false">H58*$Q3</f>
        <v>22</v>
      </c>
      <c r="U58" s="57" t="n">
        <f aca="false">I58*$Q3</f>
        <v>3.6</v>
      </c>
      <c r="V58" s="57" t="n">
        <f aca="false">J58*$Q3</f>
        <v>4.8</v>
      </c>
      <c r="W58" s="57" t="n">
        <f aca="false">K58*$Q3</f>
        <v>6.4</v>
      </c>
      <c r="X58" s="57" t="n">
        <f aca="false">L58*$Q3</f>
        <v>10</v>
      </c>
      <c r="Y58" s="27" t="n">
        <f aca="false">M58*$Q3</f>
        <v>8.8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11</v>
      </c>
      <c r="H62" s="26" t="n">
        <v>9</v>
      </c>
      <c r="I62" s="26"/>
      <c r="J62" s="26"/>
      <c r="K62" s="26"/>
      <c r="L62" s="26"/>
      <c r="M62" s="26"/>
      <c r="P62" s="9" t="s">
        <v>66</v>
      </c>
      <c r="Q62" s="9"/>
      <c r="R62" s="9"/>
      <c r="S62" s="57"/>
      <c r="T62" s="57" t="n">
        <f aca="false">H62*$Q3</f>
        <v>3.6</v>
      </c>
      <c r="U62" s="57"/>
      <c r="V62" s="57"/>
      <c r="W62" s="57"/>
      <c r="X62" s="57"/>
      <c r="Y62" s="57"/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1</v>
      </c>
      <c r="H63" s="164" t="n">
        <v>1</v>
      </c>
      <c r="I63" s="13"/>
      <c r="J63" s="26"/>
      <c r="K63" s="26"/>
      <c r="L63" s="26"/>
      <c r="M63" s="26"/>
      <c r="P63" s="9" t="s">
        <v>67</v>
      </c>
      <c r="Q63" s="9"/>
      <c r="R63" s="9"/>
      <c r="S63" s="57" t="n">
        <f aca="false">G63*$Q3</f>
        <v>0.4</v>
      </c>
      <c r="T63" s="57" t="n">
        <f aca="false">H63*$Q3</f>
        <v>0.4</v>
      </c>
      <c r="U63" s="57"/>
      <c r="V63" s="57"/>
      <c r="W63" s="57"/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/>
      <c r="I64" s="26"/>
      <c r="J64" s="26" t="n">
        <v>1</v>
      </c>
      <c r="K64" s="26"/>
      <c r="L64" s="26"/>
      <c r="M64" s="26"/>
      <c r="P64" s="9" t="s">
        <v>68</v>
      </c>
      <c r="Q64" s="9"/>
      <c r="R64" s="9"/>
      <c r="S64" s="57"/>
      <c r="T64" s="57"/>
      <c r="U64" s="57"/>
      <c r="V64" s="57" t="n">
        <f aca="false">J64*$Q3</f>
        <v>0.4</v>
      </c>
      <c r="W64" s="57"/>
      <c r="X64" s="57" t="n">
        <f aca="false">L64*$Q3</f>
        <v>0</v>
      </c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3</v>
      </c>
      <c r="H65" s="30"/>
      <c r="I65" s="30" t="n">
        <v>13</v>
      </c>
      <c r="J65" s="26" t="n">
        <v>20</v>
      </c>
      <c r="K65" s="26"/>
      <c r="L65" s="26" t="n">
        <v>1</v>
      </c>
      <c r="M65" s="26" t="n">
        <v>1</v>
      </c>
      <c r="P65" s="9" t="s">
        <v>69</v>
      </c>
      <c r="Q65" s="9"/>
      <c r="R65" s="9"/>
      <c r="S65" s="57" t="n">
        <f aca="false">G65*$Q3</f>
        <v>1.2</v>
      </c>
      <c r="T65" s="57"/>
      <c r="U65" s="57" t="n">
        <f aca="false">I65*$Q3</f>
        <v>5.2</v>
      </c>
      <c r="V65" s="57" t="n">
        <f aca="false">J65*$Q3</f>
        <v>8</v>
      </c>
      <c r="W65" s="57"/>
      <c r="X65" s="57" t="n">
        <f aca="false">L65*$Q3</f>
        <v>0.4</v>
      </c>
      <c r="Y65" s="27" t="n">
        <f aca="false">M65*$Q3</f>
        <v>0.4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8</v>
      </c>
      <c r="H67" s="139" t="n">
        <v>4</v>
      </c>
      <c r="I67" s="139"/>
      <c r="J67" s="26"/>
      <c r="K67" s="26" t="n">
        <v>4</v>
      </c>
      <c r="L67" s="26" t="n">
        <v>6</v>
      </c>
      <c r="M67" s="26" t="n">
        <v>2</v>
      </c>
      <c r="P67" s="9" t="s">
        <v>71</v>
      </c>
      <c r="Q67" s="9"/>
      <c r="R67" s="9"/>
      <c r="S67" s="57" t="n">
        <f aca="false">G67*$Q3</f>
        <v>3.2</v>
      </c>
      <c r="T67" s="57" t="n">
        <f aca="false">H67*$Q3</f>
        <v>1.6</v>
      </c>
      <c r="U67" s="57"/>
      <c r="V67" s="57"/>
      <c r="W67" s="57" t="n">
        <f aca="false">K67*$Q3</f>
        <v>1.6</v>
      </c>
      <c r="X67" s="57" t="n">
        <f aca="false">L67*$Q3</f>
        <v>2.4</v>
      </c>
      <c r="Y67" s="57" t="n">
        <f aca="false">M67*$Q3</f>
        <v>0.8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13</v>
      </c>
      <c r="H68" s="30" t="n">
        <v>16</v>
      </c>
      <c r="I68" s="30" t="n">
        <v>6</v>
      </c>
      <c r="J68" s="30" t="n">
        <v>6</v>
      </c>
      <c r="K68" s="30" t="n">
        <v>15</v>
      </c>
      <c r="L68" s="30" t="n">
        <v>10</v>
      </c>
      <c r="M68" s="30" t="n">
        <v>18</v>
      </c>
      <c r="P68" s="9" t="s">
        <v>72</v>
      </c>
      <c r="Q68" s="9"/>
      <c r="R68" s="9"/>
      <c r="S68" s="57" t="n">
        <f aca="false">G68*$Q3</f>
        <v>5.2</v>
      </c>
      <c r="T68" s="57" t="n">
        <f aca="false">H68*$Q3</f>
        <v>6.4</v>
      </c>
      <c r="U68" s="57" t="n">
        <f aca="false">I68*$Q3</f>
        <v>2.4</v>
      </c>
      <c r="V68" s="57" t="n">
        <f aca="false">J68*$Q3</f>
        <v>2.4</v>
      </c>
      <c r="W68" s="57" t="n">
        <f aca="false">K68*$Q3</f>
        <v>6</v>
      </c>
      <c r="X68" s="57" t="n">
        <f aca="false">L68*$Q3</f>
        <v>4</v>
      </c>
      <c r="Y68" s="57" t="n">
        <f aca="false">M68*$Q3</f>
        <v>7.2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3</v>
      </c>
      <c r="H69" s="30" t="n">
        <v>1</v>
      </c>
      <c r="I69" s="30" t="n">
        <v>2</v>
      </c>
      <c r="J69" s="30" t="n">
        <v>5</v>
      </c>
      <c r="K69" s="30"/>
      <c r="L69" s="30" t="n">
        <v>1</v>
      </c>
      <c r="M69" s="30" t="n">
        <v>1</v>
      </c>
      <c r="P69" s="9" t="s">
        <v>73</v>
      </c>
      <c r="Q69" s="9"/>
      <c r="R69" s="9"/>
      <c r="S69" s="57" t="n">
        <f aca="false">G69*$Q3</f>
        <v>1.2</v>
      </c>
      <c r="T69" s="57" t="n">
        <f aca="false">H69*$Q3</f>
        <v>0.4</v>
      </c>
      <c r="U69" s="57" t="n">
        <f aca="false">I69*$Q3</f>
        <v>0.8</v>
      </c>
      <c r="V69" s="57" t="n">
        <f aca="false">J69*$Q3</f>
        <v>2</v>
      </c>
      <c r="W69" s="57"/>
      <c r="X69" s="57" t="n">
        <f aca="false">L69*$Q3</f>
        <v>0.4</v>
      </c>
      <c r="Y69" s="57" t="n">
        <f aca="false">M69*$Q3</f>
        <v>0.4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80</v>
      </c>
      <c r="H70" s="60" t="n">
        <f aca="false">SUM(H58:H69)</f>
        <v>86</v>
      </c>
      <c r="I70" s="60" t="n">
        <f aca="false">SUM(I58:I69)</f>
        <v>30</v>
      </c>
      <c r="J70" s="60" t="n">
        <f aca="false">SUM(J58:J69)</f>
        <v>44</v>
      </c>
      <c r="K70" s="60" t="n">
        <f aca="false">SUM(K58:K69)</f>
        <v>35</v>
      </c>
      <c r="L70" s="60" t="n">
        <f aca="false">SUM(L58:L69)</f>
        <v>43</v>
      </c>
      <c r="M70" s="60" t="n">
        <f aca="false">SUM(M58:M69)</f>
        <v>44</v>
      </c>
      <c r="P70" s="9" t="s">
        <v>60</v>
      </c>
      <c r="Q70" s="9"/>
      <c r="R70" s="9"/>
      <c r="S70" s="61" t="n">
        <f aca="false">G70*$Q3</f>
        <v>32</v>
      </c>
      <c r="T70" s="61" t="n">
        <f aca="false">H70*$Q3</f>
        <v>34.4</v>
      </c>
      <c r="U70" s="61" t="n">
        <f aca="false">I70*$Q3</f>
        <v>12</v>
      </c>
      <c r="V70" s="61" t="n">
        <f aca="false">J70*$Q3</f>
        <v>17.6</v>
      </c>
      <c r="W70" s="61" t="n">
        <f aca="false">K70*$Q3</f>
        <v>14</v>
      </c>
      <c r="X70" s="61" t="n">
        <f aca="false">L70*$Q3</f>
        <v>17.2</v>
      </c>
      <c r="Y70" s="32" t="n">
        <f aca="false">M70*$Q3</f>
        <v>17.6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K1" activeCellId="0" sqref="K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104</v>
      </c>
      <c r="I3" s="119" t="s">
        <v>2</v>
      </c>
      <c r="J3" s="4" t="n">
        <v>45418</v>
      </c>
      <c r="K3" s="5" t="n">
        <v>45424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104</v>
      </c>
      <c r="U3" s="119" t="s">
        <v>2</v>
      </c>
      <c r="V3" s="4" t="n">
        <v>45418</v>
      </c>
      <c r="W3" s="5" t="n">
        <v>45424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14</v>
      </c>
      <c r="H7" s="13" t="n">
        <v>7</v>
      </c>
      <c r="I7" s="13" t="n">
        <v>15</v>
      </c>
      <c r="J7" s="13" t="n">
        <v>8</v>
      </c>
      <c r="K7" s="13" t="n">
        <v>11</v>
      </c>
      <c r="L7" s="13" t="n">
        <v>17</v>
      </c>
      <c r="M7" s="13" t="n">
        <v>10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Tabella52791124791618202224262830323436384042444648505254565860626468707274767880828486908892949698100102104106108110112114116118120122124126130128132134136138140142144146148150152154[[#This Row],[Colonna1]]*$Q3</f>
        <v>5.6</v>
      </c>
      <c r="T7" s="14" t="n">
        <f aca="false">Tabella52791124791618202224262830323436384042444648505254565860626468707274767880828486908892949698100102104106108110112114116118120122124126130128132134136138140142144146148150152154[[#This Row],[Colonna2]]*$Q3</f>
        <v>2.8</v>
      </c>
      <c r="U7" s="14" t="n">
        <f aca="false">Tabella52791124791618202224262830323436384042444648505254565860626468707274767880828486908892949698100102104106108110112114116118120122124126130128132134136138140142144146148150152154[[#This Row],[Colonna3]]*$Q3</f>
        <v>6</v>
      </c>
      <c r="V7" s="14" t="n">
        <f aca="false">Tabella52791124791618202224262830323436384042444648505254565860626468707274767880828486908892949698100102104106108110112114116118120122124126130128132134136138140142144146148150152154[[#This Row],[Colonna4]]*$Q3</f>
        <v>3.2</v>
      </c>
      <c r="W7" s="14" t="n">
        <f aca="false">Tabella52791124791618202224262830323436384042444648505254565860626468707274767880828486908892949698100102104106108110112114116118120122124126130128132134136138140142144146148150152154[[#This Row],[Colonna5]]*$Q3</f>
        <v>4.4</v>
      </c>
      <c r="X7" s="14" t="n">
        <f aca="false">Tabella52791124791618202224262830323436384042444648505254565860626468707274767880828486908892949698100102104106108110112114116118120122124126130128132134136138140142144146148150152154[[#This Row],[Colonna6]]*$Q3</f>
        <v>6.8</v>
      </c>
      <c r="Y7" s="14" t="n">
        <f aca="false">Tabella52791124791618202224262830323436384042444648505254565860626468707274767880828486908892949698100102104106108110112114116118120122124126130128132134136138140142144146148150152154[[#This Row],[Colonna7]]*$Q3</f>
        <v>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 t="n">
        <v>1</v>
      </c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 t="n">
        <f aca="false">Tabella52791124791618202224262830323436384042444648505254565860626468707274767880828486908892949698100102104106108110112114116118120122124126130128132134136138140142144146148150152154[[#This Row],[Colonna7]]*$Q3</f>
        <v>0.4</v>
      </c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 t="n">
        <v>1</v>
      </c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 t="n">
        <f aca="false">Tabella52791124791618202224262830323436384042444648505254565860626468707274767880828486908892949698100102104106108110112114116118120122124126130128132134136138140142144146148150152154[[#This Row],[Colonna6]]*$Q3</f>
        <v>0.4</v>
      </c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 t="n">
        <v>2</v>
      </c>
      <c r="H20" s="13"/>
      <c r="I20" s="13" t="n">
        <v>1</v>
      </c>
      <c r="J20" s="13" t="n">
        <v>2</v>
      </c>
      <c r="K20" s="13"/>
      <c r="L20" s="13" t="n">
        <v>2</v>
      </c>
      <c r="M20" s="13" t="n">
        <v>1</v>
      </c>
      <c r="P20" s="9" t="s">
        <v>27</v>
      </c>
      <c r="Q20" s="9"/>
      <c r="R20" s="9"/>
      <c r="S20" s="14" t="n">
        <f aca="false">Tabella52791124791618202224262830323436384042444648505254565860626468707274767880828486908892949698100102104106108110112114116118120122124126130128132134136138140142144146148150152154[[#This Row],[Colonna1]]*$Q3</f>
        <v>0.8</v>
      </c>
      <c r="T20" s="14"/>
      <c r="U20" s="14" t="n">
        <f aca="false">Tabella52791124791618202224262830323436384042444648505254565860626468707274767880828486908892949698100102104106108110112114116118120122124126130128132134136138140142144146148150152154[[#This Row],[Colonna3]]*$Q3</f>
        <v>0.4</v>
      </c>
      <c r="V20" s="14" t="n">
        <f aca="false">Tabella52791124791618202224262830323436384042444648505254565860626468707274767880828486908892949698100102104106108110112114116118120122124126130128132134136138140142144146148150152154[[#This Row],[Colonna4]]*$Q3</f>
        <v>0.8</v>
      </c>
      <c r="W20" s="14"/>
      <c r="X20" s="14" t="n">
        <f aca="false">Tabella52791124791618202224262830323436384042444648505254565860626468707274767880828486908892949698100102104106108110112114116118120122124126130128132134136138140142144146148150152154[[#This Row],[Colonna6]]*$Q3</f>
        <v>0.8</v>
      </c>
      <c r="Y20" s="14" t="n">
        <f aca="false">Tabella52791124791618202224262830323436384042444648505254565860626468707274767880828486908892949698100102104106108110112114116118120122124126130128132134136138140142144146148150152154[[#This Row],[Colonna7]]*$Q3</f>
        <v>0.4</v>
      </c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14</v>
      </c>
      <c r="H22" s="13" t="n">
        <v>1</v>
      </c>
      <c r="I22" s="13" t="n">
        <v>2</v>
      </c>
      <c r="J22" s="13" t="n">
        <v>2</v>
      </c>
      <c r="K22" s="13" t="n">
        <v>3</v>
      </c>
      <c r="L22" s="13" t="n">
        <v>5</v>
      </c>
      <c r="M22" s="13" t="n">
        <v>4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Tabella52791124791618202224262830323436384042444648505254565860626468707274767880828486908892949698100102104106108110112114116118120122124126130128132134136138140142144146148150152154[[#This Row],[Colonna1]]*$Q3</f>
        <v>5.6</v>
      </c>
      <c r="T22" s="14" t="n">
        <f aca="false">Tabella52791124791618202224262830323436384042444648505254565860626468707274767880828486908892949698100102104106108110112114116118120122124126130128132134136138140142144146148150152154[[#This Row],[Colonna2]]*$Q3</f>
        <v>0.4</v>
      </c>
      <c r="U22" s="14" t="n">
        <f aca="false">Tabella52791124791618202224262830323436384042444648505254565860626468707274767880828486908892949698100102104106108110112114116118120122124126130128132134136138140142144146148150152154[[#This Row],[Colonna3]]*$Q3</f>
        <v>0.8</v>
      </c>
      <c r="V22" s="14" t="n">
        <f aca="false">Tabella52791124791618202224262830323436384042444648505254565860626468707274767880828486908892949698100102104106108110112114116118120122124126130128132134136138140142144146148150152154[[#This Row],[Colonna4]]*$Q3</f>
        <v>0.8</v>
      </c>
      <c r="W22" s="14" t="n">
        <f aca="false">Tabella52791124791618202224262830323436384042444648505254565860626468707274767880828486908892949698100102104106108110112114116118120122124126130128132134136138140142144146148150152154[[#This Row],[Colonna5]]*$Q3</f>
        <v>1.2</v>
      </c>
      <c r="X22" s="14" t="n">
        <f aca="false">Tabella52791124791618202224262830323436384042444648505254565860626468707274767880828486908892949698100102104106108110112114116118120122124126130128132134136138140142144146148150152154[[#This Row],[Colonna6]]*$Q3</f>
        <v>2</v>
      </c>
      <c r="Y22" s="14" t="n">
        <f aca="false">Tabella52791124791618202224262830323436384042444648505254565860626468707274767880828486908892949698100102104106108110112114116118120122124126130128132134136138140142144146148150152154[[#This Row],[Colonna7]]*$Q3</f>
        <v>1.6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4</v>
      </c>
      <c r="H27" s="13" t="n">
        <v>4</v>
      </c>
      <c r="I27" s="13"/>
      <c r="J27" s="13" t="n">
        <v>3</v>
      </c>
      <c r="K27" s="13"/>
      <c r="L27" s="13" t="n">
        <v>3</v>
      </c>
      <c r="M27" s="13"/>
      <c r="P27" s="12" t="s">
        <v>34</v>
      </c>
      <c r="Q27" s="12"/>
      <c r="R27" s="12"/>
      <c r="S27" s="14" t="n">
        <f aca="false">Tabella52791124791618202224262830323436384042444648505254565860626468707274767880828486908892949698100102104106108110112114116118120122124126130128132134136138140142144146148150152154[[#This Row],[Colonna1]]*$Q3</f>
        <v>1.6</v>
      </c>
      <c r="T27" s="14" t="n">
        <f aca="false">Tabella52791124791618202224262830323436384042444648505254565860626468707274767880828486908892949698100102104106108110112114116118120122124126130128132134136138140142144146148150152154[[#This Row],[Colonna2]]*$Q3</f>
        <v>1.6</v>
      </c>
      <c r="U27" s="14"/>
      <c r="V27" s="14" t="n">
        <f aca="false">Tabella52791124791618202224262830323436384042444648505254565860626468707274767880828486908892949698100102104106108110112114116118120122124126130128132134136138140142144146148150152154[[#This Row],[Colonna4]]*$Q3</f>
        <v>1.2</v>
      </c>
      <c r="W27" s="14"/>
      <c r="X27" s="14" t="n">
        <f aca="false">Tabella52791124791618202224262830323436384042444648505254565860626468707274767880828486908892949698100102104106108110112114116118120122124126130128132134136138140142144146148150152154[[#This Row],[Colonna6]]*$Q3</f>
        <v>1.2</v>
      </c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17</v>
      </c>
      <c r="H28" s="13" t="n">
        <v>1</v>
      </c>
      <c r="I28" s="13"/>
      <c r="J28" s="13" t="n">
        <v>2</v>
      </c>
      <c r="K28" s="13"/>
      <c r="L28" s="13" t="n">
        <v>2</v>
      </c>
      <c r="M28" s="13" t="n">
        <v>13</v>
      </c>
      <c r="P28" s="12" t="s">
        <v>35</v>
      </c>
      <c r="Q28" s="12"/>
      <c r="R28" s="12"/>
      <c r="S28" s="14" t="n">
        <f aca="false">Tabella52791124791618202224262830323436384042444648505254565860626468707274767880828486908892949698100102104106108110112114116118120122124126130128132134136138140142144146148150152154[[#This Row],[Colonna1]]*$Q3</f>
        <v>6.8</v>
      </c>
      <c r="T28" s="14" t="n">
        <f aca="false">Tabella52791124791618202224262830323436384042444648505254565860626468707274767880828486908892949698100102104106108110112114116118120122124126130128132134136138140142144146148150152154[[#This Row],[Colonna2]]*$Q3</f>
        <v>0.4</v>
      </c>
      <c r="U28" s="14"/>
      <c r="V28" s="14" t="n">
        <f aca="false">Tabella52791124791618202224262830323436384042444648505254565860626468707274767880828486908892949698100102104106108110112114116118120122124126130128132134136138140142144146148150152154[[#This Row],[Colonna4]]*$Q3</f>
        <v>0.8</v>
      </c>
      <c r="W28" s="14"/>
      <c r="X28" s="14" t="n">
        <f aca="false">Tabella52791124791618202224262830323436384042444648505254565860626468707274767880828486908892949698100102104106108110112114116118120122124126130128132134136138140142144146148150152154[[#This Row],[Colonna6]]*$Q3</f>
        <v>0.8</v>
      </c>
      <c r="Y28" s="14" t="n">
        <f aca="false">Tabella52791124791618202224262830323436384042444648505254565860626468707274767880828486908892949698100102104106108110112114116118120122124126130128132134136138140142144146148150152154[[#This Row],[Colonna7]]*$Q3</f>
        <v>5.2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96</v>
      </c>
      <c r="H29" s="13" t="n">
        <v>14</v>
      </c>
      <c r="I29" s="13" t="n">
        <v>109</v>
      </c>
      <c r="J29" s="13" t="n">
        <v>89</v>
      </c>
      <c r="K29" s="13" t="n">
        <v>60</v>
      </c>
      <c r="L29" s="13" t="n">
        <v>84</v>
      </c>
      <c r="M29" s="13" t="n">
        <v>86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Tabella52791124791618202224262830323436384042444648505254565860626468707274767880828486908892949698100102104106108110112114116118120122124126130128132134136138140142144146148150152154[[#This Row],[Colonna1]]*$Q3</f>
        <v>38.4</v>
      </c>
      <c r="T29" s="14" t="n">
        <f aca="false">Tabella52791124791618202224262830323436384042444648505254565860626468707274767880828486908892949698100102104106108110112114116118120122124126130128132134136138140142144146148150152154[[#This Row],[Colonna2]]*$Q3</f>
        <v>5.6</v>
      </c>
      <c r="U29" s="14" t="n">
        <f aca="false">Tabella52791124791618202224262830323436384042444648505254565860626468707274767880828486908892949698100102104106108110112114116118120122124126130128132134136138140142144146148150152154[[#This Row],[Colonna3]]*$Q3</f>
        <v>43.6</v>
      </c>
      <c r="V29" s="14" t="n">
        <f aca="false">Tabella52791124791618202224262830323436384042444648505254565860626468707274767880828486908892949698100102104106108110112114116118120122124126130128132134136138140142144146148150152154[[#This Row],[Colonna4]]*$Q3</f>
        <v>35.6</v>
      </c>
      <c r="W29" s="14" t="n">
        <f aca="false">Tabella52791124791618202224262830323436384042444648505254565860626468707274767880828486908892949698100102104106108110112114116118120122124126130128132134136138140142144146148150152154[[#This Row],[Colonna5]]*$Q3</f>
        <v>24</v>
      </c>
      <c r="X29" s="14" t="n">
        <f aca="false">Tabella52791124791618202224262830323436384042444648505254565860626468707274767880828486908892949698100102104106108110112114116118120122124126130128132134136138140142144146148150152154[[#This Row],[Colonna6]]*$Q3</f>
        <v>33.6</v>
      </c>
      <c r="Y29" s="14" t="n">
        <f aca="false">Tabella52791124791618202224262830323436384042444648505254565860626468707274767880828486908892949698100102104106108110112114116118120122124126130128132134136138140142144146148150152154[[#This Row],[Colonna7]]*$Q3</f>
        <v>34.4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1</v>
      </c>
      <c r="H31" s="13"/>
      <c r="I31" s="13"/>
      <c r="J31" s="13" t="n">
        <v>3</v>
      </c>
      <c r="K31" s="13" t="n">
        <v>1</v>
      </c>
      <c r="L31" s="13" t="n">
        <v>1</v>
      </c>
      <c r="M31" s="13" t="n">
        <v>2</v>
      </c>
      <c r="P31" s="9" t="s">
        <v>38</v>
      </c>
      <c r="Q31" s="9"/>
      <c r="R31" s="9"/>
      <c r="S31" s="14" t="n">
        <f aca="false">Tabella52791124791618202224262830323436384042444648505254565860626468707274767880828486908892949698100102104106108110112114116118120122124126130128132134136138140142144146148150152154[[#This Row],[Colonna1]]*$Q3</f>
        <v>0.4</v>
      </c>
      <c r="T31" s="14"/>
      <c r="U31" s="14"/>
      <c r="V31" s="14" t="n">
        <f aca="false">Tabella52791124791618202224262830323436384042444648505254565860626468707274767880828486908892949698100102104106108110112114116118120122124126130128132134136138140142144146148150152154[[#This Row],[Colonna4]]*$Q3</f>
        <v>1.2</v>
      </c>
      <c r="W31" s="14" t="n">
        <f aca="false">Tabella52791124791618202224262830323436384042444648505254565860626468707274767880828486908892949698100102104106108110112114116118120122124126130128132134136138140142144146148150152154[[#This Row],[Colonna5]]*$Q3</f>
        <v>0.4</v>
      </c>
      <c r="X31" s="14" t="n">
        <f aca="false">Tabella52791124791618202224262830323436384042444648505254565860626468707274767880828486908892949698100102104106108110112114116118120122124126130128132134136138140142144146148150152154[[#This Row],[Colonna6]]*$Q3</f>
        <v>0.4</v>
      </c>
      <c r="Y31" s="14" t="n">
        <f aca="false">Tabella52791124791618202224262830323436384042444648505254565860626468707274767880828486908892949698100102104106108110112114116118120122124126130128132134136138140142144146148150152154[[#This Row],[Colonna7]]*$Q3</f>
        <v>0.8</v>
      </c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 t="n">
        <v>15</v>
      </c>
      <c r="H34" s="13" t="n">
        <v>9</v>
      </c>
      <c r="I34" s="13" t="n">
        <v>4</v>
      </c>
      <c r="J34" s="13" t="n">
        <v>17</v>
      </c>
      <c r="K34" s="13" t="n">
        <v>6</v>
      </c>
      <c r="L34" s="13" t="n">
        <v>10</v>
      </c>
      <c r="M34" s="13" t="n">
        <v>12</v>
      </c>
      <c r="P34" s="9" t="s">
        <v>41</v>
      </c>
      <c r="Q34" s="9"/>
      <c r="R34" s="9"/>
      <c r="S34" s="14" t="n">
        <f aca="false">Tabella52791124791618202224262830323436384042444648505254565860626468707274767880828486908892949698100102104106108110112114116118120122124126130128132134136138140142144146148150152154[[#This Row],[Colonna1]]*$Q3</f>
        <v>6</v>
      </c>
      <c r="T34" s="14" t="n">
        <f aca="false">Tabella52791124791618202224262830323436384042444648505254565860626468707274767880828486908892949698100102104106108110112114116118120122124126130128132134136138140142144146148150152154[[#This Row],[Colonna2]]*$Q3</f>
        <v>3.6</v>
      </c>
      <c r="U34" s="14" t="n">
        <f aca="false">Tabella52791124791618202224262830323436384042444648505254565860626468707274767880828486908892949698100102104106108110112114116118120122124126130128132134136138140142144146148150152154[[#This Row],[Colonna3]]*$Q3</f>
        <v>1.6</v>
      </c>
      <c r="V34" s="14" t="n">
        <f aca="false">Tabella52791124791618202224262830323436384042444648505254565860626468707274767880828486908892949698100102104106108110112114116118120122124126130128132134136138140142144146148150152154[[#This Row],[Colonna4]]*$Q3</f>
        <v>6.8</v>
      </c>
      <c r="W34" s="14" t="n">
        <f aca="false">Tabella52791124791618202224262830323436384042444648505254565860626468707274767880828486908892949698100102104106108110112114116118120122124126130128132134136138140142144146148150152154[[#This Row],[Colonna5]]*$Q3</f>
        <v>2.4</v>
      </c>
      <c r="X34" s="14" t="n">
        <f aca="false">Tabella52791124791618202224262830323436384042444648505254565860626468707274767880828486908892949698100102104106108110112114116118120122124126130128132134136138140142144146148150152154[[#This Row],[Colonna6]]*$Q3</f>
        <v>4</v>
      </c>
      <c r="Y34" s="14" t="n">
        <f aca="false">Tabella52791124791618202224262830323436384042444648505254565860626468707274767880828486908892949698100102104106108110112114116118120122124126130128132134136138140142144146148150152154[[#This Row],[Colonna7]]*$Q3</f>
        <v>4.8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20</v>
      </c>
      <c r="H38" s="13" t="n">
        <v>4</v>
      </c>
      <c r="I38" s="13" t="n">
        <v>1</v>
      </c>
      <c r="J38" s="13"/>
      <c r="K38" s="13"/>
      <c r="L38" s="13" t="n">
        <v>3</v>
      </c>
      <c r="M38" s="13" t="n">
        <v>9</v>
      </c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Tabella52791124791618202224262830323436384042444648505254565860626468707274767880828486908892949698100102104106108110112114116118120122124126130128132134136138140142144146148150152154[[#This Row],[Colonna1]]*$Q3</f>
        <v>8</v>
      </c>
      <c r="T38" s="14" t="n">
        <f aca="false">Tabella52791124791618202224262830323436384042444648505254565860626468707274767880828486908892949698100102104106108110112114116118120122124126130128132134136138140142144146148150152154[[#This Row],[Colonna2]]*$Q3</f>
        <v>1.6</v>
      </c>
      <c r="U38" s="14" t="n">
        <f aca="false">Tabella52791124791618202224262830323436384042444648505254565860626468707274767880828486908892949698100102104106108110112114116118120122124126130128132134136138140142144146148150152154[[#This Row],[Colonna3]]*$Q3</f>
        <v>0.4</v>
      </c>
      <c r="V38" s="14"/>
      <c r="W38" s="14"/>
      <c r="X38" s="14" t="n">
        <f aca="false">Tabella52791124791618202224262830323436384042444648505254565860626468707274767880828486908892949698100102104106108110112114116118120122124126130128132134136138140142144146148150152154[[#This Row],[Colonna6]]*$Q3</f>
        <v>1.2</v>
      </c>
      <c r="Y38" s="14" t="n">
        <f aca="false">Tabella52791124791618202224262830323436384042444648505254565860626468707274767880828486908892949698100102104106108110112114116118120122124126130128132134136138140142144146148150152154[[#This Row],[Colonna7]]*$Q3</f>
        <v>3.6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 t="n">
        <v>25</v>
      </c>
      <c r="H40" s="13" t="n">
        <v>2</v>
      </c>
      <c r="I40" s="13"/>
      <c r="J40" s="13"/>
      <c r="K40" s="13" t="n">
        <v>3</v>
      </c>
      <c r="L40" s="13" t="n">
        <v>1</v>
      </c>
      <c r="M40" s="13" t="n">
        <v>1</v>
      </c>
      <c r="P40" s="12" t="s">
        <v>47</v>
      </c>
      <c r="Q40" s="12"/>
      <c r="R40" s="12"/>
      <c r="S40" s="14" t="n">
        <f aca="false">Tabella52791124791618202224262830323436384042444648505254565860626468707274767880828486908892949698100102104106108110112114116118120122124126130128132134136138140142144146148150152154[[#This Row],[Colonna1]]*$Q3</f>
        <v>10</v>
      </c>
      <c r="T40" s="14" t="n">
        <f aca="false">Tabella52791124791618202224262830323436384042444648505254565860626468707274767880828486908892949698100102104106108110112114116118120122124126130128132134136138140142144146148150152154[[#This Row],[Colonna2]]*$Q3</f>
        <v>0.8</v>
      </c>
      <c r="U40" s="14"/>
      <c r="V40" s="14"/>
      <c r="W40" s="14" t="n">
        <f aca="false">Tabella52791124791618202224262830323436384042444648505254565860626468707274767880828486908892949698100102104106108110112114116118120122124126130128132134136138140142144146148150152154[[#This Row],[Colonna5]]*$Q3</f>
        <v>1.2</v>
      </c>
      <c r="X40" s="14" t="n">
        <f aca="false">Tabella52791124791618202224262830323436384042444648505254565860626468707274767880828486908892949698100102104106108110112114116118120122124126130128132134136138140142144146148150152154[[#This Row],[Colonna6]]*$Q3</f>
        <v>0.4</v>
      </c>
      <c r="Y40" s="14" t="n">
        <f aca="false">Tabella52791124791618202224262830323436384042444648505254565860626468707274767880828486908892949698100102104106108110112114116118120122124126130128132134136138140142144146148150152154[[#This Row],[Colonna7]]*$Q3</f>
        <v>0.4</v>
      </c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5</v>
      </c>
      <c r="H41" s="13" t="n">
        <v>5</v>
      </c>
      <c r="I41" s="13" t="n">
        <v>3</v>
      </c>
      <c r="J41" s="13" t="n">
        <v>26</v>
      </c>
      <c r="K41" s="13" t="n">
        <v>19</v>
      </c>
      <c r="L41" s="13" t="n">
        <v>29</v>
      </c>
      <c r="M41" s="13" t="n">
        <v>12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Tabella52791124791618202224262830323436384042444648505254565860626468707274767880828486908892949698100102104106108110112114116118120122124126130128132134136138140142144146148150152154[[#This Row],[Colonna1]]*$Q3</f>
        <v>2</v>
      </c>
      <c r="T41" s="14" t="n">
        <f aca="false">Tabella52791124791618202224262830323436384042444648505254565860626468707274767880828486908892949698100102104106108110112114116118120122124126130128132134136138140142144146148150152154[[#This Row],[Colonna2]]*$Q3</f>
        <v>2</v>
      </c>
      <c r="U41" s="14" t="n">
        <f aca="false">Tabella52791124791618202224262830323436384042444648505254565860626468707274767880828486908892949698100102104106108110112114116118120122124126130128132134136138140142144146148150152154[[#This Row],[Colonna3]]*$Q3</f>
        <v>1.2</v>
      </c>
      <c r="V41" s="14" t="n">
        <f aca="false">Tabella52791124791618202224262830323436384042444648505254565860626468707274767880828486908892949698100102104106108110112114116118120122124126130128132134136138140142144146148150152154[[#This Row],[Colonna4]]*$Q3</f>
        <v>10.4</v>
      </c>
      <c r="W41" s="14" t="n">
        <f aca="false">Tabella52791124791618202224262830323436384042444648505254565860626468707274767880828486908892949698100102104106108110112114116118120122124126130128132134136138140142144146148150152154[[#This Row],[Colonna5]]*$Q3</f>
        <v>7.6</v>
      </c>
      <c r="X41" s="14" t="n">
        <f aca="false">Tabella52791124791618202224262830323436384042444648505254565860626468707274767880828486908892949698100102104106108110112114116118120122124126130128132134136138140142144146148150152154[[#This Row],[Colonna6]]*$Q3</f>
        <v>11.6</v>
      </c>
      <c r="Y41" s="14" t="n">
        <f aca="false">Tabella52791124791618202224262830323436384042444648505254565860626468707274767880828486908892949698100102104106108110112114116118120122124126130128132134136138140142144146148150152154[[#This Row],[Colonna7]]*$Q3</f>
        <v>4.8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 t="n">
        <v>1</v>
      </c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 t="n">
        <f aca="false">Tabella52791124791618202224262830323436384042444648505254565860626468707274767880828486908892949698100102104106108110112114116118120122124126130128132134136138140142144146148150152154[[#This Row],[Colonna7]]*$Q3</f>
        <v>0.4</v>
      </c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1</v>
      </c>
      <c r="H43" s="13"/>
      <c r="I43" s="13"/>
      <c r="J43" s="13"/>
      <c r="K43" s="13" t="n">
        <v>1</v>
      </c>
      <c r="L43" s="13"/>
      <c r="M43" s="13" t="n">
        <v>2</v>
      </c>
      <c r="P43" s="18" t="s">
        <v>50</v>
      </c>
      <c r="Q43" s="18"/>
      <c r="R43" s="18"/>
      <c r="S43" s="14" t="n">
        <f aca="false">Tabella52791124791618202224262830323436384042444648505254565860626468707274767880828486908892949698100102104106108110112114116118120122124126130128132134136138140142144146148150152154[[#This Row],[Colonna1]]*$Q3</f>
        <v>0.4</v>
      </c>
      <c r="T43" s="14"/>
      <c r="U43" s="14"/>
      <c r="V43" s="14"/>
      <c r="W43" s="14" t="n">
        <f aca="false">Tabella52791124791618202224262830323436384042444648505254565860626468707274767880828486908892949698100102104106108110112114116118120122124126130128132134136138140142144146148150152154[[#This Row],[Colonna5]]*$Q3</f>
        <v>0.4</v>
      </c>
      <c r="X43" s="14"/>
      <c r="Y43" s="14" t="n">
        <f aca="false">Tabella52791124791618202224262830323436384042444648505254565860626468707274767880828486908892949698100102104106108110112114116118120122124126130128132134136138140142144146148150152154[[#This Row],[Colonna7]]*$Q3</f>
        <v>0.8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15</v>
      </c>
      <c r="H44" s="13" t="n">
        <v>9</v>
      </c>
      <c r="I44" s="13"/>
      <c r="J44" s="13" t="n">
        <v>23</v>
      </c>
      <c r="K44" s="142" t="n">
        <v>3</v>
      </c>
      <c r="L44" s="13" t="n">
        <v>26</v>
      </c>
      <c r="M44" s="142" t="n">
        <v>35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Tabella52791124791618202224262830323436384042444648505254565860626468707274767880828486908892949698100102104106108110112114116118120122124126130128132134136138140142144146148150152154[[#This Row],[Colonna1]]*$Q3</f>
        <v>6</v>
      </c>
      <c r="T44" s="14" t="n">
        <f aca="false">Tabella52791124791618202224262830323436384042444648505254565860626468707274767880828486908892949698100102104106108110112114116118120122124126130128132134136138140142144146148150152154[[#This Row],[Colonna2]]*$Q3</f>
        <v>3.6</v>
      </c>
      <c r="U44" s="14"/>
      <c r="V44" s="14" t="n">
        <f aca="false">Tabella52791124791618202224262830323436384042444648505254565860626468707274767880828486908892949698100102104106108110112114116118120122124126130128132134136138140142144146148150152154[[#This Row],[Colonna4]]*$Q3</f>
        <v>9.2</v>
      </c>
      <c r="W44" s="14" t="n">
        <f aca="false">Tabella52791124791618202224262830323436384042444648505254565860626468707274767880828486908892949698100102104106108110112114116118120122124126130128132134136138140142144146148150152154[[#This Row],[Colonna5]]*$Q3</f>
        <v>1.2</v>
      </c>
      <c r="X44" s="14" t="n">
        <f aca="false">Tabella52791124791618202224262830323436384042444648505254565860626468707274767880828486908892949698100102104106108110112114116118120122124126130128132134136138140142144146148150152154[[#This Row],[Colonna6]]*$Q3</f>
        <v>10.4</v>
      </c>
      <c r="Y44" s="14" t="n">
        <f aca="false">Tabella52791124791618202224262830323436384042444648505254565860626468707274767880828486908892949698100102104106108110112114116118120122124126130128132134136138140142144146148150152154[[#This Row],[Colonna7]]*$Q3</f>
        <v>14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</v>
      </c>
      <c r="H52" s="13" t="n">
        <v>1</v>
      </c>
      <c r="I52" s="13" t="n">
        <v>4</v>
      </c>
      <c r="J52" s="13" t="n">
        <v>5</v>
      </c>
      <c r="K52" s="13"/>
      <c r="L52" s="13" t="n">
        <v>5</v>
      </c>
      <c r="M52" s="13" t="n">
        <v>10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Tabella52791124791618202224262830323436384042444648505254565860626468707274767880828486908892949698100102104106108110112114116118120122124126130128132134136138140142144146148150152154[[#This Row],[Colonna1]]*$Q3</f>
        <v>0.8</v>
      </c>
      <c r="T52" s="14" t="n">
        <f aca="false">Tabella52791124791618202224262830323436384042444648505254565860626468707274767880828486908892949698100102104106108110112114116118120122124126130128132134136138140142144146148150152154[[#This Row],[Colonna2]]*$Q3</f>
        <v>0.4</v>
      </c>
      <c r="U52" s="14" t="n">
        <f aca="false">Tabella52791124791618202224262830323436384042444648505254565860626468707274767880828486908892949698100102104106108110112114116118120122124126130128132134136138140142144146148150152154[[#This Row],[Colonna3]]*$Q3</f>
        <v>1.6</v>
      </c>
      <c r="V52" s="14" t="n">
        <f aca="false">Tabella52791124791618202224262830323436384042444648505254565860626468707274767880828486908892949698100102104106108110112114116118120122124126130128132134136138140142144146148150152154[[#This Row],[Colonna4]]*$Q3</f>
        <v>2</v>
      </c>
      <c r="W52" s="14"/>
      <c r="X52" s="14" t="n">
        <f aca="false">Tabella52791124791618202224262830323436384042444648505254565860626468707274767880828486908892949698100102104106108110112114116118120122124126130128132134136138140142144146148150152154[[#This Row],[Colonna6]]*$Q3</f>
        <v>2</v>
      </c>
      <c r="Y52" s="14" t="n">
        <f aca="false">Tabella52791124791618202224262830323436384042444648505254565860626468707274767880828486908892949698100102104106108110112114116118120122124126130128132134136138140142144146148150152154[[#This Row],[Colonna7]]*$Q3</f>
        <v>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231</v>
      </c>
      <c r="H53" s="55" t="n">
        <f aca="false">SUM(H6:H52)</f>
        <v>57</v>
      </c>
      <c r="I53" s="55" t="n">
        <f aca="false">SUM(I6:I52)</f>
        <v>139</v>
      </c>
      <c r="J53" s="55" t="n">
        <f aca="false">SUM(J6:J52)</f>
        <v>180</v>
      </c>
      <c r="K53" s="55" t="n">
        <f aca="false">SUM(K6:K52)</f>
        <v>107</v>
      </c>
      <c r="L53" s="55" t="n">
        <f aca="false">SUM(L6:L52)</f>
        <v>189</v>
      </c>
      <c r="M53" s="55" t="n">
        <f aca="false">SUM(M6:M52)</f>
        <v>199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Tabella52791124791618202224262830323436384042444648505254565860626468707274767880828486908892949698100102104106108110112114116118120122124126130128132134136138140142144146148150152154[[#This Row],[Colonna1]]*$Q3</f>
        <v>92.4</v>
      </c>
      <c r="T53" s="56" t="n">
        <f aca="false">Tabella52791124791618202224262830323436384042444648505254565860626468707274767880828486908892949698100102104106108110112114116118120122124126130128132134136138140142144146148150152154[[#This Row],[Colonna2]]*$Q3</f>
        <v>22.8</v>
      </c>
      <c r="U53" s="56" t="n">
        <f aca="false">Tabella52791124791618202224262830323436384042444648505254565860626468707274767880828486908892949698100102104106108110112114116118120122124126130128132134136138140142144146148150152154[[#This Row],[Colonna3]]*$Q3</f>
        <v>55.6</v>
      </c>
      <c r="V53" s="56" t="n">
        <f aca="false">Tabella52791124791618202224262830323436384042444648505254565860626468707274767880828486908892949698100102104106108110112114116118120122124126130128132134136138140142144146148150152154[[#This Row],[Colonna4]]*$Q3</f>
        <v>72</v>
      </c>
      <c r="W53" s="56" t="n">
        <f aca="false">Tabella52791124791618202224262830323436384042444648505254565860626468707274767880828486908892949698100102104106108110112114116118120122124126130128132134136138140142144146148150152154[[#This Row],[Colonna5]]*$Q3</f>
        <v>42.8</v>
      </c>
      <c r="X53" s="56" t="n">
        <f aca="false">Tabella52791124791618202224262830323436384042444648505254565860626468707274767880828486908892949698100102104106108110112114116118120122124126130128132134136138140142144146148150152154[[#This Row],[Colonna6]]*$Q3</f>
        <v>75.6</v>
      </c>
      <c r="Y53" s="56" t="n">
        <f aca="false">Tabella52791124791618202224262830323436384042444648505254565860626468707274767880828486908892949698100102104106108110112114116118120122124126130128132134136138140142144146148150152154[[#This Row],[Colonna7]]*$Q3</f>
        <v>79.6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30</v>
      </c>
      <c r="H58" s="26" t="n">
        <v>5</v>
      </c>
      <c r="I58" s="26" t="n">
        <v>25</v>
      </c>
      <c r="J58" s="26" t="n">
        <v>80</v>
      </c>
      <c r="K58" s="26" t="n">
        <v>36</v>
      </c>
      <c r="L58" s="26" t="n">
        <v>40</v>
      </c>
      <c r="M58" s="26" t="n">
        <v>52</v>
      </c>
      <c r="P58" s="23" t="s">
        <v>62</v>
      </c>
      <c r="Q58" s="23"/>
      <c r="R58" s="23"/>
      <c r="S58" s="57" t="n">
        <f aca="false">G58*$Q3</f>
        <v>12</v>
      </c>
      <c r="T58" s="57" t="n">
        <f aca="false">H58*$Q3</f>
        <v>2</v>
      </c>
      <c r="U58" s="57" t="n">
        <f aca="false">I58*$Q3</f>
        <v>10</v>
      </c>
      <c r="V58" s="57" t="n">
        <f aca="false">J58*$Q3</f>
        <v>32</v>
      </c>
      <c r="W58" s="57" t="n">
        <f aca="false">K58*$Q3</f>
        <v>14.4</v>
      </c>
      <c r="X58" s="57" t="n">
        <f aca="false">L58*$Q3</f>
        <v>16</v>
      </c>
      <c r="Y58" s="27" t="n">
        <f aca="false">M58*$Q3</f>
        <v>20.8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3</v>
      </c>
      <c r="H62" s="26" t="n">
        <v>2</v>
      </c>
      <c r="I62" s="26" t="n">
        <v>3</v>
      </c>
      <c r="J62" s="26" t="n">
        <v>10</v>
      </c>
      <c r="K62" s="26" t="n">
        <v>6</v>
      </c>
      <c r="L62" s="26" t="n">
        <v>10</v>
      </c>
      <c r="M62" s="26" t="n">
        <v>3</v>
      </c>
      <c r="P62" s="9" t="s">
        <v>66</v>
      </c>
      <c r="Q62" s="9"/>
      <c r="R62" s="9"/>
      <c r="S62" s="57" t="n">
        <f aca="false">G62*$Q3</f>
        <v>1.2</v>
      </c>
      <c r="T62" s="57" t="n">
        <f aca="false">H62*$Q3</f>
        <v>0.8</v>
      </c>
      <c r="U62" s="57" t="n">
        <f aca="false">I62*$Q3</f>
        <v>1.2</v>
      </c>
      <c r="V62" s="57" t="n">
        <f aca="false">J62*$Q3</f>
        <v>4</v>
      </c>
      <c r="W62" s="57" t="n">
        <f aca="false">K62*$Q3</f>
        <v>2.4</v>
      </c>
      <c r="X62" s="57" t="n">
        <f aca="false">L62*$Q3</f>
        <v>4</v>
      </c>
      <c r="Y62" s="57" t="n">
        <f aca="false">M62*$Q3</f>
        <v>1.2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164"/>
      <c r="I63" s="13"/>
      <c r="J63" s="26" t="n">
        <v>1</v>
      </c>
      <c r="K63" s="26"/>
      <c r="L63" s="26" t="n">
        <v>1</v>
      </c>
      <c r="M63" s="26" t="n">
        <v>1</v>
      </c>
      <c r="P63" s="9" t="s">
        <v>67</v>
      </c>
      <c r="Q63" s="9"/>
      <c r="R63" s="9"/>
      <c r="S63" s="57"/>
      <c r="T63" s="57"/>
      <c r="U63" s="57"/>
      <c r="V63" s="57" t="n">
        <f aca="false">J63*$Q3</f>
        <v>0.4</v>
      </c>
      <c r="W63" s="57"/>
      <c r="X63" s="57" t="n">
        <f aca="false">L63*$Q3</f>
        <v>0.4</v>
      </c>
      <c r="Y63" s="57" t="n">
        <f aca="false">M63*$Q3</f>
        <v>0.4</v>
      </c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/>
      <c r="I64" s="26"/>
      <c r="J64" s="26"/>
      <c r="K64" s="26"/>
      <c r="L64" s="26" t="n">
        <v>1</v>
      </c>
      <c r="M64" s="26" t="n">
        <v>1</v>
      </c>
      <c r="P64" s="9" t="s">
        <v>68</v>
      </c>
      <c r="Q64" s="9"/>
      <c r="R64" s="9"/>
      <c r="S64" s="57"/>
      <c r="T64" s="57"/>
      <c r="U64" s="57"/>
      <c r="V64" s="57"/>
      <c r="W64" s="57"/>
      <c r="X64" s="57" t="n">
        <f aca="false">L64*$Q3</f>
        <v>0.4</v>
      </c>
      <c r="Y64" s="57" t="n">
        <f aca="false">M64*$Q3</f>
        <v>0.4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 t="n">
        <v>5</v>
      </c>
      <c r="I65" s="30" t="n">
        <v>2</v>
      </c>
      <c r="J65" s="26"/>
      <c r="K65" s="26"/>
      <c r="L65" s="26"/>
      <c r="M65" s="26"/>
      <c r="P65" s="9" t="s">
        <v>69</v>
      </c>
      <c r="Q65" s="9"/>
      <c r="R65" s="9"/>
      <c r="S65" s="57"/>
      <c r="T65" s="57" t="n">
        <f aca="false">H65*$Q3</f>
        <v>2</v>
      </c>
      <c r="U65" s="57" t="n">
        <f aca="false">I65*$Q3</f>
        <v>0.8</v>
      </c>
      <c r="V65" s="57"/>
      <c r="W65" s="57"/>
      <c r="X65" s="5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4</v>
      </c>
      <c r="H67" s="139"/>
      <c r="I67" s="139" t="n">
        <v>2</v>
      </c>
      <c r="J67" s="26" t="n">
        <v>2</v>
      </c>
      <c r="K67" s="26"/>
      <c r="L67" s="26"/>
      <c r="M67" s="26" t="n">
        <v>1</v>
      </c>
      <c r="P67" s="9" t="s">
        <v>71</v>
      </c>
      <c r="Q67" s="9"/>
      <c r="R67" s="9"/>
      <c r="S67" s="57" t="n">
        <f aca="false">G67*$Q3</f>
        <v>1.6</v>
      </c>
      <c r="T67" s="57"/>
      <c r="U67" s="57" t="n">
        <f aca="false">I67*$Q3</f>
        <v>0.8</v>
      </c>
      <c r="V67" s="57" t="n">
        <f aca="false">J67*$Q3</f>
        <v>0.8</v>
      </c>
      <c r="W67" s="57"/>
      <c r="X67" s="57"/>
      <c r="Y67" s="57" t="n">
        <f aca="false">M67*$Q3</f>
        <v>0.4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4</v>
      </c>
      <c r="H68" s="30" t="n">
        <v>4</v>
      </c>
      <c r="I68" s="30" t="n">
        <v>4</v>
      </c>
      <c r="J68" s="30" t="n">
        <v>3</v>
      </c>
      <c r="K68" s="30" t="n">
        <v>1</v>
      </c>
      <c r="L68" s="30" t="n">
        <v>2</v>
      </c>
      <c r="M68" s="30" t="n">
        <v>2</v>
      </c>
      <c r="P68" s="9" t="s">
        <v>72</v>
      </c>
      <c r="Q68" s="9"/>
      <c r="R68" s="9"/>
      <c r="S68" s="57" t="n">
        <f aca="false">G68*$Q3</f>
        <v>1.6</v>
      </c>
      <c r="T68" s="57" t="n">
        <f aca="false">H68*$Q3</f>
        <v>1.6</v>
      </c>
      <c r="U68" s="57" t="n">
        <f aca="false">I68*$Q3</f>
        <v>1.6</v>
      </c>
      <c r="V68" s="57" t="n">
        <f aca="false">J68*$Q3</f>
        <v>1.2</v>
      </c>
      <c r="W68" s="57" t="n">
        <f aca="false">K68*$Q3</f>
        <v>0.4</v>
      </c>
      <c r="X68" s="57" t="n">
        <f aca="false">L68*$Q3</f>
        <v>0.8</v>
      </c>
      <c r="Y68" s="57" t="n">
        <f aca="false">M68*$Q3</f>
        <v>0.8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</v>
      </c>
      <c r="H69" s="30" t="n">
        <v>1</v>
      </c>
      <c r="I69" s="30"/>
      <c r="J69" s="30" t="n">
        <v>8</v>
      </c>
      <c r="K69" s="30" t="n">
        <v>3</v>
      </c>
      <c r="L69" s="30" t="n">
        <v>32</v>
      </c>
      <c r="M69" s="30" t="n">
        <v>8</v>
      </c>
      <c r="P69" s="9" t="s">
        <v>73</v>
      </c>
      <c r="Q69" s="9"/>
      <c r="R69" s="9"/>
      <c r="S69" s="57" t="n">
        <f aca="false">G69*$Q3</f>
        <v>0.4</v>
      </c>
      <c r="T69" s="57" t="n">
        <f aca="false">H69*$Q3</f>
        <v>0.4</v>
      </c>
      <c r="U69" s="57"/>
      <c r="V69" s="57" t="n">
        <f aca="false">J69*$Q3</f>
        <v>3.2</v>
      </c>
      <c r="W69" s="57"/>
      <c r="X69" s="57" t="n">
        <f aca="false">L69*$Q3</f>
        <v>12.8</v>
      </c>
      <c r="Y69" s="57" t="n">
        <f aca="false">M69*$Q3</f>
        <v>3.2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42</v>
      </c>
      <c r="H70" s="60" t="n">
        <f aca="false">SUM(H58:H69)</f>
        <v>17</v>
      </c>
      <c r="I70" s="60" t="n">
        <f aca="false">SUM(I58:I69)</f>
        <v>36</v>
      </c>
      <c r="J70" s="60" t="n">
        <f aca="false">SUM(J58:J69)</f>
        <v>104</v>
      </c>
      <c r="K70" s="60" t="n">
        <f aca="false">SUM(K58:K69)</f>
        <v>46</v>
      </c>
      <c r="L70" s="60" t="n">
        <f aca="false">SUM(L58:L69)</f>
        <v>86</v>
      </c>
      <c r="M70" s="60" t="n">
        <f aca="false">SUM(M58:M69)</f>
        <v>68</v>
      </c>
      <c r="P70" s="9" t="s">
        <v>60</v>
      </c>
      <c r="Q70" s="9"/>
      <c r="R70" s="9"/>
      <c r="S70" s="61" t="n">
        <f aca="false">G70*$Q3</f>
        <v>16.8</v>
      </c>
      <c r="T70" s="61" t="n">
        <f aca="false">H70*$Q3</f>
        <v>6.8</v>
      </c>
      <c r="U70" s="61" t="n">
        <f aca="false">I70*$Q3</f>
        <v>14.4</v>
      </c>
      <c r="V70" s="61" t="n">
        <f aca="false">J70*$Q3</f>
        <v>41.6</v>
      </c>
      <c r="W70" s="61" t="n">
        <f aca="false">K70*$Q3</f>
        <v>18.4</v>
      </c>
      <c r="X70" s="61" t="n">
        <f aca="false">L70*$Q3</f>
        <v>34.4</v>
      </c>
      <c r="Y70" s="32" t="n">
        <f aca="false">M70*$Q3</f>
        <v>27.2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104</v>
      </c>
      <c r="I3" s="119" t="s">
        <v>2</v>
      </c>
      <c r="J3" s="4" t="n">
        <v>45425</v>
      </c>
      <c r="K3" s="5" t="n">
        <v>45431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104</v>
      </c>
      <c r="U3" s="119" t="s">
        <v>2</v>
      </c>
      <c r="V3" s="4" t="n">
        <v>45425</v>
      </c>
      <c r="W3" s="5" t="n">
        <v>45431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55</v>
      </c>
      <c r="H7" s="13" t="n">
        <v>52</v>
      </c>
      <c r="I7" s="13" t="n">
        <v>12</v>
      </c>
      <c r="J7" s="13" t="n">
        <v>9</v>
      </c>
      <c r="K7" s="13" t="n">
        <v>35</v>
      </c>
      <c r="L7" s="13" t="n">
        <v>48</v>
      </c>
      <c r="M7" s="13" t="n">
        <v>16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Tabella52791124791618202224262830323436384042444648505254565860626468707274767880828486908892949698100102104106108110112114116118120122124126130128132134136138140142144146148150152154156[[#This Row],[Colonna1]]*$Q3</f>
        <v>22</v>
      </c>
      <c r="T7" s="14" t="n">
        <f aca="false">Tabella52791124791618202224262830323436384042444648505254565860626468707274767880828486908892949698100102104106108110112114116118120122124126130128132134136138140142144146148150152154156[[#This Row],[Colonna2]]*$Q3</f>
        <v>20.8</v>
      </c>
      <c r="U7" s="14" t="n">
        <f aca="false">Tabella52791124791618202224262830323436384042444648505254565860626468707274767880828486908892949698100102104106108110112114116118120122124126130128132134136138140142144146148150152154156[[#This Row],[Colonna3]]*$Q3</f>
        <v>4.8</v>
      </c>
      <c r="V7" s="14" t="n">
        <f aca="false">Tabella52791124791618202224262830323436384042444648505254565860626468707274767880828486908892949698100102104106108110112114116118120122124126130128132134136138140142144146148150152154156[[#This Row],[Colonna4]]*$Q3</f>
        <v>3.6</v>
      </c>
      <c r="W7" s="14" t="n">
        <f aca="false">Tabella52791124791618202224262830323436384042444648505254565860626468707274767880828486908892949698100102104106108110112114116118120122124126130128132134136138140142144146148150152154156[[#This Row],[Colonna5]]*$Q3</f>
        <v>14</v>
      </c>
      <c r="X7" s="14" t="n">
        <f aca="false">Tabella52791124791618202224262830323436384042444648505254565860626468707274767880828486908892949698100102104106108110112114116118120122124126130128132134136138140142144146148150152154156[[#This Row],[Colonna6]]*$Q3</f>
        <v>19.2</v>
      </c>
      <c r="Y7" s="14" t="n">
        <f aca="false">Tabella52791124791618202224262830323436384042444648505254565860626468707274767880828486908892949698100102104106108110112114116118120122124126130128132134136138140142144146148150152154156[[#This Row],[Colonna7]]*$Q3</f>
        <v>6.4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 t="n">
        <v>1</v>
      </c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 t="n">
        <f aca="false">Tabella52791124791618202224262830323436384042444648505254565860626468707274767880828486908892949698100102104106108110112114116118120122124126130128132134136138140142144146148150152154156[[#This Row],[Colonna2]]*$Q3</f>
        <v>0.4</v>
      </c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 t="n">
        <v>1</v>
      </c>
      <c r="M12" s="13" t="n">
        <v>2</v>
      </c>
      <c r="P12" s="12" t="s">
        <v>19</v>
      </c>
      <c r="Q12" s="12"/>
      <c r="R12" s="12"/>
      <c r="S12" s="14"/>
      <c r="T12" s="14"/>
      <c r="U12" s="14"/>
      <c r="V12" s="14"/>
      <c r="W12" s="14"/>
      <c r="X12" s="14" t="n">
        <f aca="false">Tabella52791124791618202224262830323436384042444648505254565860626468707274767880828486908892949698100102104106108110112114116118120122124126130128132134136138140142144146148150152154156[[#This Row],[Colonna6]]*$Q3</f>
        <v>0.4</v>
      </c>
      <c r="Y12" s="14" t="n">
        <f aca="false">Tabella52791124791618202224262830323436384042444648505254565860626468707274767880828486908892949698100102104106108110112114116118120122124126130128132134136138140142144146148150152154156[[#This Row],[Colonna7]]*$Q3</f>
        <v>0.8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 t="n">
        <v>1</v>
      </c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 t="n">
        <f aca="false">Tabella52791124791618202224262830323436384042444648505254565860626468707274767880828486908892949698100102104106108110112114116118120122124126130128132134136138140142144146148150152154156[[#This Row],[Colonna1]]*$Q3</f>
        <v>0.4</v>
      </c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16</v>
      </c>
      <c r="H22" s="13" t="n">
        <v>16</v>
      </c>
      <c r="I22" s="13" t="n">
        <v>2</v>
      </c>
      <c r="J22" s="13" t="n">
        <v>2</v>
      </c>
      <c r="K22" s="13" t="n">
        <v>12</v>
      </c>
      <c r="L22" s="13" t="n">
        <v>5</v>
      </c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Tabella52791124791618202224262830323436384042444648505254565860626468707274767880828486908892949698100102104106108110112114116118120122124126130128132134136138140142144146148150152154156[[#This Row],[Colonna1]]*$Q3</f>
        <v>6.4</v>
      </c>
      <c r="T22" s="14" t="n">
        <f aca="false">Tabella52791124791618202224262830323436384042444648505254565860626468707274767880828486908892949698100102104106108110112114116118120122124126130128132134136138140142144146148150152154156[[#This Row],[Colonna2]]*$Q3</f>
        <v>6.4</v>
      </c>
      <c r="U22" s="14" t="n">
        <f aca="false">Tabella52791124791618202224262830323436384042444648505254565860626468707274767880828486908892949698100102104106108110112114116118120122124126130128132134136138140142144146148150152154156[[#This Row],[Colonna3]]*$Q3</f>
        <v>0.8</v>
      </c>
      <c r="V22" s="14" t="n">
        <f aca="false">Tabella52791124791618202224262830323436384042444648505254565860626468707274767880828486908892949698100102104106108110112114116118120122124126130128132134136138140142144146148150152154156[[#This Row],[Colonna4]]*$Q3</f>
        <v>0.8</v>
      </c>
      <c r="W22" s="14" t="n">
        <f aca="false">Tabella52791124791618202224262830323436384042444648505254565860626468707274767880828486908892949698100102104106108110112114116118120122124126130128132134136138140142144146148150152154156[[#This Row],[Colonna5]]*$Q3</f>
        <v>4.8</v>
      </c>
      <c r="X22" s="14" t="n">
        <f aca="false">Tabella52791124791618202224262830323436384042444648505254565860626468707274767880828486908892949698100102104106108110112114116118120122124126130128132134136138140142144146148150152154156[[#This Row],[Colonna6]]*$Q3</f>
        <v>2</v>
      </c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5</v>
      </c>
      <c r="H27" s="13" t="n">
        <v>4</v>
      </c>
      <c r="I27" s="13"/>
      <c r="J27" s="13"/>
      <c r="K27" s="13" t="n">
        <v>6</v>
      </c>
      <c r="L27" s="13" t="n">
        <v>3</v>
      </c>
      <c r="M27" s="13" t="n">
        <v>3</v>
      </c>
      <c r="P27" s="12" t="s">
        <v>34</v>
      </c>
      <c r="Q27" s="12"/>
      <c r="R27" s="12"/>
      <c r="S27" s="14" t="n">
        <f aca="false">Tabella52791124791618202224262830323436384042444648505254565860626468707274767880828486908892949698100102104106108110112114116118120122124126130128132134136138140142144146148150152154156[[#This Row],[Colonna1]]*$Q3</f>
        <v>2</v>
      </c>
      <c r="T27" s="14" t="n">
        <f aca="false">Tabella52791124791618202224262830323436384042444648505254565860626468707274767880828486908892949698100102104106108110112114116118120122124126130128132134136138140142144146148150152154156[[#This Row],[Colonna2]]*$Q3</f>
        <v>1.6</v>
      </c>
      <c r="U27" s="14"/>
      <c r="V27" s="14"/>
      <c r="W27" s="14"/>
      <c r="X27" s="14" t="n">
        <f aca="false">Tabella52791124791618202224262830323436384042444648505254565860626468707274767880828486908892949698100102104106108110112114116118120122124126130128132134136138140142144146148150152154156[[#This Row],[Colonna6]]*$Q3</f>
        <v>1.2</v>
      </c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12</v>
      </c>
      <c r="H28" s="13" t="n">
        <v>5</v>
      </c>
      <c r="I28" s="13" t="n">
        <v>1</v>
      </c>
      <c r="J28" s="13"/>
      <c r="K28" s="13" t="n">
        <v>6</v>
      </c>
      <c r="L28" s="13" t="n">
        <v>8</v>
      </c>
      <c r="M28" s="13" t="n">
        <v>3</v>
      </c>
      <c r="P28" s="12" t="s">
        <v>35</v>
      </c>
      <c r="Q28" s="12"/>
      <c r="R28" s="12"/>
      <c r="S28" s="14" t="n">
        <f aca="false">Tabella52791124791618202224262830323436384042444648505254565860626468707274767880828486908892949698100102104106108110112114116118120122124126130128132134136138140142144146148150152154156[[#This Row],[Colonna1]]*$Q3</f>
        <v>4.8</v>
      </c>
      <c r="T28" s="14" t="n">
        <f aca="false">Tabella52791124791618202224262830323436384042444648505254565860626468707274767880828486908892949698100102104106108110112114116118120122124126130128132134136138140142144146148150152154156[[#This Row],[Colonna2]]*$Q3</f>
        <v>2</v>
      </c>
      <c r="U28" s="14" t="n">
        <f aca="false">Tabella52791124791618202224262830323436384042444648505254565860626468707274767880828486908892949698100102104106108110112114116118120122124126130128132134136138140142144146148150152154156[[#This Row],[Colonna3]]*$Q3</f>
        <v>0.4</v>
      </c>
      <c r="V28" s="14"/>
      <c r="W28" s="14"/>
      <c r="X28" s="14" t="n">
        <f aca="false">Tabella52791124791618202224262830323436384042444648505254565860626468707274767880828486908892949698100102104106108110112114116118120122124126130128132134136138140142144146148150152154156[[#This Row],[Colonna6]]*$Q3</f>
        <v>3.2</v>
      </c>
      <c r="Y28" s="14" t="n">
        <f aca="false">Tabella52791124791618202224262830323436384042444648505254565860626468707274767880828486908892949698100102104106108110112114116118120122124126130128132134136138140142144146148150152154156[[#This Row],[Colonna7]]*$Q3</f>
        <v>1.2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126</v>
      </c>
      <c r="H29" s="13" t="n">
        <v>193</v>
      </c>
      <c r="I29" s="13" t="n">
        <v>22</v>
      </c>
      <c r="J29" s="13" t="n">
        <v>17</v>
      </c>
      <c r="K29" s="13" t="n">
        <v>71</v>
      </c>
      <c r="L29" s="13" t="n">
        <v>146</v>
      </c>
      <c r="M29" s="13" t="n">
        <v>50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Tabella52791124791618202224262830323436384042444648505254565860626468707274767880828486908892949698100102104106108110112114116118120122124126130128132134136138140142144146148150152154156[[#This Row],[Colonna1]]*$Q3</f>
        <v>50.4</v>
      </c>
      <c r="T29" s="14" t="n">
        <f aca="false">Tabella52791124791618202224262830323436384042444648505254565860626468707274767880828486908892949698100102104106108110112114116118120122124126130128132134136138140142144146148150152154156[[#This Row],[Colonna2]]*$Q3</f>
        <v>77.2</v>
      </c>
      <c r="U29" s="14" t="n">
        <f aca="false">Tabella52791124791618202224262830323436384042444648505254565860626468707274767880828486908892949698100102104106108110112114116118120122124126130128132134136138140142144146148150152154156[[#This Row],[Colonna3]]*$Q3</f>
        <v>8.8</v>
      </c>
      <c r="V29" s="14" t="n">
        <f aca="false">Tabella52791124791618202224262830323436384042444648505254565860626468707274767880828486908892949698100102104106108110112114116118120122124126130128132134136138140142144146148150152154156[[#This Row],[Colonna4]]*$Q3</f>
        <v>6.8</v>
      </c>
      <c r="W29" s="14" t="n">
        <f aca="false">Tabella52791124791618202224262830323436384042444648505254565860626468707274767880828486908892949698100102104106108110112114116118120122124126130128132134136138140142144146148150152154156[[#This Row],[Colonna5]]*$Q3</f>
        <v>28.4</v>
      </c>
      <c r="X29" s="14" t="n">
        <f aca="false">Tabella52791124791618202224262830323436384042444648505254565860626468707274767880828486908892949698100102104106108110112114116118120122124126130128132134136138140142144146148150152154156[[#This Row],[Colonna6]]*$Q3</f>
        <v>58.4</v>
      </c>
      <c r="Y29" s="14" t="n">
        <f aca="false">Tabella52791124791618202224262830323436384042444648505254565860626468707274767880828486908892949698100102104106108110112114116118120122124126130128132134136138140142144146148150152154156[[#This Row],[Colonna7]]*$Q3</f>
        <v>20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1</v>
      </c>
      <c r="H31" s="13" t="n">
        <v>8</v>
      </c>
      <c r="I31" s="13" t="n">
        <v>2</v>
      </c>
      <c r="J31" s="13" t="n">
        <v>1</v>
      </c>
      <c r="K31" s="13" t="n">
        <v>5</v>
      </c>
      <c r="L31" s="13" t="n">
        <v>4</v>
      </c>
      <c r="M31" s="13" t="n">
        <v>1</v>
      </c>
      <c r="P31" s="9" t="s">
        <v>38</v>
      </c>
      <c r="Q31" s="9"/>
      <c r="R31" s="9"/>
      <c r="S31" s="14" t="n">
        <f aca="false">Tabella52791124791618202224262830323436384042444648505254565860626468707274767880828486908892949698100102104106108110112114116118120122124126130128132134136138140142144146148150152154156[[#This Row],[Colonna1]]*$Q3</f>
        <v>0.4</v>
      </c>
      <c r="T31" s="14" t="n">
        <f aca="false">Tabella52791124791618202224262830323436384042444648505254565860626468707274767880828486908892949698100102104106108110112114116118120122124126130128132134136138140142144146148150152154156[[#This Row],[Colonna2]]*$Q3</f>
        <v>3.2</v>
      </c>
      <c r="U31" s="14" t="n">
        <f aca="false">Tabella52791124791618202224262830323436384042444648505254565860626468707274767880828486908892949698100102104106108110112114116118120122124126130128132134136138140142144146148150152154156[[#This Row],[Colonna3]]*$Q3</f>
        <v>0.8</v>
      </c>
      <c r="V31" s="14" t="n">
        <f aca="false">Tabella52791124791618202224262830323436384042444648505254565860626468707274767880828486908892949698100102104106108110112114116118120122124126130128132134136138140142144146148150152154156[[#This Row],[Colonna4]]*$Q3</f>
        <v>0.4</v>
      </c>
      <c r="W31" s="14" t="n">
        <f aca="false">Tabella52791124791618202224262830323436384042444648505254565860626468707274767880828486908892949698100102104106108110112114116118120122124126130128132134136138140142144146148150152154156[[#This Row],[Colonna5]]*$Q3</f>
        <v>2</v>
      </c>
      <c r="X31" s="14" t="n">
        <f aca="false">Tabella52791124791618202224262830323436384042444648505254565860626468707274767880828486908892949698100102104106108110112114116118120122124126130128132134136138140142144146148150152154156[[#This Row],[Colonna6]]*$Q3</f>
        <v>1.6</v>
      </c>
      <c r="Y31" s="14" t="n">
        <f aca="false">Tabella52791124791618202224262830323436384042444648505254565860626468707274767880828486908892949698100102104106108110112114116118120122124126130128132134136138140142144146148150152154156[[#This Row],[Colonna7]]*$Q3</f>
        <v>0.4</v>
      </c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 t="n">
        <v>16</v>
      </c>
      <c r="I34" s="13" t="n">
        <v>4</v>
      </c>
      <c r="J34" s="13" t="n">
        <v>12</v>
      </c>
      <c r="K34" s="13" t="n">
        <v>14</v>
      </c>
      <c r="L34" s="13" t="n">
        <v>72</v>
      </c>
      <c r="M34" s="13" t="n">
        <v>16</v>
      </c>
      <c r="P34" s="9" t="s">
        <v>41</v>
      </c>
      <c r="Q34" s="9"/>
      <c r="R34" s="9"/>
      <c r="S34" s="14"/>
      <c r="T34" s="14" t="n">
        <f aca="false">Tabella52791124791618202224262830323436384042444648505254565860626468707274767880828486908892949698100102104106108110112114116118120122124126130128132134136138140142144146148150152154156[[#This Row],[Colonna2]]*$Q3</f>
        <v>6.4</v>
      </c>
      <c r="U34" s="14" t="n">
        <f aca="false">Tabella52791124791618202224262830323436384042444648505254565860626468707274767880828486908892949698100102104106108110112114116118120122124126130128132134136138140142144146148150152154156[[#This Row],[Colonna3]]*$Q3</f>
        <v>1.6</v>
      </c>
      <c r="V34" s="14" t="n">
        <f aca="false">Tabella52791124791618202224262830323436384042444648505254565860626468707274767880828486908892949698100102104106108110112114116118120122124126130128132134136138140142144146148150152154156[[#This Row],[Colonna4]]*$Q3</f>
        <v>4.8</v>
      </c>
      <c r="W34" s="14" t="n">
        <f aca="false">Tabella52791124791618202224262830323436384042444648505254565860626468707274767880828486908892949698100102104106108110112114116118120122124126130128132134136138140142144146148150152154156[[#This Row],[Colonna5]]*$Q3</f>
        <v>5.6</v>
      </c>
      <c r="X34" s="14" t="n">
        <f aca="false">Tabella52791124791618202224262830323436384042444648505254565860626468707274767880828486908892949698100102104106108110112114116118120122124126130128132134136138140142144146148150152154156[[#This Row],[Colonna6]]*$Q3</f>
        <v>28.8</v>
      </c>
      <c r="Y34" s="14" t="n">
        <f aca="false">Tabella52791124791618202224262830323436384042444648505254565860626468707274767880828486908892949698100102104106108110112114116118120122124126130128132134136138140142144146148150152154156[[#This Row],[Colonna7]]*$Q3</f>
        <v>6.4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14</v>
      </c>
      <c r="H38" s="13" t="n">
        <v>11</v>
      </c>
      <c r="I38" s="13" t="n">
        <v>5</v>
      </c>
      <c r="J38" s="13" t="n">
        <v>3</v>
      </c>
      <c r="K38" s="13" t="n">
        <v>11</v>
      </c>
      <c r="L38" s="13" t="n">
        <v>13</v>
      </c>
      <c r="M38" s="13" t="n">
        <v>3</v>
      </c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Tabella52791124791618202224262830323436384042444648505254565860626468707274767880828486908892949698100102104106108110112114116118120122124126130128132134136138140142144146148150152154156[[#This Row],[Colonna1]]*$Q3</f>
        <v>5.6</v>
      </c>
      <c r="T38" s="14" t="n">
        <f aca="false">Tabella52791124791618202224262830323436384042444648505254565860626468707274767880828486908892949698100102104106108110112114116118120122124126130128132134136138140142144146148150152154156[[#This Row],[Colonna2]]*$Q3</f>
        <v>4.4</v>
      </c>
      <c r="U38" s="14" t="n">
        <f aca="false">Tabella52791124791618202224262830323436384042444648505254565860626468707274767880828486908892949698100102104106108110112114116118120122124126130128132134136138140142144146148150152154156[[#This Row],[Colonna3]]*$Q3</f>
        <v>2</v>
      </c>
      <c r="V38" s="14" t="n">
        <f aca="false">Tabella52791124791618202224262830323436384042444648505254565860626468707274767880828486908892949698100102104106108110112114116118120122124126130128132134136138140142144146148150152154156[[#This Row],[Colonna4]]*$Q3</f>
        <v>1.2</v>
      </c>
      <c r="W38" s="14" t="n">
        <f aca="false">Tabella52791124791618202224262830323436384042444648505254565860626468707274767880828486908892949698100102104106108110112114116118120122124126130128132134136138140142144146148150152154156[[#This Row],[Colonna5]]*$Q3</f>
        <v>4.4</v>
      </c>
      <c r="X38" s="14" t="n">
        <f aca="false">Tabella52791124791618202224262830323436384042444648505254565860626468707274767880828486908892949698100102104106108110112114116118120122124126130128132134136138140142144146148150152154156[[#This Row],[Colonna6]]*$Q3</f>
        <v>5.2</v>
      </c>
      <c r="Y38" s="14" t="n">
        <f aca="false">Tabella52791124791618202224262830323436384042444648505254565860626468707274767880828486908892949698100102104106108110112114116118120122124126130128132134136138140142144146148150152154156[[#This Row],[Colonna7]]*$Q3</f>
        <v>1.2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 t="n">
        <v>7</v>
      </c>
      <c r="H40" s="13" t="n">
        <v>8</v>
      </c>
      <c r="I40" s="13" t="n">
        <v>5</v>
      </c>
      <c r="J40" s="13" t="n">
        <v>14</v>
      </c>
      <c r="K40" s="13" t="n">
        <v>20</v>
      </c>
      <c r="L40" s="13" t="n">
        <v>13</v>
      </c>
      <c r="M40" s="13" t="n">
        <v>7</v>
      </c>
      <c r="P40" s="12" t="s">
        <v>47</v>
      </c>
      <c r="Q40" s="12"/>
      <c r="R40" s="12"/>
      <c r="S40" s="14" t="n">
        <f aca="false">Tabella52791124791618202224262830323436384042444648505254565860626468707274767880828486908892949698100102104106108110112114116118120122124126130128132134136138140142144146148150152154156[[#This Row],[Colonna1]]*$Q3</f>
        <v>2.8</v>
      </c>
      <c r="T40" s="14" t="n">
        <f aca="false">Tabella52791124791618202224262830323436384042444648505254565860626468707274767880828486908892949698100102104106108110112114116118120122124126130128132134136138140142144146148150152154156[[#This Row],[Colonna2]]*$Q3</f>
        <v>3.2</v>
      </c>
      <c r="U40" s="14" t="n">
        <f aca="false">Tabella52791124791618202224262830323436384042444648505254565860626468707274767880828486908892949698100102104106108110112114116118120122124126130128132134136138140142144146148150152154156[[#This Row],[Colonna3]]*$Q3</f>
        <v>2</v>
      </c>
      <c r="V40" s="14" t="n">
        <f aca="false">Tabella52791124791618202224262830323436384042444648505254565860626468707274767880828486908892949698100102104106108110112114116118120122124126130128132134136138140142144146148150152154156[[#This Row],[Colonna4]]*$Q3</f>
        <v>5.6</v>
      </c>
      <c r="W40" s="14" t="n">
        <f aca="false">Tabella52791124791618202224262830323436384042444648505254565860626468707274767880828486908892949698100102104106108110112114116118120122124126130128132134136138140142144146148150152154156[[#This Row],[Colonna5]]*$Q3</f>
        <v>8</v>
      </c>
      <c r="X40" s="14" t="n">
        <f aca="false">Tabella52791124791618202224262830323436384042444648505254565860626468707274767880828486908892949698100102104106108110112114116118120122124126130128132134136138140142144146148150152154156[[#This Row],[Colonna6]]*$Q3</f>
        <v>5.2</v>
      </c>
      <c r="Y40" s="14" t="n">
        <f aca="false">Tabella52791124791618202224262830323436384042444648505254565860626468707274767880828486908892949698100102104106108110112114116118120122124126130128132134136138140142144146148150152154156[[#This Row],[Colonna7]]*$Q3</f>
        <v>2.8</v>
      </c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44</v>
      </c>
      <c r="H41" s="13" t="n">
        <v>30</v>
      </c>
      <c r="I41" s="13" t="n">
        <v>2</v>
      </c>
      <c r="J41" s="13" t="n">
        <v>6</v>
      </c>
      <c r="K41" s="13" t="n">
        <v>26</v>
      </c>
      <c r="L41" s="13" t="n">
        <v>24</v>
      </c>
      <c r="M41" s="13" t="n">
        <v>3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Tabella52791124791618202224262830323436384042444648505254565860626468707274767880828486908892949698100102104106108110112114116118120122124126130128132134136138140142144146148150152154156[[#This Row],[Colonna1]]*$Q3</f>
        <v>17.6</v>
      </c>
      <c r="T41" s="14" t="n">
        <f aca="false">Tabella52791124791618202224262830323436384042444648505254565860626468707274767880828486908892949698100102104106108110112114116118120122124126130128132134136138140142144146148150152154156[[#This Row],[Colonna2]]*$Q3</f>
        <v>12</v>
      </c>
      <c r="U41" s="14" t="n">
        <f aca="false">Tabella52791124791618202224262830323436384042444648505254565860626468707274767880828486908892949698100102104106108110112114116118120122124126130128132134136138140142144146148150152154156[[#This Row],[Colonna3]]*$Q3</f>
        <v>0.8</v>
      </c>
      <c r="V41" s="14" t="n">
        <f aca="false">Tabella52791124791618202224262830323436384042444648505254565860626468707274767880828486908892949698100102104106108110112114116118120122124126130128132134136138140142144146148150152154156[[#This Row],[Colonna4]]*$Q3</f>
        <v>2.4</v>
      </c>
      <c r="W41" s="14" t="n">
        <f aca="false">Tabella52791124791618202224262830323436384042444648505254565860626468707274767880828486908892949698100102104106108110112114116118120122124126130128132134136138140142144146148150152154156[[#This Row],[Colonna5]]*$Q3</f>
        <v>10.4</v>
      </c>
      <c r="X41" s="14" t="n">
        <f aca="false">Tabella52791124791618202224262830323436384042444648505254565860626468707274767880828486908892949698100102104106108110112114116118120122124126130128132134136138140142144146148150152154156[[#This Row],[Colonna6]]*$Q3</f>
        <v>9.6</v>
      </c>
      <c r="Y41" s="14" t="n">
        <f aca="false">Tabella52791124791618202224262830323436384042444648505254565860626468707274767880828486908892949698100102104106108110112114116118120122124126130128132134136138140142144146148150152154156[[#This Row],[Colonna7]]*$Q3</f>
        <v>1.2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 t="n">
        <v>2</v>
      </c>
      <c r="I42" s="13"/>
      <c r="J42" s="13"/>
      <c r="K42" s="13" t="n">
        <v>2</v>
      </c>
      <c r="L42" s="13" t="n">
        <v>2</v>
      </c>
      <c r="M42" s="13" t="n">
        <v>1</v>
      </c>
      <c r="P42" s="9" t="s">
        <v>49</v>
      </c>
      <c r="Q42" s="9"/>
      <c r="R42" s="9"/>
      <c r="S42" s="14"/>
      <c r="T42" s="14" t="n">
        <f aca="false">Tabella52791124791618202224262830323436384042444648505254565860626468707274767880828486908892949698100102104106108110112114116118120122124126130128132134136138140142144146148150152154156[[#This Row],[Colonna2]]*$Q3</f>
        <v>0.8</v>
      </c>
      <c r="U42" s="14"/>
      <c r="V42" s="14"/>
      <c r="W42" s="14" t="n">
        <f aca="false">Tabella52791124791618202224262830323436384042444648505254565860626468707274767880828486908892949698100102104106108110112114116118120122124126130128132134136138140142144146148150152154156[[#This Row],[Colonna5]]*$Q3</f>
        <v>0.8</v>
      </c>
      <c r="X42" s="14" t="n">
        <f aca="false">Tabella52791124791618202224262830323436384042444648505254565860626468707274767880828486908892949698100102104106108110112114116118120122124126130128132134136138140142144146148150152154156[[#This Row],[Colonna6]]*$Q3</f>
        <v>0.8</v>
      </c>
      <c r="Y42" s="14" t="n">
        <f aca="false">Tabella52791124791618202224262830323436384042444648505254565860626468707274767880828486908892949698100102104106108110112114116118120122124126130128132134136138140142144146148150152154156[[#This Row],[Colonna7]]*$Q3</f>
        <v>0.4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24</v>
      </c>
      <c r="H44" s="13" t="n">
        <v>28</v>
      </c>
      <c r="I44" s="13" t="n">
        <v>31</v>
      </c>
      <c r="J44" s="13" t="n">
        <v>4</v>
      </c>
      <c r="K44" s="142" t="n">
        <v>18</v>
      </c>
      <c r="L44" s="13" t="n">
        <v>12</v>
      </c>
      <c r="M44" s="142" t="n">
        <v>8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Tabella52791124791618202224262830323436384042444648505254565860626468707274767880828486908892949698100102104106108110112114116118120122124126130128132134136138140142144146148150152154156[[#This Row],[Colonna1]]*$Q3</f>
        <v>9.6</v>
      </c>
      <c r="T44" s="14" t="n">
        <f aca="false">Tabella52791124791618202224262830323436384042444648505254565860626468707274767880828486908892949698100102104106108110112114116118120122124126130128132134136138140142144146148150152154156[[#This Row],[Colonna2]]*$Q3</f>
        <v>11.2</v>
      </c>
      <c r="U44" s="14" t="n">
        <f aca="false">Tabella52791124791618202224262830323436384042444648505254565860626468707274767880828486908892949698100102104106108110112114116118120122124126130128132134136138140142144146148150152154156[[#This Row],[Colonna3]]*$Q3</f>
        <v>12.4</v>
      </c>
      <c r="V44" s="14" t="n">
        <f aca="false">Tabella52791124791618202224262830323436384042444648505254565860626468707274767880828486908892949698100102104106108110112114116118120122124126130128132134136138140142144146148150152154156[[#This Row],[Colonna4]]*$Q3</f>
        <v>1.6</v>
      </c>
      <c r="W44" s="14" t="n">
        <f aca="false">Tabella52791124791618202224262830323436384042444648505254565860626468707274767880828486908892949698100102104106108110112114116118120122124126130128132134136138140142144146148150152154156[[#This Row],[Colonna5]]*$Q3</f>
        <v>7.2</v>
      </c>
      <c r="X44" s="14" t="n">
        <f aca="false">Tabella52791124791618202224262830323436384042444648505254565860626468707274767880828486908892949698100102104106108110112114116118120122124126130128132134136138140142144146148150152154156[[#This Row],[Colonna6]]*$Q3</f>
        <v>4.8</v>
      </c>
      <c r="Y44" s="14" t="n">
        <f aca="false">Tabella52791124791618202224262830323436384042444648505254565860626468707274767880828486908892949698100102104106108110112114116118120122124126130128132134136138140142144146148150152154156[[#This Row],[Colonna7]]*$Q3</f>
        <v>3.2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19</v>
      </c>
      <c r="H52" s="13" t="n">
        <v>19</v>
      </c>
      <c r="I52" s="13" t="n">
        <v>6</v>
      </c>
      <c r="J52" s="13" t="n">
        <v>8</v>
      </c>
      <c r="K52" s="13" t="n">
        <v>19</v>
      </c>
      <c r="L52" s="13" t="n">
        <v>23</v>
      </c>
      <c r="M52" s="13" t="n">
        <v>62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Tabella52791124791618202224262830323436384042444648505254565860626468707274767880828486908892949698100102104106108110112114116118120122124126130128132134136138140142144146148150152154156[[#This Row],[Colonna1]]*$Q3</f>
        <v>7.6</v>
      </c>
      <c r="T52" s="14" t="n">
        <f aca="false">Tabella52791124791618202224262830323436384042444648505254565860626468707274767880828486908892949698100102104106108110112114116118120122124126130128132134136138140142144146148150152154156[[#This Row],[Colonna2]]*$Q3</f>
        <v>7.6</v>
      </c>
      <c r="U52" s="14" t="n">
        <f aca="false">Tabella52791124791618202224262830323436384042444648505254565860626468707274767880828486908892949698100102104106108110112114116118120122124126130128132134136138140142144146148150152154156[[#This Row],[Colonna3]]*$Q3</f>
        <v>2.4</v>
      </c>
      <c r="V52" s="14" t="n">
        <f aca="false">Tabella52791124791618202224262830323436384042444648505254565860626468707274767880828486908892949698100102104106108110112114116118120122124126130128132134136138140142144146148150152154156[[#This Row],[Colonna4]]*$Q3</f>
        <v>3.2</v>
      </c>
      <c r="W52" s="14" t="n">
        <f aca="false">Tabella52791124791618202224262830323436384042444648505254565860626468707274767880828486908892949698100102104106108110112114116118120122124126130128132134136138140142144146148150152154156[[#This Row],[Colonna5]]*$Q3</f>
        <v>7.6</v>
      </c>
      <c r="X52" s="14" t="n">
        <f aca="false">Tabella52791124791618202224262830323436384042444648505254565860626468707274767880828486908892949698100102104106108110112114116118120122124126130128132134136138140142144146148150152154156[[#This Row],[Colonna6]]*$Q3</f>
        <v>9.2</v>
      </c>
      <c r="Y52" s="14" t="n">
        <f aca="false">Tabella52791124791618202224262830323436384042444648505254565860626468707274767880828486908892949698100102104106108110112114116118120122124126130128132134136138140142144146148150152154156[[#This Row],[Colonna7]]*$Q3</f>
        <v>24.8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324</v>
      </c>
      <c r="H53" s="55" t="n">
        <f aca="false">SUM(H6:H52)</f>
        <v>393</v>
      </c>
      <c r="I53" s="55" t="n">
        <f aca="false">SUM(I6:I52)</f>
        <v>92</v>
      </c>
      <c r="J53" s="55" t="n">
        <f aca="false">SUM(J6:J52)</f>
        <v>76</v>
      </c>
      <c r="K53" s="55" t="n">
        <f aca="false">SUM(K6:K52)</f>
        <v>245</v>
      </c>
      <c r="L53" s="55" t="n">
        <f aca="false">SUM(L6:L52)</f>
        <v>374</v>
      </c>
      <c r="M53" s="55" t="n">
        <f aca="false">SUM(M6:M52)</f>
        <v>175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Tabella52791124791618202224262830323436384042444648505254565860626468707274767880828486908892949698100102104106108110112114116118120122124126130128132134136138140142144146148150152154156[[#This Row],[Colonna1]]*$Q3</f>
        <v>129.6</v>
      </c>
      <c r="T53" s="56" t="n">
        <f aca="false">Tabella52791124791618202224262830323436384042444648505254565860626468707274767880828486908892949698100102104106108110112114116118120122124126130128132134136138140142144146148150152154156[[#This Row],[Colonna2]]*$Q3</f>
        <v>157.2</v>
      </c>
      <c r="U53" s="56" t="n">
        <f aca="false">Tabella52791124791618202224262830323436384042444648505254565860626468707274767880828486908892949698100102104106108110112114116118120122124126130128132134136138140142144146148150152154156[[#This Row],[Colonna3]]*$Q3</f>
        <v>36.8</v>
      </c>
      <c r="V53" s="56" t="n">
        <f aca="false">Tabella52791124791618202224262830323436384042444648505254565860626468707274767880828486908892949698100102104106108110112114116118120122124126130128132134136138140142144146148150152154156[[#This Row],[Colonna4]]*$Q3</f>
        <v>30.4</v>
      </c>
      <c r="W53" s="56" t="n">
        <f aca="false">Tabella52791124791618202224262830323436384042444648505254565860626468707274767880828486908892949698100102104106108110112114116118120122124126130128132134136138140142144146148150152154156[[#This Row],[Colonna5]]*$Q3</f>
        <v>98</v>
      </c>
      <c r="X53" s="56" t="n">
        <f aca="false">Tabella52791124791618202224262830323436384042444648505254565860626468707274767880828486908892949698100102104106108110112114116118120122124126130128132134136138140142144146148150152154156[[#This Row],[Colonna6]]*$Q3</f>
        <v>149.6</v>
      </c>
      <c r="Y53" s="56" t="n">
        <f aca="false">Tabella52791124791618202224262830323436384042444648505254565860626468707274767880828486908892949698100102104106108110112114116118120122124126130128132134136138140142144146148150152154156[[#This Row],[Colonna7]]*$Q3</f>
        <v>70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42</v>
      </c>
      <c r="H58" s="26" t="n">
        <v>54</v>
      </c>
      <c r="I58" s="26" t="n">
        <v>9</v>
      </c>
      <c r="J58" s="26" t="n">
        <v>19</v>
      </c>
      <c r="K58" s="26" t="n">
        <v>42</v>
      </c>
      <c r="L58" s="26" t="n">
        <v>130</v>
      </c>
      <c r="M58" s="26" t="n">
        <v>42</v>
      </c>
      <c r="P58" s="23" t="s">
        <v>62</v>
      </c>
      <c r="Q58" s="23"/>
      <c r="R58" s="23"/>
      <c r="S58" s="57" t="n">
        <f aca="false">G58*$Q3</f>
        <v>16.8</v>
      </c>
      <c r="T58" s="57" t="n">
        <f aca="false">H58*$Q3</f>
        <v>21.6</v>
      </c>
      <c r="U58" s="57" t="n">
        <f aca="false">I58*$Q3</f>
        <v>3.6</v>
      </c>
      <c r="V58" s="57" t="n">
        <f aca="false">J58*$Q3</f>
        <v>7.6</v>
      </c>
      <c r="W58" s="57" t="n">
        <f aca="false">K58*$Q3</f>
        <v>16.8</v>
      </c>
      <c r="X58" s="57" t="n">
        <f aca="false">L58*$Q3</f>
        <v>52</v>
      </c>
      <c r="Y58" s="27" t="n">
        <f aca="false">M58*$Q3</f>
        <v>16.8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11</v>
      </c>
      <c r="H62" s="26" t="n">
        <v>2</v>
      </c>
      <c r="I62" s="26" t="n">
        <v>6</v>
      </c>
      <c r="J62" s="26" t="n">
        <v>2</v>
      </c>
      <c r="K62" s="26" t="n">
        <v>7</v>
      </c>
      <c r="L62" s="26"/>
      <c r="M62" s="26" t="n">
        <v>6</v>
      </c>
      <c r="P62" s="9" t="s">
        <v>66</v>
      </c>
      <c r="Q62" s="9"/>
      <c r="R62" s="9"/>
      <c r="S62" s="57" t="n">
        <f aca="false">G62*$Q3</f>
        <v>4.4</v>
      </c>
      <c r="T62" s="57" t="n">
        <f aca="false">H62*$Q3</f>
        <v>0.8</v>
      </c>
      <c r="U62" s="57" t="n">
        <f aca="false">I62*$Q3</f>
        <v>2.4</v>
      </c>
      <c r="V62" s="57" t="n">
        <f aca="false">J62*$Q3</f>
        <v>0.8</v>
      </c>
      <c r="W62" s="57" t="n">
        <f aca="false">K62*$Q3</f>
        <v>2.8</v>
      </c>
      <c r="X62" s="57"/>
      <c r="Y62" s="57" t="n">
        <f aca="false">M62*$Q3</f>
        <v>2.4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3</v>
      </c>
      <c r="H63" s="164"/>
      <c r="I63" s="13" t="n">
        <v>1</v>
      </c>
      <c r="J63" s="26"/>
      <c r="K63" s="26" t="n">
        <v>4</v>
      </c>
      <c r="L63" s="26"/>
      <c r="M63" s="26" t="n">
        <v>1</v>
      </c>
      <c r="P63" s="9" t="s">
        <v>67</v>
      </c>
      <c r="Q63" s="9"/>
      <c r="R63" s="9"/>
      <c r="S63" s="57" t="n">
        <f aca="false">G63*$Q3</f>
        <v>1.2</v>
      </c>
      <c r="T63" s="57" t="n">
        <f aca="false">H63*$Q3</f>
        <v>0</v>
      </c>
      <c r="U63" s="57" t="n">
        <f aca="false">I63*$Q3</f>
        <v>0.4</v>
      </c>
      <c r="V63" s="57"/>
      <c r="W63" s="57" t="n">
        <f aca="false">K63*$Q3</f>
        <v>1.6</v>
      </c>
      <c r="X63" s="57"/>
      <c r="Y63" s="57" t="n">
        <f aca="false">M63*$Q3</f>
        <v>0.4</v>
      </c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1</v>
      </c>
      <c r="H64" s="26" t="n">
        <v>1</v>
      </c>
      <c r="I64" s="26" t="n">
        <v>2</v>
      </c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0.4</v>
      </c>
      <c r="T64" s="57" t="n">
        <f aca="false">H64*$Q3</f>
        <v>0.4</v>
      </c>
      <c r="U64" s="57" t="n">
        <f aca="false">I64*$Q3</f>
        <v>0.8</v>
      </c>
      <c r="V64" s="57"/>
      <c r="W64" s="57"/>
      <c r="X64" s="57"/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 t="n">
        <v>1</v>
      </c>
      <c r="I65" s="30" t="n">
        <v>4</v>
      </c>
      <c r="J65" s="26" t="n">
        <v>4</v>
      </c>
      <c r="K65" s="26" t="n">
        <v>1</v>
      </c>
      <c r="L65" s="26"/>
      <c r="M65" s="26"/>
      <c r="P65" s="9" t="s">
        <v>69</v>
      </c>
      <c r="Q65" s="9"/>
      <c r="R65" s="9"/>
      <c r="S65" s="57"/>
      <c r="T65" s="57" t="n">
        <f aca="false">H65*$Q3</f>
        <v>0.4</v>
      </c>
      <c r="U65" s="57" t="n">
        <f aca="false">I65*$Q3</f>
        <v>1.6</v>
      </c>
      <c r="V65" s="57" t="n">
        <f aca="false">J65*$Q3</f>
        <v>1.6</v>
      </c>
      <c r="W65" s="57" t="n">
        <f aca="false">K65*$Q3</f>
        <v>0.4</v>
      </c>
      <c r="X65" s="5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2</v>
      </c>
      <c r="H67" s="139"/>
      <c r="I67" s="139"/>
      <c r="J67" s="26" t="n">
        <v>2</v>
      </c>
      <c r="K67" s="26" t="n">
        <v>4</v>
      </c>
      <c r="L67" s="26" t="n">
        <v>2</v>
      </c>
      <c r="M67" s="26"/>
      <c r="P67" s="9" t="s">
        <v>71</v>
      </c>
      <c r="Q67" s="9"/>
      <c r="R67" s="9"/>
      <c r="S67" s="57" t="n">
        <f aca="false">G67*$Q3</f>
        <v>0.8</v>
      </c>
      <c r="T67" s="57"/>
      <c r="U67" s="57"/>
      <c r="V67" s="57" t="n">
        <f aca="false">J67*$Q3</f>
        <v>0.8</v>
      </c>
      <c r="W67" s="57" t="n">
        <f aca="false">K67*$Q3</f>
        <v>1.6</v>
      </c>
      <c r="X67" s="57" t="n">
        <f aca="false">L67*$Q3</f>
        <v>0.8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8</v>
      </c>
      <c r="H68" s="30" t="n">
        <v>21</v>
      </c>
      <c r="I68" s="30" t="n">
        <v>12</v>
      </c>
      <c r="J68" s="30" t="n">
        <v>9</v>
      </c>
      <c r="K68" s="30" t="n">
        <v>44</v>
      </c>
      <c r="L68" s="30" t="n">
        <v>6</v>
      </c>
      <c r="M68" s="30"/>
      <c r="P68" s="9" t="s">
        <v>72</v>
      </c>
      <c r="Q68" s="9"/>
      <c r="R68" s="9"/>
      <c r="S68" s="57" t="n">
        <f aca="false">G69*$Q3</f>
        <v>4.8</v>
      </c>
      <c r="T68" s="57" t="n">
        <f aca="false">H68*$Q3</f>
        <v>8.4</v>
      </c>
      <c r="U68" s="57" t="n">
        <f aca="false">I68*$Q3</f>
        <v>4.8</v>
      </c>
      <c r="V68" s="57" t="n">
        <f aca="false">J68*$Q3</f>
        <v>3.6</v>
      </c>
      <c r="W68" s="57" t="n">
        <f aca="false">K68*$Q3</f>
        <v>17.6</v>
      </c>
      <c r="X68" s="57" t="n">
        <f aca="false">L68*$Q3</f>
        <v>2.4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12</v>
      </c>
      <c r="H69" s="30"/>
      <c r="I69" s="30" t="n">
        <v>2</v>
      </c>
      <c r="J69" s="30" t="n">
        <v>2</v>
      </c>
      <c r="K69" s="30"/>
      <c r="L69" s="30"/>
      <c r="M69" s="30" t="n">
        <v>1</v>
      </c>
      <c r="P69" s="9" t="s">
        <v>73</v>
      </c>
      <c r="Q69" s="9"/>
      <c r="R69" s="9"/>
      <c r="S69" s="57" t="n">
        <f aca="false">G69*$Q3</f>
        <v>4.8</v>
      </c>
      <c r="T69" s="57"/>
      <c r="U69" s="57" t="n">
        <f aca="false">I69*$Q3</f>
        <v>0.8</v>
      </c>
      <c r="V69" s="57" t="n">
        <f aca="false">J69*$Q3</f>
        <v>0.8</v>
      </c>
      <c r="W69" s="57"/>
      <c r="X69" s="57"/>
      <c r="Y69" s="57" t="n">
        <f aca="false">M69*$Q3</f>
        <v>0.4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79</v>
      </c>
      <c r="H70" s="60" t="n">
        <f aca="false">SUM(H58:H69)</f>
        <v>79</v>
      </c>
      <c r="I70" s="60" t="n">
        <f aca="false">SUM(I58:I69)</f>
        <v>36</v>
      </c>
      <c r="J70" s="60" t="n">
        <f aca="false">SUM(J58:J69)</f>
        <v>38</v>
      </c>
      <c r="K70" s="60" t="n">
        <f aca="false">SUM(K58:K69)</f>
        <v>102</v>
      </c>
      <c r="L70" s="60" t="n">
        <f aca="false">SUM(L58:L69)</f>
        <v>138</v>
      </c>
      <c r="M70" s="60" t="n">
        <f aca="false">SUM(M58:M69)</f>
        <v>50</v>
      </c>
      <c r="P70" s="9" t="s">
        <v>60</v>
      </c>
      <c r="Q70" s="9"/>
      <c r="R70" s="9"/>
      <c r="S70" s="61" t="n">
        <f aca="false">G70*$Q3</f>
        <v>31.6</v>
      </c>
      <c r="T70" s="61" t="n">
        <f aca="false">H70*$Q3</f>
        <v>31.6</v>
      </c>
      <c r="U70" s="61" t="n">
        <f aca="false">I70*$Q3</f>
        <v>14.4</v>
      </c>
      <c r="V70" s="61" t="n">
        <f aca="false">J70*$Q3</f>
        <v>15.2</v>
      </c>
      <c r="W70" s="61" t="n">
        <f aca="false">K70*$Q3</f>
        <v>40.8</v>
      </c>
      <c r="X70" s="61" t="n">
        <f aca="false">L70*$Q3</f>
        <v>55.2</v>
      </c>
      <c r="Y70" s="32" t="n">
        <f aca="false">M70*$Q3</f>
        <v>20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A34" activeCellId="0" sqref="A34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104</v>
      </c>
      <c r="I3" s="119" t="s">
        <v>2</v>
      </c>
      <c r="J3" s="4" t="n">
        <v>45432</v>
      </c>
      <c r="K3" s="5" t="n">
        <v>45438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104</v>
      </c>
      <c r="U3" s="119" t="s">
        <v>2</v>
      </c>
      <c r="V3" s="4" t="n">
        <v>45432</v>
      </c>
      <c r="W3" s="5" t="n">
        <v>45438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10</v>
      </c>
      <c r="H7" s="13" t="n">
        <v>73</v>
      </c>
      <c r="I7" s="13" t="n">
        <v>46</v>
      </c>
      <c r="J7" s="13" t="n">
        <v>21</v>
      </c>
      <c r="K7" s="13" t="n">
        <v>18</v>
      </c>
      <c r="L7" s="13" t="n">
        <v>12</v>
      </c>
      <c r="M7" s="13" t="n">
        <v>11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Tabella52791124791618202224262830323436384042444648505254565860626468707274767880828486908892949698100102104106108110112114116118120122124126130128132134136138140142144146148150152154156158[[#This Row],[Colonna1]]*$Q3</f>
        <v>4</v>
      </c>
      <c r="T7" s="14" t="n">
        <f aca="false">Tabella52791124791618202224262830323436384042444648505254565860626468707274767880828486908892949698100102104106108110112114116118120122124126130128132134136138140142144146148150152154156158[[#This Row],[Colonna2]]*$Q3</f>
        <v>29.2</v>
      </c>
      <c r="U7" s="14" t="n">
        <f aca="false">Tabella52791124791618202224262830323436384042444648505254565860626468707274767880828486908892949698100102104106108110112114116118120122124126130128132134136138140142144146148150152154156158[[#This Row],[Colonna3]]*$Q3</f>
        <v>18.4</v>
      </c>
      <c r="V7" s="14" t="n">
        <f aca="false">Tabella52791124791618202224262830323436384042444648505254565860626468707274767880828486908892949698100102104106108110112114116118120122124126130128132134136138140142144146148150152154156158[[#This Row],[Colonna4]]*$Q3</f>
        <v>8.4</v>
      </c>
      <c r="W7" s="14" t="n">
        <f aca="false">Tabella52791124791618202224262830323436384042444648505254565860626468707274767880828486908892949698100102104106108110112114116118120122124126130128132134136138140142144146148150152154156158[[#This Row],[Colonna5]]*$Q3</f>
        <v>7.2</v>
      </c>
      <c r="X7" s="14" t="n">
        <f aca="false">Tabella52791124791618202224262830323436384042444648505254565860626468707274767880828486908892949698100102104106108110112114116118120122124126130128132134136138140142144146148150152154156158[[#This Row],[Colonna6]]*$Q3</f>
        <v>4.8</v>
      </c>
      <c r="Y7" s="14" t="n">
        <f aca="false">Tabella52791124791618202224262830323436384042444648505254565860626468707274767880828486908892949698100102104106108110112114116118120122124126130128132134136138140142144146148150152154156158[[#This Row],[Colonna7]]*$Q3</f>
        <v>4.4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 t="n">
        <v>1</v>
      </c>
      <c r="J12" s="13"/>
      <c r="K12" s="13" t="n">
        <v>1</v>
      </c>
      <c r="L12" s="13"/>
      <c r="M12" s="13"/>
      <c r="P12" s="12" t="s">
        <v>19</v>
      </c>
      <c r="Q12" s="12"/>
      <c r="R12" s="12"/>
      <c r="S12" s="14"/>
      <c r="T12" s="14"/>
      <c r="U12" s="14" t="n">
        <f aca="false">Tabella52791124791618202224262830323436384042444648505254565860626468707274767880828486908892949698100102104106108110112114116118120122124126130128132134136138140142144146148150152154156158[[#This Row],[Colonna3]]*$Q3</f>
        <v>0.4</v>
      </c>
      <c r="V12" s="14"/>
      <c r="W12" s="14" t="n">
        <f aca="false">Tabella52791124791618202224262830323436384042444648505254565860626468707274767880828486908892949698100102104106108110112114116118120122124126130128132134136138140142144146148150152154156158[[#This Row],[Colonna5]]*$Q3</f>
        <v>0.4</v>
      </c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 t="n">
        <v>1</v>
      </c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 t="n">
        <f aca="false">Tabella52791124791618202224262830323436384042444648505254565860626468707274767880828486908892949698100102104106108110112114116118120122124126130128132134136138140142144146148150152154156158[[#This Row],[Colonna4]]*$Q3</f>
        <v>0.4</v>
      </c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4</v>
      </c>
      <c r="H22" s="13" t="n">
        <v>46</v>
      </c>
      <c r="I22" s="13" t="n">
        <v>24</v>
      </c>
      <c r="J22" s="13" t="n">
        <v>22</v>
      </c>
      <c r="K22" s="13" t="n">
        <v>10</v>
      </c>
      <c r="L22" s="13" t="n">
        <v>12</v>
      </c>
      <c r="M22" s="13" t="n">
        <v>1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Tabella52791124791618202224262830323436384042444648505254565860626468707274767880828486908892949698100102104106108110112114116118120122124126130128132134136138140142144146148150152154156158[[#This Row],[Colonna1]]*$Q3</f>
        <v>1.6</v>
      </c>
      <c r="T22" s="14" t="n">
        <f aca="false">Tabella52791124791618202224262830323436384042444648505254565860626468707274767880828486908892949698100102104106108110112114116118120122124126130128132134136138140142144146148150152154156158[[#This Row],[Colonna2]]*$Q3</f>
        <v>18.4</v>
      </c>
      <c r="U22" s="14" t="n">
        <f aca="false">Tabella52791124791618202224262830323436384042444648505254565860626468707274767880828486908892949698100102104106108110112114116118120122124126130128132134136138140142144146148150152154156158[[#This Row],[Colonna3]]*$Q3</f>
        <v>9.6</v>
      </c>
      <c r="V22" s="14" t="n">
        <f aca="false">Tabella52791124791618202224262830323436384042444648505254565860626468707274767880828486908892949698100102104106108110112114116118120122124126130128132134136138140142144146148150152154156158[[#This Row],[Colonna4]]*$Q3</f>
        <v>8.8</v>
      </c>
      <c r="W22" s="14" t="n">
        <f aca="false">Tabella52791124791618202224262830323436384042444648505254565860626468707274767880828486908892949698100102104106108110112114116118120122124126130128132134136138140142144146148150152154156158[[#This Row],[Colonna5]]*$Q3</f>
        <v>4</v>
      </c>
      <c r="X22" s="14" t="n">
        <f aca="false">Tabella52791124791618202224262830323436384042444648505254565860626468707274767880828486908892949698100102104106108110112114116118120122124126130128132134136138140142144146148150152154156158[[#This Row],[Colonna6]]*$Q3</f>
        <v>4.8</v>
      </c>
      <c r="Y22" s="14" t="n">
        <f aca="false">Tabella52791124791618202224262830323436384042444648505254565860626468707274767880828486908892949698100102104106108110112114116118120122124126130128132134136138140142144146148150152154156158[[#This Row],[Colonna7]]*$Q3</f>
        <v>0.4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 t="n">
        <v>3</v>
      </c>
      <c r="I23" s="13"/>
      <c r="J23" s="13" t="n">
        <v>1</v>
      </c>
      <c r="K23" s="13" t="n">
        <v>1</v>
      </c>
      <c r="L23" s="13"/>
      <c r="M23" s="13"/>
      <c r="P23" s="17" t="s">
        <v>30</v>
      </c>
      <c r="Q23" s="17"/>
      <c r="R23" s="17"/>
      <c r="S23" s="14"/>
      <c r="T23" s="14" t="n">
        <f aca="false">Tabella52791124791618202224262830323436384042444648505254565860626468707274767880828486908892949698100102104106108110112114116118120122124126130128132134136138140142144146148150152154156158[[#This Row],[Colonna2]]*$Q3</f>
        <v>1.2</v>
      </c>
      <c r="U23" s="14"/>
      <c r="V23" s="14" t="n">
        <f aca="false">Tabella52791124791618202224262830323436384042444648505254565860626468707274767880828486908892949698100102104106108110112114116118120122124126130128132134136138140142144146148150152154156158[[#This Row],[Colonna4]]*$Q3</f>
        <v>0.4</v>
      </c>
      <c r="W23" s="14" t="n">
        <f aca="false">Tabella52791124791618202224262830323436384042444648505254565860626468707274767880828486908892949698100102104106108110112114116118120122124126130128132134136138140142144146148150152154156158[[#This Row],[Colonna5]]*$Q3</f>
        <v>0.4</v>
      </c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 t="n">
        <v>2</v>
      </c>
      <c r="I27" s="13"/>
      <c r="J27" s="13" t="n">
        <v>1</v>
      </c>
      <c r="K27" s="13"/>
      <c r="L27" s="13"/>
      <c r="M27" s="13"/>
      <c r="P27" s="12" t="s">
        <v>34</v>
      </c>
      <c r="Q27" s="12"/>
      <c r="R27" s="12"/>
      <c r="S27" s="14"/>
      <c r="T27" s="14" t="n">
        <f aca="false">Tabella52791124791618202224262830323436384042444648505254565860626468707274767880828486908892949698100102104106108110112114116118120122124126130128132134136138140142144146148150152154156158[[#This Row],[Colonna2]]*$Q3</f>
        <v>0.8</v>
      </c>
      <c r="U27" s="14"/>
      <c r="V27" s="14" t="n">
        <f aca="false">Tabella52791124791618202224262830323436384042444648505254565860626468707274767880828486908892949698100102104106108110112114116118120122124126130128132134136138140142144146148150152154156158[[#This Row],[Colonna4]]*$Q3</f>
        <v>0.4</v>
      </c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1</v>
      </c>
      <c r="H28" s="13" t="n">
        <v>23</v>
      </c>
      <c r="I28" s="13" t="n">
        <v>6</v>
      </c>
      <c r="J28" s="13" t="n">
        <v>5</v>
      </c>
      <c r="K28" s="13" t="n">
        <v>2</v>
      </c>
      <c r="L28" s="13" t="n">
        <v>2</v>
      </c>
      <c r="M28" s="13"/>
      <c r="P28" s="12" t="s">
        <v>35</v>
      </c>
      <c r="Q28" s="12"/>
      <c r="R28" s="12"/>
      <c r="S28" s="14" t="n">
        <f aca="false">Tabella52791124791618202224262830323436384042444648505254565860626468707274767880828486908892949698100102104106108110112114116118120122124126130128132134136138140142144146148150152154156158[[#This Row],[Colonna1]]*$Q3</f>
        <v>0.4</v>
      </c>
      <c r="T28" s="14" t="n">
        <f aca="false">Tabella52791124791618202224262830323436384042444648505254565860626468707274767880828486908892949698100102104106108110112114116118120122124126130128132134136138140142144146148150152154156158[[#This Row],[Colonna2]]*$Q3</f>
        <v>9.2</v>
      </c>
      <c r="U28" s="14" t="n">
        <f aca="false">Tabella52791124791618202224262830323436384042444648505254565860626468707274767880828486908892949698100102104106108110112114116118120122124126130128132134136138140142144146148150152154156158[[#This Row],[Colonna3]]*$Q3</f>
        <v>2.4</v>
      </c>
      <c r="V28" s="14" t="n">
        <f aca="false">Tabella52791124791618202224262830323436384042444648505254565860626468707274767880828486908892949698100102104106108110112114116118120122124126130128132134136138140142144146148150152154156158[[#This Row],[Colonna4]]*$Q3</f>
        <v>2</v>
      </c>
      <c r="W28" s="14" t="n">
        <f aca="false">Tabella52791124791618202224262830323436384042444648505254565860626468707274767880828486908892949698100102104106108110112114116118120122124126130128132134136138140142144146148150152154156158[[#This Row],[Colonna5]]*$Q3</f>
        <v>0.8</v>
      </c>
      <c r="X28" s="14" t="n">
        <f aca="false">Tabella52791124791618202224262830323436384042444648505254565860626468707274767880828486908892949698100102104106108110112114116118120122124126130128132134136138140142144146148150152154156158[[#This Row],[Colonna6]]*$Q3</f>
        <v>0.8</v>
      </c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73</v>
      </c>
      <c r="H29" s="13" t="n">
        <v>166</v>
      </c>
      <c r="I29" s="13" t="n">
        <v>105</v>
      </c>
      <c r="J29" s="13" t="n">
        <v>32</v>
      </c>
      <c r="K29" s="13" t="n">
        <v>48</v>
      </c>
      <c r="L29" s="13" t="n">
        <v>96</v>
      </c>
      <c r="M29" s="13" t="n">
        <v>44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Tabella52791124791618202224262830323436384042444648505254565860626468707274767880828486908892949698100102104106108110112114116118120122124126130128132134136138140142144146148150152154156158[[#This Row],[Colonna1]]*$Q3</f>
        <v>29.2</v>
      </c>
      <c r="T29" s="14" t="n">
        <f aca="false">Tabella52791124791618202224262830323436384042444648505254565860626468707274767880828486908892949698100102104106108110112114116118120122124126130128132134136138140142144146148150152154156158[[#This Row],[Colonna2]]*$Q3</f>
        <v>66.4</v>
      </c>
      <c r="U29" s="14" t="n">
        <f aca="false">Tabella52791124791618202224262830323436384042444648505254565860626468707274767880828486908892949698100102104106108110112114116118120122124126130128132134136138140142144146148150152154156158[[#This Row],[Colonna3]]*$Q3</f>
        <v>42</v>
      </c>
      <c r="V29" s="14" t="n">
        <f aca="false">Tabella52791124791618202224262830323436384042444648505254565860626468707274767880828486908892949698100102104106108110112114116118120122124126130128132134136138140142144146148150152154156158[[#This Row],[Colonna4]]*$Q3</f>
        <v>12.8</v>
      </c>
      <c r="W29" s="14" t="n">
        <f aca="false">Tabella52791124791618202224262830323436384042444648505254565860626468707274767880828486908892949698100102104106108110112114116118120122124126130128132134136138140142144146148150152154156158[[#This Row],[Colonna5]]*$Q3</f>
        <v>19.2</v>
      </c>
      <c r="X29" s="14" t="n">
        <f aca="false">Tabella52791124791618202224262830323436384042444648505254565860626468707274767880828486908892949698100102104106108110112114116118120122124126130128132134136138140142144146148150152154156158[[#This Row],[Colonna6]]*$Q3</f>
        <v>38.4</v>
      </c>
      <c r="Y29" s="14" t="n">
        <f aca="false">Tabella52791124791618202224262830323436384042444648505254565860626468707274767880828486908892949698100102104106108110112114116118120122124126130128132134136138140142144146148150152154156158[[#This Row],[Colonna7]]*$Q3</f>
        <v>17.6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 t="n">
        <v>7</v>
      </c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 t="n">
        <f aca="false">Tabella52791124791618202224262830323436384042444648505254565860626468707274767880828486908892949698100102104106108110112114116118120122124126130128132134136138140142144146148150152154156158[[#This Row],[Colonna2]]*$Q3</f>
        <v>2.8</v>
      </c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 t="n">
        <v>41</v>
      </c>
      <c r="H34" s="13" t="n">
        <v>25</v>
      </c>
      <c r="I34" s="13" t="n">
        <v>22</v>
      </c>
      <c r="J34" s="13" t="n">
        <v>23</v>
      </c>
      <c r="K34" s="13" t="n">
        <v>28</v>
      </c>
      <c r="L34" s="13" t="n">
        <v>11</v>
      </c>
      <c r="M34" s="13" t="n">
        <v>10</v>
      </c>
      <c r="P34" s="9" t="s">
        <v>41</v>
      </c>
      <c r="Q34" s="9"/>
      <c r="R34" s="9"/>
      <c r="S34" s="14" t="n">
        <f aca="false">Tabella52791124791618202224262830323436384042444648505254565860626468707274767880828486908892949698100102104106108110112114116118120122124126130128132134136138140142144146148150152154156158[[#This Row],[Colonna1]]*$Q3</f>
        <v>16.4</v>
      </c>
      <c r="T34" s="14" t="n">
        <f aca="false">Tabella52791124791618202224262830323436384042444648505254565860626468707274767880828486908892949698100102104106108110112114116118120122124126130128132134136138140142144146148150152154156158[[#This Row],[Colonna2]]*$Q3</f>
        <v>10</v>
      </c>
      <c r="U34" s="14" t="n">
        <f aca="false">Tabella52791124791618202224262830323436384042444648505254565860626468707274767880828486908892949698100102104106108110112114116118120122124126130128132134136138140142144146148150152154156158[[#This Row],[Colonna3]]*$Q3</f>
        <v>8.8</v>
      </c>
      <c r="V34" s="14" t="n">
        <f aca="false">Tabella52791124791618202224262830323436384042444648505254565860626468707274767880828486908892949698100102104106108110112114116118120122124126130128132134136138140142144146148150152154156158[[#This Row],[Colonna4]]*$Q3</f>
        <v>9.2</v>
      </c>
      <c r="W34" s="14" t="n">
        <f aca="false">Tabella52791124791618202224262830323436384042444648505254565860626468707274767880828486908892949698100102104106108110112114116118120122124126130128132134136138140142144146148150152154156158[[#This Row],[Colonna5]]*$Q3</f>
        <v>11.2</v>
      </c>
      <c r="X34" s="14" t="n">
        <f aca="false">Tabella52791124791618202224262830323436384042444648505254565860626468707274767880828486908892949698100102104106108110112114116118120122124126130128132134136138140142144146148150152154156158[[#This Row],[Colonna6]]*$Q3</f>
        <v>4.4</v>
      </c>
      <c r="Y34" s="14" t="n">
        <f aca="false">Tabella52791124791618202224262830323436384042444648505254565860626468707274767880828486908892949698100102104106108110112114116118120122124126130128132134136138140142144146148150152154156158[[#This Row],[Colonna7]]*$Q3</f>
        <v>4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4</v>
      </c>
      <c r="H38" s="13" t="n">
        <v>20</v>
      </c>
      <c r="I38" s="13" t="n">
        <v>11</v>
      </c>
      <c r="J38" s="13" t="n">
        <v>2</v>
      </c>
      <c r="K38" s="13" t="n">
        <v>1</v>
      </c>
      <c r="L38" s="13" t="n">
        <v>4</v>
      </c>
      <c r="M38" s="13"/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Tabella52791124791618202224262830323436384042444648505254565860626468707274767880828486908892949698100102104106108110112114116118120122124126130128132134136138140142144146148150152154156158[[#This Row],[Colonna1]]*$Q3</f>
        <v>1.6</v>
      </c>
      <c r="T38" s="14" t="n">
        <f aca="false">Tabella52791124791618202224262830323436384042444648505254565860626468707274767880828486908892949698100102104106108110112114116118120122124126130128132134136138140142144146148150152154156158[[#This Row],[Colonna2]]*$Q3</f>
        <v>8</v>
      </c>
      <c r="U38" s="14" t="n">
        <f aca="false">Tabella52791124791618202224262830323436384042444648505254565860626468707274767880828486908892949698100102104106108110112114116118120122124126130128132134136138140142144146148150152154156158[[#This Row],[Colonna3]]*$Q3</f>
        <v>4.4</v>
      </c>
      <c r="V38" s="14" t="n">
        <f aca="false">Tabella52791124791618202224262830323436384042444648505254565860626468707274767880828486908892949698100102104106108110112114116118120122124126130128132134136138140142144146148150152154156158[[#This Row],[Colonna4]]*$Q3</f>
        <v>0.8</v>
      </c>
      <c r="W38" s="14" t="n">
        <f aca="false">Tabella52791124791618202224262830323436384042444648505254565860626468707274767880828486908892949698100102104106108110112114116118120122124126130128132134136138140142144146148150152154156158[[#This Row],[Colonna5]]*$Q3</f>
        <v>0.4</v>
      </c>
      <c r="X38" s="14" t="n">
        <f aca="false">Tabella52791124791618202224262830323436384042444648505254565860626468707274767880828486908892949698100102104106108110112114116118120122124126130128132134136138140142144146148150152154156158[[#This Row],[Colonna6]]*$Q3</f>
        <v>1.6</v>
      </c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 t="n">
        <v>6</v>
      </c>
      <c r="H40" s="13" t="n">
        <v>17</v>
      </c>
      <c r="I40" s="13" t="n">
        <v>11</v>
      </c>
      <c r="J40" s="13" t="n">
        <v>1</v>
      </c>
      <c r="K40" s="13" t="n">
        <v>1</v>
      </c>
      <c r="L40" s="13" t="n">
        <v>6</v>
      </c>
      <c r="M40" s="13"/>
      <c r="P40" s="12" t="s">
        <v>47</v>
      </c>
      <c r="Q40" s="12"/>
      <c r="R40" s="12"/>
      <c r="S40" s="14" t="n">
        <f aca="false">Tabella52791124791618202224262830323436384042444648505254565860626468707274767880828486908892949698100102104106108110112114116118120122124126130128132134136138140142144146148150152154156158[[#This Row],[Colonna1]]*$Q3</f>
        <v>2.4</v>
      </c>
      <c r="T40" s="14" t="n">
        <f aca="false">Tabella52791124791618202224262830323436384042444648505254565860626468707274767880828486908892949698100102104106108110112114116118120122124126130128132134136138140142144146148150152154156158[[#This Row],[Colonna2]]*$Q3</f>
        <v>6.8</v>
      </c>
      <c r="U40" s="14" t="n">
        <f aca="false">Tabella52791124791618202224262830323436384042444648505254565860626468707274767880828486908892949698100102104106108110112114116118120122124126130128132134136138140142144146148150152154156158[[#This Row],[Colonna3]]*$Q3</f>
        <v>4.4</v>
      </c>
      <c r="V40" s="14" t="n">
        <f aca="false">Tabella52791124791618202224262830323436384042444648505254565860626468707274767880828486908892949698100102104106108110112114116118120122124126130128132134136138140142144146148150152154156158[[#This Row],[Colonna4]]*$Q3</f>
        <v>0.4</v>
      </c>
      <c r="W40" s="14" t="n">
        <f aca="false">Tabella52791124791618202224262830323436384042444648505254565860626468707274767880828486908892949698100102104106108110112114116118120122124126130128132134136138140142144146148150152154156158[[#This Row],[Colonna5]]*$Q3</f>
        <v>0.4</v>
      </c>
      <c r="X40" s="14" t="n">
        <f aca="false">Tabella52791124791618202224262830323436384042444648505254565860626468707274767880828486908892949698100102104106108110112114116118120122124126130128132134136138140142144146148150152154156158[[#This Row],[Colonna6]]*$Q3</f>
        <v>2.4</v>
      </c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3</v>
      </c>
      <c r="H41" s="13" t="n">
        <v>44</v>
      </c>
      <c r="I41" s="13" t="n">
        <v>34</v>
      </c>
      <c r="J41" s="13" t="n">
        <v>7</v>
      </c>
      <c r="K41" s="13" t="n">
        <v>5</v>
      </c>
      <c r="L41" s="13" t="n">
        <v>13</v>
      </c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Tabella52791124791618202224262830323436384042444648505254565860626468707274767880828486908892949698100102104106108110112114116118120122124126130128132134136138140142144146148150152154156158[[#This Row],[Colonna1]]*$Q3</f>
        <v>1.2</v>
      </c>
      <c r="T41" s="14" t="n">
        <f aca="false">Tabella52791124791618202224262830323436384042444648505254565860626468707274767880828486908892949698100102104106108110112114116118120122124126130128132134136138140142144146148150152154156158[[#This Row],[Colonna2]]*$Q3</f>
        <v>17.6</v>
      </c>
      <c r="U41" s="14" t="n">
        <f aca="false">Tabella52791124791618202224262830323436384042444648505254565860626468707274767880828486908892949698100102104106108110112114116118120122124126130128132134136138140142144146148150152154156158[[#This Row],[Colonna3]]*$Q3</f>
        <v>13.6</v>
      </c>
      <c r="V41" s="14" t="n">
        <f aca="false">Tabella52791124791618202224262830323436384042444648505254565860626468707274767880828486908892949698100102104106108110112114116118120122124126130128132134136138140142144146148150152154156158[[#This Row],[Colonna4]]*$Q3</f>
        <v>2.8</v>
      </c>
      <c r="W41" s="14" t="n">
        <f aca="false">Tabella52791124791618202224262830323436384042444648505254565860626468707274767880828486908892949698100102104106108110112114116118120122124126130128132134136138140142144146148150152154156158[[#This Row],[Colonna5]]*$Q3</f>
        <v>2</v>
      </c>
      <c r="X41" s="14" t="n">
        <f aca="false">Tabella52791124791618202224262830323436384042444648505254565860626468707274767880828486908892949698100102104106108110112114116118120122124126130128132134136138140142144146148150152154156158[[#This Row],[Colonna6]]*$Q3</f>
        <v>5.2</v>
      </c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2</v>
      </c>
      <c r="H42" s="13" t="n">
        <v>1</v>
      </c>
      <c r="I42" s="13" t="n">
        <v>3</v>
      </c>
      <c r="J42" s="13" t="n">
        <v>3</v>
      </c>
      <c r="K42" s="13" t="n">
        <v>2</v>
      </c>
      <c r="L42" s="13"/>
      <c r="M42" s="13"/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Tabella52791124791618202224262830323436384042444648505254565860626468707274767880828486908892949698100102104106108110112114116118120122124126130128132134136138140142144146148150152154156158[[#This Row],[Colonna3]]*$Q3</f>
        <v>1.2</v>
      </c>
      <c r="T42" s="14" t="n">
        <f aca="false">Tabella52791124791618202224262830323436384042444648505254565860626468707274767880828486908892949698100102104106108110112114116118120122124126130128132134136138140142144146148150152154156158[[#This Row],[Colonna2]]*$Q3</f>
        <v>0.4</v>
      </c>
      <c r="U42" s="14" t="n">
        <f aca="false">Tabella52791124791618202224262830323436384042444648505254565860626468707274767880828486908892949698100102104106108110112114116118120122124126130128132134136138140142144146148150152154156158[[#This Row],[Colonna3]]*$Q3</f>
        <v>1.2</v>
      </c>
      <c r="V42" s="14" t="n">
        <f aca="false">Tabella52791124791618202224262830323436384042444648505254565860626468707274767880828486908892949698100102104106108110112114116118120122124126130128132134136138140142144146148150152154156158[[#This Row],[Colonna4]]*$Q3</f>
        <v>1.2</v>
      </c>
      <c r="W42" s="14" t="n">
        <f aca="false">Tabella52791124791618202224262830323436384042444648505254565860626468707274767880828486908892949698100102104106108110112114116118120122124126130128132134136138140142144146148150152154156158[[#This Row],[Colonna5]]*$Q3</f>
        <v>0.8</v>
      </c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3</v>
      </c>
      <c r="H44" s="13" t="n">
        <v>42</v>
      </c>
      <c r="I44" s="13" t="n">
        <v>13</v>
      </c>
      <c r="J44" s="13" t="n">
        <v>11</v>
      </c>
      <c r="K44" s="142" t="n">
        <v>5</v>
      </c>
      <c r="L44" s="13" t="n">
        <v>14</v>
      </c>
      <c r="M44" s="142" t="n">
        <v>3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Tabella52791124791618202224262830323436384042444648505254565860626468707274767880828486908892949698100102104106108110112114116118120122124126130128132134136138140142144146148150152154156158[[#This Row],[Colonna1]]*$Q3</f>
        <v>1.2</v>
      </c>
      <c r="T44" s="14" t="n">
        <f aca="false">Tabella52791124791618202224262830323436384042444648505254565860626468707274767880828486908892949698100102104106108110112114116118120122124126130128132134136138140142144146148150152154156158[[#This Row],[Colonna2]]*$Q3</f>
        <v>16.8</v>
      </c>
      <c r="U44" s="14" t="n">
        <f aca="false">Tabella52791124791618202224262830323436384042444648505254565860626468707274767880828486908892949698100102104106108110112114116118120122124126130128132134136138140142144146148150152154156158[[#This Row],[Colonna3]]*$Q3</f>
        <v>5.2</v>
      </c>
      <c r="V44" s="14" t="n">
        <f aca="false">Tabella52791124791618202224262830323436384042444648505254565860626468707274767880828486908892949698100102104106108110112114116118120122124126130128132134136138140142144146148150152154156158[[#This Row],[Colonna4]]*$Q3</f>
        <v>4.4</v>
      </c>
      <c r="W44" s="14" t="n">
        <f aca="false">Tabella52791124791618202224262830323436384042444648505254565860626468707274767880828486908892949698100102104106108110112114116118120122124126130128132134136138140142144146148150152154156158[[#This Row],[Colonna5]]*$Q3</f>
        <v>2</v>
      </c>
      <c r="X44" s="14" t="n">
        <f aca="false">Tabella52791124791618202224262830323436384042444648505254565860626468707274767880828486908892949698100102104106108110112114116118120122124126130128132134136138140142144146148150152154156158[[#This Row],[Colonna6]]*$Q3</f>
        <v>5.6</v>
      </c>
      <c r="Y44" s="14" t="n">
        <f aca="false">Tabella52791124791618202224262830323436384042444648505254565860626468707274767880828486908892949698100102104106108110112114116118120122124126130128132134136138140142144146148150152154156158[[#This Row],[Colonna7]]*$Q3</f>
        <v>1.2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3</v>
      </c>
      <c r="H49" s="136"/>
      <c r="I49" s="142" t="n">
        <v>2</v>
      </c>
      <c r="J49" s="142"/>
      <c r="K49" s="13" t="n">
        <v>18</v>
      </c>
      <c r="L49" s="13" t="n">
        <v>3</v>
      </c>
      <c r="M49" s="13" t="n">
        <v>3</v>
      </c>
      <c r="P49" s="18" t="s">
        <v>56</v>
      </c>
      <c r="Q49" s="18"/>
      <c r="R49" s="18"/>
      <c r="S49" s="14" t="n">
        <f aca="false">Tabella52791124791618202224262830323436384042444648505254565860626468707274767880828486908892949698100102104106108110112114116118120122124126130128132134136138140142144146148150152154156158[[#This Row],[Colonna1]]*$Q3</f>
        <v>1.2</v>
      </c>
      <c r="T49" s="14"/>
      <c r="U49" s="14" t="n">
        <f aca="false">Tabella52791124791618202224262830323436384042444648505254565860626468707274767880828486908892949698100102104106108110112114116118120122124126130128132134136138140142144146148150152154156158[[#This Row],[Colonna3]]*$Q3</f>
        <v>0.8</v>
      </c>
      <c r="V49" s="14"/>
      <c r="W49" s="14" t="n">
        <f aca="false">Tabella52791124791618202224262830323436384042444648505254565860626468707274767880828486908892949698100102104106108110112114116118120122124126130128132134136138140142144146148150152154156158[[#This Row],[Colonna5]]*$Q3</f>
        <v>7.2</v>
      </c>
      <c r="X49" s="14" t="n">
        <f aca="false">Tabella52791124791618202224262830323436384042444648505254565860626468707274767880828486908892949698100102104106108110112114116118120122124126130128132134136138140142144146148150152154156158[[#This Row],[Colonna6]]*$Q3</f>
        <v>1.2</v>
      </c>
      <c r="Y49" s="14" t="n">
        <f aca="false">Tabella52791124791618202224262830323436384042444648505254565860626468707274767880828486908892949698100102104106108110112114116118120122124126130128132134136138140142144146148150152154156158[[#This Row],[Colonna7]]*$Q3</f>
        <v>1.2</v>
      </c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10</v>
      </c>
      <c r="H52" s="13" t="n">
        <v>12</v>
      </c>
      <c r="I52" s="13" t="n">
        <v>14</v>
      </c>
      <c r="J52" s="13" t="n">
        <v>5</v>
      </c>
      <c r="K52" s="13" t="n">
        <v>4</v>
      </c>
      <c r="L52" s="13" t="n">
        <v>15</v>
      </c>
      <c r="M52" s="13" t="n">
        <v>9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Tabella52791124791618202224262830323436384042444648505254565860626468707274767880828486908892949698100102104106108110112114116118120122124126130128132134136138140142144146148150152154156158[[#This Row],[Colonna1]]*$Q3</f>
        <v>4</v>
      </c>
      <c r="T52" s="14" t="n">
        <f aca="false">Tabella52791124791618202224262830323436384042444648505254565860626468707274767880828486908892949698100102104106108110112114116118120122124126130128132134136138140142144146148150152154156158[[#This Row],[Colonna2]]*$Q3</f>
        <v>4.8</v>
      </c>
      <c r="U52" s="14" t="n">
        <f aca="false">Tabella52791124791618202224262830323436384042444648505254565860626468707274767880828486908892949698100102104106108110112114116118120122124126130128132134136138140142144146148150152154156158[[#This Row],[Colonna3]]*$Q3</f>
        <v>5.6</v>
      </c>
      <c r="V52" s="14" t="n">
        <f aca="false">Tabella52791124791618202224262830323436384042444648505254565860626468707274767880828486908892949698100102104106108110112114116118120122124126130128132134136138140142144146148150152154156158[[#This Row],[Colonna4]]*$Q3</f>
        <v>2</v>
      </c>
      <c r="W52" s="14" t="n">
        <f aca="false">Tabella52791124791618202224262830323436384042444648505254565860626468707274767880828486908892949698100102104106108110112114116118120122124126130128132134136138140142144146148150152154156158[[#This Row],[Colonna5]]*$Q3</f>
        <v>1.6</v>
      </c>
      <c r="X52" s="14" t="n">
        <f aca="false">Tabella52791124791618202224262830323436384042444648505254565860626468707274767880828486908892949698100102104106108110112114116118120122124126130128132134136138140142144146148150152154156158[[#This Row],[Colonna6]]*$Q3</f>
        <v>6</v>
      </c>
      <c r="Y52" s="14" t="n">
        <f aca="false">Tabella52791124791618202224262830323436384042444648505254565860626468707274767880828486908892949698100102104106108110112114116118120122124126130128132134136138140142144146148150152154156158[[#This Row],[Colonna7]]*$Q3</f>
        <v>3.6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160</v>
      </c>
      <c r="H53" s="55" t="n">
        <f aca="false">SUM(H6:H52)</f>
        <v>481</v>
      </c>
      <c r="I53" s="55" t="n">
        <f aca="false">SUM(I6:I52)</f>
        <v>292</v>
      </c>
      <c r="J53" s="55" t="n">
        <f aca="false">SUM(J6:J52)</f>
        <v>135</v>
      </c>
      <c r="K53" s="55" t="n">
        <f aca="false">SUM(K6:K52)</f>
        <v>144</v>
      </c>
      <c r="L53" s="55" t="n">
        <f aca="false">SUM(L6:L52)</f>
        <v>188</v>
      </c>
      <c r="M53" s="55" t="n">
        <f aca="false">SUM(M6:M52)</f>
        <v>81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Tabella52791124791618202224262830323436384042444648505254565860626468707274767880828486908892949698100102104106108110112114116118120122124126130128132134136138140142144146148150152154156158[[#This Row],[Colonna1]]*$Q3</f>
        <v>64</v>
      </c>
      <c r="T53" s="56" t="n">
        <f aca="false">Tabella52791124791618202224262830323436384042444648505254565860626468707274767880828486908892949698100102104106108110112114116118120122124126130128132134136138140142144146148150152154156158[[#This Row],[Colonna2]]*$Q3</f>
        <v>192.4</v>
      </c>
      <c r="U53" s="56" t="n">
        <f aca="false">Tabella52791124791618202224262830323436384042444648505254565860626468707274767880828486908892949698100102104106108110112114116118120122124126130128132134136138140142144146148150152154156158[[#This Row],[Colonna3]]*$Q3</f>
        <v>116.8</v>
      </c>
      <c r="V53" s="56" t="n">
        <f aca="false">Tabella52791124791618202224262830323436384042444648505254565860626468707274767880828486908892949698100102104106108110112114116118120122124126130128132134136138140142144146148150152154156158[[#This Row],[Colonna4]]*$Q3</f>
        <v>54</v>
      </c>
      <c r="W53" s="56" t="n">
        <f aca="false">Tabella52791124791618202224262830323436384042444648505254565860626468707274767880828486908892949698100102104106108110112114116118120122124126130128132134136138140142144146148150152154156158[[#This Row],[Colonna5]]*$Q3</f>
        <v>57.6</v>
      </c>
      <c r="X53" s="56" t="n">
        <f aca="false">Tabella52791124791618202224262830323436384042444648505254565860626468707274767880828486908892949698100102104106108110112114116118120122124126130128132134136138140142144146148150152154156158[[#This Row],[Colonna6]]*$Q3</f>
        <v>75.2</v>
      </c>
      <c r="Y53" s="56" t="n">
        <f aca="false">Tabella52791124791618202224262830323436384042444648505254565860626468707274767880828486908892949698100102104106108110112114116118120122124126130128132134136138140142144146148150152154156158[[#This Row],[Colonna7]]*$Q3</f>
        <v>32.4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30</v>
      </c>
      <c r="H58" s="26" t="n">
        <v>22</v>
      </c>
      <c r="I58" s="26" t="n">
        <v>24</v>
      </c>
      <c r="J58" s="26" t="n">
        <v>31</v>
      </c>
      <c r="K58" s="26" t="n">
        <v>36</v>
      </c>
      <c r="L58" s="26" t="n">
        <v>101</v>
      </c>
      <c r="M58" s="26" t="n">
        <v>45</v>
      </c>
      <c r="P58" s="23" t="s">
        <v>62</v>
      </c>
      <c r="Q58" s="23"/>
      <c r="R58" s="23"/>
      <c r="S58" s="57" t="n">
        <f aca="false">G58*$Q3</f>
        <v>12</v>
      </c>
      <c r="T58" s="57" t="n">
        <f aca="false">H58*$Q3</f>
        <v>8.8</v>
      </c>
      <c r="U58" s="57" t="n">
        <f aca="false">I58*$Q3</f>
        <v>9.6</v>
      </c>
      <c r="V58" s="57" t="n">
        <f aca="false">J58*$Q3</f>
        <v>12.4</v>
      </c>
      <c r="W58" s="57" t="n">
        <f aca="false">K58*$Q3</f>
        <v>14.4</v>
      </c>
      <c r="X58" s="57" t="n">
        <f aca="false">L58*$Q3</f>
        <v>40.4</v>
      </c>
      <c r="Y58" s="27" t="n">
        <f aca="false">M58*$Q3</f>
        <v>18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1</v>
      </c>
      <c r="H62" s="26" t="n">
        <v>4</v>
      </c>
      <c r="I62" s="26"/>
      <c r="J62" s="26" t="n">
        <v>4</v>
      </c>
      <c r="K62" s="26" t="n">
        <v>1</v>
      </c>
      <c r="L62" s="26" t="n">
        <v>23</v>
      </c>
      <c r="M62" s="26" t="n">
        <v>3</v>
      </c>
      <c r="P62" s="9" t="s">
        <v>66</v>
      </c>
      <c r="Q62" s="9"/>
      <c r="R62" s="9"/>
      <c r="S62" s="57" t="n">
        <f aca="false">G62*$Q3</f>
        <v>0.4</v>
      </c>
      <c r="T62" s="57" t="n">
        <f aca="false">H62*$Q3</f>
        <v>1.6</v>
      </c>
      <c r="U62" s="57"/>
      <c r="V62" s="57" t="n">
        <f aca="false">J62*$Q3</f>
        <v>1.6</v>
      </c>
      <c r="W62" s="57" t="n">
        <f aca="false">K62*$Q3</f>
        <v>0.4</v>
      </c>
      <c r="X62" s="57" t="n">
        <f aca="false">L62*$Q3</f>
        <v>9.2</v>
      </c>
      <c r="Y62" s="57" t="n">
        <f aca="false">M62*$Q3</f>
        <v>1.2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1</v>
      </c>
      <c r="H63" s="164"/>
      <c r="I63" s="13"/>
      <c r="J63" s="26"/>
      <c r="K63" s="26" t="n">
        <v>1</v>
      </c>
      <c r="L63" s="26" t="n">
        <v>8</v>
      </c>
      <c r="M63" s="26" t="n">
        <v>4</v>
      </c>
      <c r="P63" s="9" t="s">
        <v>67</v>
      </c>
      <c r="Q63" s="9"/>
      <c r="R63" s="9"/>
      <c r="S63" s="57" t="n">
        <f aca="false">G63*$Q3</f>
        <v>0.4</v>
      </c>
      <c r="T63" s="57"/>
      <c r="U63" s="57"/>
      <c r="V63" s="57"/>
      <c r="W63" s="57" t="n">
        <f aca="false">K63*$Q3</f>
        <v>0.4</v>
      </c>
      <c r="X63" s="57" t="n">
        <f aca="false">L63*$Q3</f>
        <v>3.2</v>
      </c>
      <c r="Y63" s="57" t="n">
        <f aca="false">M63*$Q3</f>
        <v>1.6</v>
      </c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/>
      <c r="I64" s="26"/>
      <c r="J64" s="26"/>
      <c r="K64" s="26"/>
      <c r="L64" s="26" t="n">
        <v>4</v>
      </c>
      <c r="M64" s="26"/>
      <c r="P64" s="9" t="s">
        <v>68</v>
      </c>
      <c r="Q64" s="9"/>
      <c r="R64" s="9"/>
      <c r="S64" s="57"/>
      <c r="T64" s="57"/>
      <c r="U64" s="57"/>
      <c r="V64" s="57"/>
      <c r="W64" s="57"/>
      <c r="X64" s="57" t="n">
        <f aca="false">L64*$Q3</f>
        <v>1.6</v>
      </c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1</v>
      </c>
      <c r="H65" s="30" t="n">
        <v>2</v>
      </c>
      <c r="I65" s="30" t="n">
        <v>1</v>
      </c>
      <c r="J65" s="26"/>
      <c r="K65" s="26" t="n">
        <v>2</v>
      </c>
      <c r="L65" s="26" t="n">
        <v>3</v>
      </c>
      <c r="M65" s="26"/>
      <c r="P65" s="9" t="s">
        <v>69</v>
      </c>
      <c r="Q65" s="9"/>
      <c r="R65" s="9"/>
      <c r="S65" s="57" t="n">
        <f aca="false">G65*$Q3</f>
        <v>0.4</v>
      </c>
      <c r="T65" s="57" t="n">
        <f aca="false">H65*$Q3</f>
        <v>0.8</v>
      </c>
      <c r="U65" s="57" t="n">
        <f aca="false">I65*$Q3</f>
        <v>0.4</v>
      </c>
      <c r="V65" s="57"/>
      <c r="W65" s="57" t="n">
        <f aca="false">K65*$Q3</f>
        <v>0.8</v>
      </c>
      <c r="X65" s="57" t="n">
        <f aca="false">L65*$Q3</f>
        <v>1.2</v>
      </c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1</v>
      </c>
      <c r="H67" s="139" t="n">
        <v>4</v>
      </c>
      <c r="I67" s="139"/>
      <c r="J67" s="26" t="n">
        <v>1</v>
      </c>
      <c r="K67" s="26" t="n">
        <v>2</v>
      </c>
      <c r="L67" s="26" t="n">
        <v>7</v>
      </c>
      <c r="M67" s="26" t="n">
        <v>1</v>
      </c>
      <c r="P67" s="9" t="s">
        <v>71</v>
      </c>
      <c r="Q67" s="9"/>
      <c r="R67" s="9"/>
      <c r="S67" s="57" t="n">
        <f aca="false">G67*$Q3</f>
        <v>0.4</v>
      </c>
      <c r="T67" s="57" t="n">
        <f aca="false">H67*$Q3</f>
        <v>1.6</v>
      </c>
      <c r="U67" s="57"/>
      <c r="V67" s="57" t="n">
        <f aca="false">J67*$Q3</f>
        <v>0.4</v>
      </c>
      <c r="W67" s="57" t="n">
        <f aca="false">K67*$Q3</f>
        <v>0.8</v>
      </c>
      <c r="X67" s="57" t="n">
        <f aca="false">L67*$Q3</f>
        <v>2.8</v>
      </c>
      <c r="Y67" s="57" t="n">
        <f aca="false">M67*$Q3</f>
        <v>0.4</v>
      </c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4</v>
      </c>
      <c r="H68" s="30" t="n">
        <v>53</v>
      </c>
      <c r="I68" s="30" t="n">
        <v>10</v>
      </c>
      <c r="J68" s="30" t="n">
        <v>5</v>
      </c>
      <c r="K68" s="30" t="n">
        <v>3</v>
      </c>
      <c r="L68" s="30" t="n">
        <v>4</v>
      </c>
      <c r="M68" s="30"/>
      <c r="P68" s="9" t="s">
        <v>72</v>
      </c>
      <c r="Q68" s="9"/>
      <c r="R68" s="9"/>
      <c r="S68" s="57" t="n">
        <f aca="false">G69*$Q3</f>
        <v>0.4</v>
      </c>
      <c r="T68" s="57" t="n">
        <f aca="false">H68*$Q3</f>
        <v>21.2</v>
      </c>
      <c r="U68" s="57" t="n">
        <f aca="false">I68*$Q3</f>
        <v>4</v>
      </c>
      <c r="V68" s="57" t="n">
        <f aca="false">J68*$Q3</f>
        <v>2</v>
      </c>
      <c r="W68" s="57" t="n">
        <f aca="false">K68*$Q3</f>
        <v>1.2</v>
      </c>
      <c r="X68" s="57" t="n">
        <f aca="false">L68*$Q3</f>
        <v>1.6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</v>
      </c>
      <c r="H69" s="30" t="n">
        <v>1</v>
      </c>
      <c r="I69" s="30"/>
      <c r="J69" s="30"/>
      <c r="K69" s="30" t="n">
        <v>1</v>
      </c>
      <c r="L69" s="30" t="n">
        <v>11</v>
      </c>
      <c r="M69" s="30" t="n">
        <v>4</v>
      </c>
      <c r="P69" s="9" t="s">
        <v>73</v>
      </c>
      <c r="Q69" s="9"/>
      <c r="R69" s="9"/>
      <c r="S69" s="57" t="n">
        <f aca="false">G69*$Q3</f>
        <v>0.4</v>
      </c>
      <c r="T69" s="57" t="n">
        <f aca="false">H69*$Q3</f>
        <v>0.4</v>
      </c>
      <c r="U69" s="57"/>
      <c r="V69" s="57"/>
      <c r="W69" s="57" t="n">
        <f aca="false">K69*$Q3</f>
        <v>0.4</v>
      </c>
      <c r="X69" s="57" t="n">
        <f aca="false">L69*$Q3</f>
        <v>4.4</v>
      </c>
      <c r="Y69" s="57" t="n">
        <f aca="false">M69*$Q3</f>
        <v>1.6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39</v>
      </c>
      <c r="H70" s="60" t="n">
        <f aca="false">SUM(H58:H69)</f>
        <v>86</v>
      </c>
      <c r="I70" s="60" t="n">
        <f aca="false">SUM(I58:I69)</f>
        <v>35</v>
      </c>
      <c r="J70" s="60" t="n">
        <f aca="false">SUM(J58:J69)</f>
        <v>41</v>
      </c>
      <c r="K70" s="60" t="n">
        <f aca="false">SUM(K58:K69)</f>
        <v>46</v>
      </c>
      <c r="L70" s="60" t="n">
        <f aca="false">SUM(L58:L69)</f>
        <v>161</v>
      </c>
      <c r="M70" s="60" t="n">
        <f aca="false">SUM(M58:M69)</f>
        <v>57</v>
      </c>
      <c r="P70" s="9" t="s">
        <v>60</v>
      </c>
      <c r="Q70" s="9"/>
      <c r="R70" s="9"/>
      <c r="S70" s="61" t="n">
        <f aca="false">G70*$Q3</f>
        <v>15.6</v>
      </c>
      <c r="T70" s="61" t="n">
        <f aca="false">H70*$Q3</f>
        <v>34.4</v>
      </c>
      <c r="U70" s="61" t="n">
        <f aca="false">I70*$Q3</f>
        <v>14</v>
      </c>
      <c r="V70" s="61" t="n">
        <f aca="false">J70*$Q3</f>
        <v>16.4</v>
      </c>
      <c r="W70" s="61" t="n">
        <f aca="false">K70*$Q3</f>
        <v>18.4</v>
      </c>
      <c r="X70" s="61" t="n">
        <f aca="false">L70*$Q3</f>
        <v>64.4</v>
      </c>
      <c r="Y70" s="32" t="n">
        <f aca="false">M70*$Q3</f>
        <v>22.8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104</v>
      </c>
      <c r="I3" s="119" t="s">
        <v>2</v>
      </c>
      <c r="J3" s="4" t="n">
        <v>45439</v>
      </c>
      <c r="K3" s="5" t="n">
        <v>45445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104</v>
      </c>
      <c r="U3" s="119" t="s">
        <v>2</v>
      </c>
      <c r="V3" s="4" t="n">
        <v>45439</v>
      </c>
      <c r="W3" s="5" t="n">
        <v>45445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28</v>
      </c>
      <c r="H7" s="13" t="n">
        <v>22</v>
      </c>
      <c r="I7" s="13" t="n">
        <v>25</v>
      </c>
      <c r="J7" s="13" t="n">
        <v>20</v>
      </c>
      <c r="K7" s="13" t="n">
        <v>6</v>
      </c>
      <c r="L7" s="13" t="n">
        <v>8</v>
      </c>
      <c r="M7" s="13" t="n">
        <v>31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Tabella52791124791618202224262830323436384042444648505254565860626468707274767880828486908892949698100102104106108110112114116118120122124126130128132134136138140142144146148150152154156158160[[#This Row],[Colonna1]]*$Q3</f>
        <v>11.2</v>
      </c>
      <c r="T7" s="14" t="n">
        <f aca="false">Tabella52791124791618202224262830323436384042444648505254565860626468707274767880828486908892949698100102104106108110112114116118120122124126130128132134136138140142144146148150152154156158160[[#This Row],[Colonna2]]*$Q3</f>
        <v>8.8</v>
      </c>
      <c r="U7" s="14" t="n">
        <f aca="false">Tabella52791124791618202224262830323436384042444648505254565860626468707274767880828486908892949698100102104106108110112114116118120122124126130128132134136138140142144146148150152154156158160[[#This Row],[Colonna3]]*$Q3</f>
        <v>10</v>
      </c>
      <c r="V7" s="14" t="n">
        <f aca="false">Tabella52791124791618202224262830323436384042444648505254565860626468707274767880828486908892949698100102104106108110112114116118120122124126130128132134136138140142144146148150152154156158160[[#This Row],[Colonna4]]*$Q3</f>
        <v>8</v>
      </c>
      <c r="W7" s="14" t="n">
        <f aca="false">Tabella52791124791618202224262830323436384042444648505254565860626468707274767880828486908892949698100102104106108110112114116118120122124126130128132134136138140142144146148150152154156158160[[#This Row],[Colonna5]]*$Q3</f>
        <v>2.4</v>
      </c>
      <c r="X7" s="14" t="n">
        <f aca="false">Tabella52791124791618202224262830323436384042444648505254565860626468707274767880828486908892949698100102104106108110112114116118120122124126130128132134136138140142144146148150152154156158160[[#This Row],[Colonna6]]*$Q3</f>
        <v>3.2</v>
      </c>
      <c r="Y7" s="14" t="n">
        <f aca="false">Tabella52791124791618202224262830323436384042444648505254565860626468707274767880828486908892949698100102104106108110112114116118120122124126130128132134136138140142144146148150152154156158160[[#This Row],[Colonna7]]*$Q3</f>
        <v>12.4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2</v>
      </c>
      <c r="H12" s="13"/>
      <c r="I12" s="13" t="n">
        <v>1</v>
      </c>
      <c r="J12" s="13"/>
      <c r="K12" s="13" t="n">
        <v>1</v>
      </c>
      <c r="L12" s="13"/>
      <c r="M12" s="13" t="n">
        <v>6</v>
      </c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Tabella52791124791618202224262830323436384042444648505254565860626468707274767880828486908892949698100102104106108110112114116118120122124126130128132134136138140142144146148150152154156158160[[#This Row],[Colonna1]]*$Q3</f>
        <v>0.8</v>
      </c>
      <c r="T12" s="14"/>
      <c r="U12" s="14" t="n">
        <f aca="false">Tabella52791124791618202224262830323436384042444648505254565860626468707274767880828486908892949698100102104106108110112114116118120122124126130128132134136138140142144146148150152154156158160[[#This Row],[Colonna3]]*$Q3</f>
        <v>0.4</v>
      </c>
      <c r="V12" s="14"/>
      <c r="W12" s="14" t="n">
        <f aca="false">Tabella52791124791618202224262830323436384042444648505254565860626468707274767880828486908892949698100102104106108110112114116118120122124126130128132134136138140142144146148150152154156158160[[#This Row],[Colonna5]]*$Q3</f>
        <v>0.4</v>
      </c>
      <c r="X12" s="14"/>
      <c r="Y12" s="14" t="n">
        <f aca="false">Tabella52791124791618202224262830323436384042444648505254565860626468707274767880828486908892949698100102104106108110112114116118120122124126130128132134136138140142144146148150152154156158160[[#This Row],[Colonna7]]*$Q3</f>
        <v>2.4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41</v>
      </c>
      <c r="H22" s="13" t="n">
        <v>13</v>
      </c>
      <c r="I22" s="13" t="n">
        <v>27</v>
      </c>
      <c r="J22" s="13" t="n">
        <v>15</v>
      </c>
      <c r="K22" s="13" t="n">
        <v>15</v>
      </c>
      <c r="L22" s="13" t="n">
        <v>2</v>
      </c>
      <c r="M22" s="13" t="n">
        <v>34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Tabella52791124791618202224262830323436384042444648505254565860626468707274767880828486908892949698100102104106108110112114116118120122124126130128132134136138140142144146148150152154156158160[[#This Row],[Colonna1]]*$Q3</f>
        <v>16.4</v>
      </c>
      <c r="T22" s="14" t="n">
        <f aca="false">Tabella52791124791618202224262830323436384042444648505254565860626468707274767880828486908892949698100102104106108110112114116118120122124126130128132134136138140142144146148150152154156158160[[#This Row],[Colonna2]]*$Q3</f>
        <v>5.2</v>
      </c>
      <c r="U22" s="14" t="n">
        <f aca="false">Tabella52791124791618202224262830323436384042444648505254565860626468707274767880828486908892949698100102104106108110112114116118120122124126130128132134136138140142144146148150152154156158160[[#This Row],[Colonna3]]*$Q3</f>
        <v>10.8</v>
      </c>
      <c r="V22" s="14" t="n">
        <f aca="false">Tabella52791124791618202224262830323436384042444648505254565860626468707274767880828486908892949698100102104106108110112114116118120122124126130128132134136138140142144146148150152154156158160[[#This Row],[Colonna4]]*$Q3</f>
        <v>6</v>
      </c>
      <c r="W22" s="14" t="n">
        <f aca="false">Tabella52791124791618202224262830323436384042444648505254565860626468707274767880828486908892949698100102104106108110112114116118120122124126130128132134136138140142144146148150152154156158160[[#This Row],[Colonna5]]*$Q3</f>
        <v>6</v>
      </c>
      <c r="X22" s="14" t="n">
        <f aca="false">Tabella52791124791618202224262830323436384042444648505254565860626468707274767880828486908892949698100102104106108110112114116118120122124126130128132134136138140142144146148150152154156158160[[#This Row],[Colonna6]]*$Q3</f>
        <v>0.8</v>
      </c>
      <c r="Y22" s="14" t="n">
        <f aca="false">Tabella52791124791618202224262830323436384042444648505254565860626468707274767880828486908892949698100102104106108110112114116118120122124126130128132134136138140142144146148150152154156158160[[#This Row],[Colonna7]]*$Q3</f>
        <v>13.6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 t="n">
        <v>1</v>
      </c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 t="n">
        <f aca="false">Tabella52791124791618202224262830323436384042444648505254565860626468707274767880828486908892949698100102104106108110112114116118120122124126130128132134136138140142144146148150152154156158160[[#This Row],[Colonna7]]*$Q3</f>
        <v>0.4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162</v>
      </c>
      <c r="H29" s="13" t="n">
        <v>80</v>
      </c>
      <c r="I29" s="13" t="n">
        <v>110</v>
      </c>
      <c r="J29" s="13" t="n">
        <v>68</v>
      </c>
      <c r="K29" s="13" t="n">
        <v>27</v>
      </c>
      <c r="L29" s="13" t="n">
        <v>24</v>
      </c>
      <c r="M29" s="13" t="n">
        <v>129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Tabella52791124791618202224262830323436384042444648505254565860626468707274767880828486908892949698100102104106108110112114116118120122124126130128132134136138140142144146148150152154156158160[[#This Row],[Colonna1]]*$Q3</f>
        <v>64.8</v>
      </c>
      <c r="T29" s="14" t="n">
        <f aca="false">Tabella52791124791618202224262830323436384042444648505254565860626468707274767880828486908892949698100102104106108110112114116118120122124126130128132134136138140142144146148150152154156158160[[#This Row],[Colonna2]]*$Q3</f>
        <v>32</v>
      </c>
      <c r="U29" s="14" t="n">
        <f aca="false">Tabella52791124791618202224262830323436384042444648505254565860626468707274767880828486908892949698100102104106108110112114116118120122124126130128132134136138140142144146148150152154156158160[[#This Row],[Colonna3]]*$Q3</f>
        <v>44</v>
      </c>
      <c r="V29" s="14" t="n">
        <f aca="false">Tabella52791124791618202224262830323436384042444648505254565860626468707274767880828486908892949698100102104106108110112114116118120122124126130128132134136138140142144146148150152154156158160[[#This Row],[Colonna4]]*$Q3</f>
        <v>27.2</v>
      </c>
      <c r="W29" s="14" t="n">
        <f aca="false">Tabella52791124791618202224262830323436384042444648505254565860626468707274767880828486908892949698100102104106108110112114116118120122124126130128132134136138140142144146148150152154156158160[[#This Row],[Colonna5]]*$Q3</f>
        <v>10.8</v>
      </c>
      <c r="X29" s="14" t="n">
        <f aca="false">Tabella52791124791618202224262830323436384042444648505254565860626468707274767880828486908892949698100102104106108110112114116118120122124126130128132134136138140142144146148150152154156158160[[#This Row],[Colonna6]]*$Q3</f>
        <v>9.6</v>
      </c>
      <c r="Y29" s="14" t="n">
        <f aca="false">Tabella52791124791618202224262830323436384042444648505254565860626468707274767880828486908892949698100102104106108110112114116118120122124126130128132134136138140142144146148150152154156158160[[#This Row],[Colonna7]]*$Q3</f>
        <v>51.6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1</v>
      </c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 t="n">
        <f aca="false">Tabella52791124791618202224262830323436384042444648505254565860626468707274767880828486908892949698100102104106108110112114116118120122124126130128132134136138140142144146148150152154156158160[[#This Row],[Colonna1]]*$Q3</f>
        <v>0.4</v>
      </c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 t="n">
        <v>5</v>
      </c>
      <c r="H34" s="13" t="n">
        <v>5</v>
      </c>
      <c r="I34" s="13" t="n">
        <v>8</v>
      </c>
      <c r="J34" s="13"/>
      <c r="K34" s="13" t="n">
        <v>1</v>
      </c>
      <c r="L34" s="13" t="n">
        <v>1</v>
      </c>
      <c r="M34" s="13" t="n">
        <v>4</v>
      </c>
      <c r="P34" s="9" t="s">
        <v>41</v>
      </c>
      <c r="Q34" s="9"/>
      <c r="R34" s="9"/>
      <c r="S34" s="14" t="n">
        <f aca="false">Tabella52791124791618202224262830323436384042444648505254565860626468707274767880828486908892949698100102104106108110112114116118120122124126130128132134136138140142144146148150152154156158160[[#This Row],[Colonna1]]*$Q3</f>
        <v>2</v>
      </c>
      <c r="T34" s="14" t="n">
        <f aca="false">Tabella52791124791618202224262830323436384042444648505254565860626468707274767880828486908892949698100102104106108110112114116118120122124126130128132134136138140142144146148150152154156158160[[#This Row],[Colonna2]]*$Q3</f>
        <v>2</v>
      </c>
      <c r="U34" s="14" t="n">
        <f aca="false">Tabella52791124791618202224262830323436384042444648505254565860626468707274767880828486908892949698100102104106108110112114116118120122124126130128132134136138140142144146148150152154156158160[[#This Row],[Colonna3]]*$Q3</f>
        <v>3.2</v>
      </c>
      <c r="V34" s="14"/>
      <c r="W34" s="14" t="n">
        <f aca="false">Tabella52791124791618202224262830323436384042444648505254565860626468707274767880828486908892949698100102104106108110112114116118120122124126130128132134136138140142144146148150152154156158160[[#This Row],[Colonna5]]*$Q3</f>
        <v>0.4</v>
      </c>
      <c r="X34" s="14" t="n">
        <f aca="false">Tabella52791124791618202224262830323436384042444648505254565860626468707274767880828486908892949698100102104106108110112114116118120122124126130128132134136138140142144146148150152154156158160[[#This Row],[Colonna6]]*$Q3</f>
        <v>0.4</v>
      </c>
      <c r="Y34" s="14" t="n">
        <f aca="false">Tabella52791124791618202224262830323436384042444648505254565860626468707274767880828486908892949698100102104106108110112114116118120122124126130128132134136138140142144146148150152154156158160[[#This Row],[Colonna7]]*$Q3</f>
        <v>1.6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5</v>
      </c>
      <c r="H38" s="13" t="n">
        <v>2</v>
      </c>
      <c r="I38" s="13" t="n">
        <v>7</v>
      </c>
      <c r="J38" s="13"/>
      <c r="K38" s="13"/>
      <c r="L38" s="13"/>
      <c r="M38" s="13" t="n">
        <v>10</v>
      </c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Tabella52791124791618202224262830323436384042444648505254565860626468707274767880828486908892949698100102104106108110112114116118120122124126130128132134136138140142144146148150152154156158160[[#This Row],[Colonna1]]*$Q3</f>
        <v>2</v>
      </c>
      <c r="T38" s="14" t="n">
        <f aca="false">Tabella52791124791618202224262830323436384042444648505254565860626468707274767880828486908892949698100102104106108110112114116118120122124126130128132134136138140142144146148150152154156158160[[#This Row],[Colonna2]]*$Q3</f>
        <v>0.8</v>
      </c>
      <c r="U38" s="14" t="n">
        <f aca="false">Tabella52791124791618202224262830323436384042444648505254565860626468707274767880828486908892949698100102104106108110112114116118120122124126130128132134136138140142144146148150152154156158160[[#This Row],[Colonna3]]*$Q3</f>
        <v>2.8</v>
      </c>
      <c r="V38" s="14"/>
      <c r="W38" s="14"/>
      <c r="X38" s="14"/>
      <c r="Y38" s="14" t="n">
        <f aca="false">Tabella52791124791618202224262830323436384042444648505254565860626468707274767880828486908892949698100102104106108110112114116118120122124126130128132134136138140142144146148150152154156158160[[#This Row],[Colonna7]]*$Q3</f>
        <v>4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 t="n">
        <v>4</v>
      </c>
      <c r="H40" s="13" t="n">
        <v>3</v>
      </c>
      <c r="I40" s="13" t="n">
        <v>2</v>
      </c>
      <c r="J40" s="13" t="n">
        <v>5</v>
      </c>
      <c r="K40" s="13" t="n">
        <v>2</v>
      </c>
      <c r="L40" s="13" t="n">
        <v>1</v>
      </c>
      <c r="M40" s="13" t="n">
        <v>7</v>
      </c>
      <c r="P40" s="12" t="s">
        <v>47</v>
      </c>
      <c r="Q40" s="12"/>
      <c r="R40" s="12"/>
      <c r="S40" s="14" t="n">
        <f aca="false">Tabella52791124791618202224262830323436384042444648505254565860626468707274767880828486908892949698100102104106108110112114116118120122124126130128132134136138140142144146148150152154156158160[[#This Row],[Colonna1]]*$Q3</f>
        <v>1.6</v>
      </c>
      <c r="T40" s="14" t="n">
        <f aca="false">Tabella52791124791618202224262830323436384042444648505254565860626468707274767880828486908892949698100102104106108110112114116118120122124126130128132134136138140142144146148150152154156158160[[#This Row],[Colonna2]]*$Q3</f>
        <v>1.2</v>
      </c>
      <c r="U40" s="14" t="n">
        <f aca="false">Tabella52791124791618202224262830323436384042444648505254565860626468707274767880828486908892949698100102104106108110112114116118120122124126130128132134136138140142144146148150152154156158160[[#This Row],[Colonna3]]*$Q3</f>
        <v>0.8</v>
      </c>
      <c r="V40" s="14" t="n">
        <f aca="false">Tabella52791124791618202224262830323436384042444648505254565860626468707274767880828486908892949698100102104106108110112114116118120122124126130128132134136138140142144146148150152154156158160[[#This Row],[Colonna4]]*$Q3</f>
        <v>2</v>
      </c>
      <c r="W40" s="14" t="n">
        <f aca="false">Tabella52791124791618202224262830323436384042444648505254565860626468707274767880828486908892949698100102104106108110112114116118120122124126130128132134136138140142144146148150152154156158160[[#This Row],[Colonna5]]*$Q3</f>
        <v>0.8</v>
      </c>
      <c r="X40" s="14" t="n">
        <f aca="false">Tabella52791124791618202224262830323436384042444648505254565860626468707274767880828486908892949698100102104106108110112114116118120122124126130128132134136138140142144146148150152154156158160[[#This Row],[Colonna6]]*$Q3</f>
        <v>0.4</v>
      </c>
      <c r="Y40" s="14" t="n">
        <f aca="false">Tabella52791124791618202224262830323436384042444648505254565860626468707274767880828486908892949698100102104106108110112114116118120122124126130128132134136138140142144146148150152154156158160[[#This Row],[Colonna7]]*$Q3</f>
        <v>2.8</v>
      </c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2</v>
      </c>
      <c r="H41" s="13" t="n">
        <v>8</v>
      </c>
      <c r="I41" s="13" t="n">
        <v>10</v>
      </c>
      <c r="J41" s="13" t="n">
        <v>16</v>
      </c>
      <c r="K41" s="13" t="n">
        <v>6</v>
      </c>
      <c r="L41" s="13" t="n">
        <v>4</v>
      </c>
      <c r="M41" s="13" t="n">
        <v>6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Tabella52791124791618202224262830323436384042444648505254565860626468707274767880828486908892949698100102104106108110112114116118120122124126130128132134136138140142144146148150152154156158160[[#This Row],[Colonna1]]*$Q3</f>
        <v>0.8</v>
      </c>
      <c r="T41" s="14" t="n">
        <f aca="false">Tabella52791124791618202224262830323436384042444648505254565860626468707274767880828486908892949698100102104106108110112114116118120122124126130128132134136138140142144146148150152154156158160[[#This Row],[Colonna2]]*$Q3</f>
        <v>3.2</v>
      </c>
      <c r="U41" s="14" t="n">
        <f aca="false">Tabella52791124791618202224262830323436384042444648505254565860626468707274767880828486908892949698100102104106108110112114116118120122124126130128132134136138140142144146148150152154156158160[[#This Row],[Colonna3]]*$Q3</f>
        <v>4</v>
      </c>
      <c r="V41" s="14" t="n">
        <f aca="false">Tabella52791124791618202224262830323436384042444648505254565860626468707274767880828486908892949698100102104106108110112114116118120122124126130128132134136138140142144146148150152154156158160[[#This Row],[Colonna4]]*$Q3</f>
        <v>6.4</v>
      </c>
      <c r="W41" s="14" t="n">
        <f aca="false">Tabella52791124791618202224262830323436384042444648505254565860626468707274767880828486908892949698100102104106108110112114116118120122124126130128132134136138140142144146148150152154156158160[[#This Row],[Colonna5]]*$Q3</f>
        <v>2.4</v>
      </c>
      <c r="X41" s="14" t="n">
        <f aca="false">Tabella52791124791618202224262830323436384042444648505254565860626468707274767880828486908892949698100102104106108110112114116118120122124126130128132134136138140142144146148150152154156158160[[#This Row],[Colonna6]]*$Q3</f>
        <v>1.6</v>
      </c>
      <c r="Y41" s="14" t="n">
        <f aca="false">Tabella52791124791618202224262830323436384042444648505254565860626468707274767880828486908892949698100102104106108110112114116118120122124126130128132134136138140142144146148150152154156158160[[#This Row],[Colonna7]]*$Q3</f>
        <v>2.4</v>
      </c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1</v>
      </c>
      <c r="H42" s="13" t="n">
        <v>1</v>
      </c>
      <c r="I42" s="13" t="n">
        <v>4</v>
      </c>
      <c r="J42" s="13" t="n">
        <v>5</v>
      </c>
      <c r="K42" s="13" t="n">
        <v>2</v>
      </c>
      <c r="L42" s="13"/>
      <c r="M42" s="13" t="n">
        <v>1</v>
      </c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Tabella52791124791618202224262830323436384042444648505254565860626468707274767880828486908892949698100102104106108110112114116118120122124126130128132134136138140142144146148150152154156158160[[#This Row],[Colonna1]]*$Q3</f>
        <v>0.4</v>
      </c>
      <c r="T42" s="14" t="n">
        <f aca="false">Tabella52791124791618202224262830323436384042444648505254565860626468707274767880828486908892949698100102104106108110112114116118120122124126130128132134136138140142144146148150152154156158160[[#This Row],[Colonna2]]*$Q3</f>
        <v>0.4</v>
      </c>
      <c r="U42" s="14" t="n">
        <f aca="false">Tabella52791124791618202224262830323436384042444648505254565860626468707274767880828486908892949698100102104106108110112114116118120122124126130128132134136138140142144146148150152154156158160[[#This Row],[Colonna3]]*$Q3</f>
        <v>1.6</v>
      </c>
      <c r="V42" s="14" t="n">
        <f aca="false">Tabella52791124791618202224262830323436384042444648505254565860626468707274767880828486908892949698100102104106108110112114116118120122124126130128132134136138140142144146148150152154156158160[[#This Row],[Colonna4]]*$Q3</f>
        <v>2</v>
      </c>
      <c r="W42" s="14" t="n">
        <f aca="false">Tabella52791124791618202224262830323436384042444648505254565860626468707274767880828486908892949698100102104106108110112114116118120122124126130128132134136138140142144146148150152154156158160[[#This Row],[Colonna5]]*$Q3</f>
        <v>0.8</v>
      </c>
      <c r="X42" s="14"/>
      <c r="Y42" s="14" t="n">
        <f aca="false">Tabella52791124791618202224262830323436384042444648505254565860626468707274767880828486908892949698100102104106108110112114116118120122124126130128132134136138140142144146148150152154156158160[[#This Row],[Colonna7]]*$Q3</f>
        <v>0.4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26</v>
      </c>
      <c r="H44" s="13" t="n">
        <v>14</v>
      </c>
      <c r="I44" s="13" t="n">
        <v>10</v>
      </c>
      <c r="J44" s="13" t="n">
        <v>8</v>
      </c>
      <c r="K44" s="142" t="n">
        <v>7</v>
      </c>
      <c r="L44" s="13" t="n">
        <v>4</v>
      </c>
      <c r="M44" s="142" t="n">
        <v>11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Tabella52791124791618202224262830323436384042444648505254565860626468707274767880828486908892949698100102104106108110112114116118120122124126130128132134136138140142144146148150152154156158160[[#This Row],[Colonna1]]*$Q3</f>
        <v>10.4</v>
      </c>
      <c r="T44" s="14" t="n">
        <f aca="false">Tabella52791124791618202224262830323436384042444648505254565860626468707274767880828486908892949698100102104106108110112114116118120122124126130128132134136138140142144146148150152154156158160[[#This Row],[Colonna2]]*$Q3</f>
        <v>5.6</v>
      </c>
      <c r="U44" s="14" t="n">
        <f aca="false">Tabella52791124791618202224262830323436384042444648505254565860626468707274767880828486908892949698100102104106108110112114116118120122124126130128132134136138140142144146148150152154156158160[[#This Row],[Colonna3]]*$Q3</f>
        <v>4</v>
      </c>
      <c r="V44" s="14" t="n">
        <f aca="false">Tabella52791124791618202224262830323436384042444648505254565860626468707274767880828486908892949698100102104106108110112114116118120122124126130128132134136138140142144146148150152154156158160[[#This Row],[Colonna4]]*$Q3</f>
        <v>3.2</v>
      </c>
      <c r="W44" s="14" t="n">
        <f aca="false">Tabella52791124791618202224262830323436384042444648505254565860626468707274767880828486908892949698100102104106108110112114116118120122124126130128132134136138140142144146148150152154156158160[[#This Row],[Colonna5]]*$Q3</f>
        <v>2.8</v>
      </c>
      <c r="X44" s="14" t="n">
        <f aca="false">Tabella52791124791618202224262830323436384042444648505254565860626468707274767880828486908892949698100102104106108110112114116118120122124126130128132134136138140142144146148150152154156158160[[#This Row],[Colonna6]]*$Q3</f>
        <v>1.6</v>
      </c>
      <c r="Y44" s="14" t="n">
        <f aca="false">Tabella52791124791618202224262830323436384042444648505254565860626468707274767880828486908892949698100102104106108110112114116118120122124126130128132134136138140142144146148150152154156158160[[#This Row],[Colonna7]]*$Q3</f>
        <v>4.4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10</v>
      </c>
      <c r="H49" s="142" t="n">
        <v>9</v>
      </c>
      <c r="I49" s="142" t="n">
        <v>6</v>
      </c>
      <c r="J49" s="142" t="n">
        <v>7</v>
      </c>
      <c r="K49" s="13" t="n">
        <v>4</v>
      </c>
      <c r="L49" s="13" t="n">
        <v>1</v>
      </c>
      <c r="M49" s="13" t="n">
        <v>1</v>
      </c>
      <c r="P49" s="18" t="s">
        <v>56</v>
      </c>
      <c r="Q49" s="18"/>
      <c r="R49" s="18"/>
      <c r="S49" s="14" t="n">
        <f aca="false">Tabella52791124791618202224262830323436384042444648505254565860626468707274767880828486908892949698100102104106108110112114116118120122124126130128132134136138140142144146148150152154156158160[[#This Row],[Colonna1]]*$Q3</f>
        <v>4</v>
      </c>
      <c r="T49" s="14" t="n">
        <f aca="false">Tabella52791124791618202224262830323436384042444648505254565860626468707274767880828486908892949698100102104106108110112114116118120122124126130128132134136138140142144146148150152154156158160[[#This Row],[Colonna2]]*$Q3</f>
        <v>3.6</v>
      </c>
      <c r="U49" s="14" t="n">
        <f aca="false">Tabella52791124791618202224262830323436384042444648505254565860626468707274767880828486908892949698100102104106108110112114116118120122124126130128132134136138140142144146148150152154156158160[[#This Row],[Colonna3]]*$Q3</f>
        <v>2.4</v>
      </c>
      <c r="V49" s="14" t="n">
        <f aca="false">Tabella52791124791618202224262830323436384042444648505254565860626468707274767880828486908892949698100102104106108110112114116118120122124126130128132134136138140142144146148150152154156158160[[#This Row],[Colonna4]]*$Q3</f>
        <v>2.8</v>
      </c>
      <c r="W49" s="14" t="n">
        <f aca="false">Tabella52791124791618202224262830323436384042444648505254565860626468707274767880828486908892949698100102104106108110112114116118120122124126130128132134136138140142144146148150152154156158160[[#This Row],[Colonna5]]*$Q3</f>
        <v>1.6</v>
      </c>
      <c r="X49" s="14" t="n">
        <f aca="false">Tabella52791124791618202224262830323436384042444648505254565860626468707274767880828486908892949698100102104106108110112114116118120122124126130128132134136138140142144146148150152154156158160[[#This Row],[Colonna6]]*$Q3</f>
        <v>0.4</v>
      </c>
      <c r="Y49" s="14" t="n">
        <f aca="false">Tabella52791124791618202224262830323436384042444648505254565860626468707274767880828486908892949698100102104106108110112114116118120122124126130128132134136138140142144146148150152154156158160[[#This Row],[Colonna7]]*$Q3</f>
        <v>0.4</v>
      </c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20</v>
      </c>
      <c r="H52" s="13" t="n">
        <v>20</v>
      </c>
      <c r="I52" s="13" t="n">
        <v>8</v>
      </c>
      <c r="J52" s="13" t="n">
        <v>10</v>
      </c>
      <c r="K52" s="13" t="n">
        <v>10</v>
      </c>
      <c r="L52" s="13" t="n">
        <v>5</v>
      </c>
      <c r="M52" s="13" t="n">
        <v>13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Tabella52791124791618202224262830323436384042444648505254565860626468707274767880828486908892949698100102104106108110112114116118120122124126130128132134136138140142144146148150152154156158160[[#This Row],[Colonna1]]*$Q3</f>
        <v>8</v>
      </c>
      <c r="T52" s="14" t="n">
        <f aca="false">Tabella52791124791618202224262830323436384042444648505254565860626468707274767880828486908892949698100102104106108110112114116118120122124126130128132134136138140142144146148150152154156158160[[#This Row],[Colonna2]]*$Q3</f>
        <v>8</v>
      </c>
      <c r="U52" s="14" t="n">
        <f aca="false">Tabella52791124791618202224262830323436384042444648505254565860626468707274767880828486908892949698100102104106108110112114116118120122124126130128132134136138140142144146148150152154156158160[[#This Row],[Colonna3]]*$Q3</f>
        <v>3.2</v>
      </c>
      <c r="V52" s="14" t="n">
        <f aca="false">Tabella52791124791618202224262830323436384042444648505254565860626468707274767880828486908892949698100102104106108110112114116118120122124126130128132134136138140142144146148150152154156158160[[#This Row],[Colonna4]]*$Q3</f>
        <v>4</v>
      </c>
      <c r="W52" s="14" t="n">
        <f aca="false">Tabella52791124791618202224262830323436384042444648505254565860626468707274767880828486908892949698100102104106108110112114116118120122124126130128132134136138140142144146148150152154156158160[[#This Row],[Colonna5]]*$Q3</f>
        <v>4</v>
      </c>
      <c r="X52" s="14" t="n">
        <f aca="false">Tabella52791124791618202224262830323436384042444648505254565860626468707274767880828486908892949698100102104106108110112114116118120122124126130128132134136138140142144146148150152154156158160[[#This Row],[Colonna6]]*$Q3</f>
        <v>2</v>
      </c>
      <c r="Y52" s="14" t="n">
        <f aca="false">Tabella52791124791618202224262830323436384042444648505254565860626468707274767880828486908892949698100102104106108110112114116118120122124126130128132134136138140142144146148150152154156158160[[#This Row],[Colonna7]]*$Q3</f>
        <v>5.2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307</v>
      </c>
      <c r="H53" s="55" t="n">
        <f aca="false">SUM(H6:H52)</f>
        <v>177</v>
      </c>
      <c r="I53" s="55" t="n">
        <f aca="false">SUM(I6:I52)</f>
        <v>218</v>
      </c>
      <c r="J53" s="55" t="n">
        <f aca="false">SUM(J6:J52)</f>
        <v>154</v>
      </c>
      <c r="K53" s="55" t="n">
        <f aca="false">SUM(K6:K52)</f>
        <v>81</v>
      </c>
      <c r="L53" s="55" t="n">
        <f aca="false">SUM(L6:L52)</f>
        <v>50</v>
      </c>
      <c r="M53" s="55" t="n">
        <f aca="false">SUM(M6:M52)</f>
        <v>254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Tabella52791124791618202224262830323436384042444648505254565860626468707274767880828486908892949698100102104106108110112114116118120122124126130128132134136138140142144146148150152154156158160[[#This Row],[Colonna1]]*$Q3</f>
        <v>122.8</v>
      </c>
      <c r="T53" s="56" t="n">
        <f aca="false">Tabella52791124791618202224262830323436384042444648505254565860626468707274767880828486908892949698100102104106108110112114116118120122124126130128132134136138140142144146148150152154156158160[[#This Row],[Colonna2]]*$Q3</f>
        <v>70.8</v>
      </c>
      <c r="U53" s="56" t="n">
        <f aca="false">Tabella52791124791618202224262830323436384042444648505254565860626468707274767880828486908892949698100102104106108110112114116118120122124126130128132134136138140142144146148150152154156158160[[#This Row],[Colonna3]]*$Q3</f>
        <v>87.2</v>
      </c>
      <c r="V53" s="56" t="n">
        <f aca="false">Tabella52791124791618202224262830323436384042444648505254565860626468707274767880828486908892949698100102104106108110112114116118120122124126130128132134136138140142144146148150152154156158160[[#This Row],[Colonna4]]*$Q3</f>
        <v>61.6</v>
      </c>
      <c r="W53" s="56" t="n">
        <f aca="false">Tabella52791124791618202224262830323436384042444648505254565860626468707274767880828486908892949698100102104106108110112114116118120122124126130128132134136138140142144146148150152154156158160[[#This Row],[Colonna5]]*$Q3</f>
        <v>32.4</v>
      </c>
      <c r="X53" s="56" t="n">
        <f aca="false">Tabella52791124791618202224262830323436384042444648505254565860626468707274767880828486908892949698100102104106108110112114116118120122124126130128132134136138140142144146148150152154156158160[[#This Row],[Colonna6]]*$Q3</f>
        <v>20</v>
      </c>
      <c r="Y53" s="56" t="n">
        <f aca="false">Tabella52791124791618202224262830323436384042444648505254565860626468707274767880828486908892949698100102104106108110112114116118120122124126130128132134136138140142144146148150152154156158160[[#This Row],[Colonna7]]*$Q3</f>
        <v>101.6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122</v>
      </c>
      <c r="H58" s="26" t="n">
        <v>79</v>
      </c>
      <c r="I58" s="26" t="n">
        <v>118</v>
      </c>
      <c r="J58" s="26" t="n">
        <v>100</v>
      </c>
      <c r="K58" s="26" t="n">
        <v>15</v>
      </c>
      <c r="L58" s="26" t="n">
        <v>18</v>
      </c>
      <c r="M58" s="26" t="n">
        <v>52</v>
      </c>
      <c r="P58" s="23" t="s">
        <v>62</v>
      </c>
      <c r="Q58" s="23"/>
      <c r="R58" s="23"/>
      <c r="S58" s="57" t="n">
        <f aca="false">G58*$Q3</f>
        <v>48.8</v>
      </c>
      <c r="T58" s="57" t="n">
        <f aca="false">H58*$Q3</f>
        <v>31.6</v>
      </c>
      <c r="U58" s="57" t="n">
        <f aca="false">I58*$Q3</f>
        <v>47.2</v>
      </c>
      <c r="V58" s="57" t="n">
        <f aca="false">J58*$Q3</f>
        <v>40</v>
      </c>
      <c r="W58" s="57" t="n">
        <f aca="false">K58*$Q3</f>
        <v>6</v>
      </c>
      <c r="X58" s="57" t="n">
        <f aca="false">L58*$Q3</f>
        <v>7.2</v>
      </c>
      <c r="Y58" s="27" t="n">
        <f aca="false">M58*$Q3</f>
        <v>20.8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17</v>
      </c>
      <c r="H62" s="26" t="n">
        <v>1</v>
      </c>
      <c r="I62" s="26" t="n">
        <v>14</v>
      </c>
      <c r="J62" s="26" t="n">
        <v>2</v>
      </c>
      <c r="K62" s="26" t="n">
        <v>6</v>
      </c>
      <c r="L62" s="26" t="n">
        <v>1</v>
      </c>
      <c r="M62" s="26" t="n">
        <v>12</v>
      </c>
      <c r="P62" s="9" t="s">
        <v>66</v>
      </c>
      <c r="Q62" s="9"/>
      <c r="R62" s="9"/>
      <c r="S62" s="57" t="n">
        <f aca="false">G62*$Q3</f>
        <v>6.8</v>
      </c>
      <c r="T62" s="57" t="n">
        <f aca="false">H62*$Q3</f>
        <v>0.4</v>
      </c>
      <c r="U62" s="57" t="n">
        <f aca="false">I62*$Q3</f>
        <v>5.6</v>
      </c>
      <c r="V62" s="57" t="n">
        <f aca="false">J62*$Q3</f>
        <v>0.8</v>
      </c>
      <c r="W62" s="57" t="n">
        <f aca="false">K62*$Q3</f>
        <v>2.4</v>
      </c>
      <c r="X62" s="57" t="n">
        <f aca="false">L62*$Q3</f>
        <v>0.4</v>
      </c>
      <c r="Y62" s="57" t="n">
        <f aca="false">M62*$Q3</f>
        <v>4.8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2</v>
      </c>
      <c r="H63" s="164" t="n">
        <v>1</v>
      </c>
      <c r="I63" s="13" t="n">
        <v>6</v>
      </c>
      <c r="J63" s="26" t="n">
        <v>1</v>
      </c>
      <c r="K63" s="26"/>
      <c r="L63" s="26"/>
      <c r="M63" s="26" t="n">
        <v>3</v>
      </c>
      <c r="P63" s="9" t="s">
        <v>67</v>
      </c>
      <c r="Q63" s="9"/>
      <c r="R63" s="9"/>
      <c r="S63" s="57" t="n">
        <f aca="false">G63*$Q3</f>
        <v>0.8</v>
      </c>
      <c r="T63" s="57" t="n">
        <f aca="false">H63*$Q3</f>
        <v>0.4</v>
      </c>
      <c r="U63" s="57" t="n">
        <f aca="false">I63*$Q3</f>
        <v>2.4</v>
      </c>
      <c r="V63" s="57" t="n">
        <f aca="false">J63*$Q3</f>
        <v>0.4</v>
      </c>
      <c r="W63" s="57"/>
      <c r="X63" s="57"/>
      <c r="Y63" s="57" t="n">
        <f aca="false">M63*$Q3</f>
        <v>1.2</v>
      </c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 t="n">
        <v>1</v>
      </c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57" t="n">
        <f aca="false">H64*$Q3</f>
        <v>0.4</v>
      </c>
      <c r="U64" s="57"/>
      <c r="V64" s="57"/>
      <c r="W64" s="57"/>
      <c r="X64" s="57"/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2</v>
      </c>
      <c r="H65" s="30" t="n">
        <v>2</v>
      </c>
      <c r="I65" s="30"/>
      <c r="J65" s="26" t="n">
        <v>2</v>
      </c>
      <c r="K65" s="26" t="n">
        <v>1</v>
      </c>
      <c r="L65" s="26" t="n">
        <v>4</v>
      </c>
      <c r="M65" s="26"/>
      <c r="P65" s="9" t="s">
        <v>69</v>
      </c>
      <c r="Q65" s="9"/>
      <c r="R65" s="9"/>
      <c r="S65" s="57" t="n">
        <f aca="false">G65*$Q3</f>
        <v>0.8</v>
      </c>
      <c r="T65" s="57" t="n">
        <f aca="false">H65*$Q3</f>
        <v>0.8</v>
      </c>
      <c r="U65" s="57"/>
      <c r="V65" s="57" t="n">
        <f aca="false">J65*$Q3</f>
        <v>0.8</v>
      </c>
      <c r="W65" s="57" t="n">
        <f aca="false">K65*$Q3</f>
        <v>0.4</v>
      </c>
      <c r="X65" s="57" t="n">
        <f aca="false">L65*$Q3</f>
        <v>1.6</v>
      </c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8</v>
      </c>
      <c r="H67" s="139" t="n">
        <v>2</v>
      </c>
      <c r="I67" s="139" t="n">
        <v>5</v>
      </c>
      <c r="J67" s="26"/>
      <c r="K67" s="26"/>
      <c r="L67" s="26"/>
      <c r="M67" s="26" t="n">
        <v>3</v>
      </c>
      <c r="P67" s="9" t="s">
        <v>71</v>
      </c>
      <c r="Q67" s="9"/>
      <c r="R67" s="9"/>
      <c r="S67" s="57" t="n">
        <f aca="false">G67*$Q3</f>
        <v>3.2</v>
      </c>
      <c r="T67" s="57" t="n">
        <f aca="false">H67*$Q3</f>
        <v>0.8</v>
      </c>
      <c r="U67" s="57" t="n">
        <f aca="false">I67*$Q3</f>
        <v>2</v>
      </c>
      <c r="V67" s="57"/>
      <c r="W67" s="57"/>
      <c r="X67" s="57"/>
      <c r="Y67" s="57" t="n">
        <f aca="false">M67*$Q3</f>
        <v>1.2</v>
      </c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7</v>
      </c>
      <c r="H68" s="30" t="n">
        <v>1</v>
      </c>
      <c r="I68" s="30" t="n">
        <v>3</v>
      </c>
      <c r="J68" s="30" t="n">
        <v>4</v>
      </c>
      <c r="K68" s="30" t="n">
        <v>3</v>
      </c>
      <c r="L68" s="30" t="n">
        <v>2</v>
      </c>
      <c r="M68" s="30" t="n">
        <v>9</v>
      </c>
      <c r="P68" s="9" t="s">
        <v>72</v>
      </c>
      <c r="Q68" s="9"/>
      <c r="R68" s="9"/>
      <c r="S68" s="57" t="n">
        <f aca="false">G68*$Q3</f>
        <v>2.8</v>
      </c>
      <c r="T68" s="57" t="n">
        <f aca="false">H68*$Q3</f>
        <v>0.4</v>
      </c>
      <c r="U68" s="57" t="n">
        <f aca="false">I68*$Q3</f>
        <v>1.2</v>
      </c>
      <c r="V68" s="57" t="n">
        <f aca="false">J68*$Q3</f>
        <v>1.6</v>
      </c>
      <c r="W68" s="57" t="n">
        <f aca="false">K68*$Q3</f>
        <v>1.2</v>
      </c>
      <c r="X68" s="57" t="n">
        <f aca="false">L68*$Q3</f>
        <v>0.8</v>
      </c>
      <c r="Y68" s="57" t="n">
        <f aca="false">M68*$Q3</f>
        <v>3.6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14</v>
      </c>
      <c r="H69" s="30" t="n">
        <v>2</v>
      </c>
      <c r="I69" s="30" t="n">
        <v>13</v>
      </c>
      <c r="J69" s="30" t="n">
        <v>6</v>
      </c>
      <c r="K69" s="30"/>
      <c r="L69" s="30" t="n">
        <v>2</v>
      </c>
      <c r="M69" s="30" t="n">
        <v>12</v>
      </c>
      <c r="P69" s="9" t="s">
        <v>73</v>
      </c>
      <c r="Q69" s="9"/>
      <c r="R69" s="9"/>
      <c r="S69" s="57" t="n">
        <f aca="false">G69*$Q3</f>
        <v>5.6</v>
      </c>
      <c r="T69" s="57" t="n">
        <f aca="false">H69*$Q3</f>
        <v>0.8</v>
      </c>
      <c r="U69" s="57" t="n">
        <f aca="false">I69*$Q3</f>
        <v>5.2</v>
      </c>
      <c r="V69" s="57" t="n">
        <f aca="false">J69*$Q3</f>
        <v>2.4</v>
      </c>
      <c r="W69" s="57"/>
      <c r="X69" s="57" t="n">
        <f aca="false">L69*$Q3</f>
        <v>0.8</v>
      </c>
      <c r="Y69" s="57" t="n">
        <f aca="false">M69*$Q3</f>
        <v>4.8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172</v>
      </c>
      <c r="H70" s="60" t="n">
        <f aca="false">SUM(H58:H69)</f>
        <v>89</v>
      </c>
      <c r="I70" s="60" t="n">
        <f aca="false">SUM(I58:I69)</f>
        <v>159</v>
      </c>
      <c r="J70" s="60" t="n">
        <f aca="false">SUM(J58:J69)</f>
        <v>115</v>
      </c>
      <c r="K70" s="60" t="n">
        <f aca="false">SUM(K58:K69)</f>
        <v>25</v>
      </c>
      <c r="L70" s="60" t="n">
        <f aca="false">SUM(L58:L69)</f>
        <v>27</v>
      </c>
      <c r="M70" s="60" t="n">
        <f aca="false">SUM(M58:M69)</f>
        <v>91</v>
      </c>
      <c r="P70" s="9" t="s">
        <v>60</v>
      </c>
      <c r="Q70" s="9"/>
      <c r="R70" s="9"/>
      <c r="S70" s="61" t="n">
        <f aca="false">G70*$Q3</f>
        <v>68.8</v>
      </c>
      <c r="T70" s="61" t="n">
        <f aca="false">H70*$Q3</f>
        <v>35.6</v>
      </c>
      <c r="U70" s="61" t="n">
        <f aca="false">I70*$Q3</f>
        <v>63.6</v>
      </c>
      <c r="V70" s="61" t="n">
        <f aca="false">J70*$Q3</f>
        <v>46</v>
      </c>
      <c r="W70" s="61" t="n">
        <f aca="false">K70*$Q3</f>
        <v>10</v>
      </c>
      <c r="X70" s="61" t="n">
        <f aca="false">L70*$Q3</f>
        <v>10.8</v>
      </c>
      <c r="Y70" s="32" t="n">
        <f aca="false">M70*$Q3</f>
        <v>36.4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B5" activeCellId="0" sqref="AB5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105</v>
      </c>
      <c r="I3" s="119" t="s">
        <v>2</v>
      </c>
      <c r="J3" s="4" t="n">
        <v>45446</v>
      </c>
      <c r="K3" s="5" t="n">
        <v>45452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105</v>
      </c>
      <c r="U3" s="119" t="s">
        <v>2</v>
      </c>
      <c r="V3" s="4" t="n">
        <v>45446</v>
      </c>
      <c r="W3" s="5" t="n">
        <v>45452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7</v>
      </c>
      <c r="H7" s="13" t="n">
        <v>17</v>
      </c>
      <c r="I7" s="13" t="n">
        <v>13</v>
      </c>
      <c r="J7" s="13" t="n">
        <v>14</v>
      </c>
      <c r="K7" s="13" t="n">
        <v>22</v>
      </c>
      <c r="L7" s="13" t="n">
        <v>24</v>
      </c>
      <c r="M7" s="13" t="n">
        <v>10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Tabella52791124791618202224262830323436384042444648505254565860626468707274767880828486908892949698100102104106108110112114116118120122124126130128132134136138140142144146148150152154156158160162[[#This Row],[Colonna1]]*$Q3</f>
        <v>2.8</v>
      </c>
      <c r="T7" s="14" t="n">
        <f aca="false">Tabella52791124791618202224262830323436384042444648505254565860626468707274767880828486908892949698100102104106108110112114116118120122124126130128132134136138140142144146148150152154156158160162[[#This Row],[Colonna2]]*$Q3</f>
        <v>6.8</v>
      </c>
      <c r="U7" s="14" t="n">
        <f aca="false">Tabella52791124791618202224262830323436384042444648505254565860626468707274767880828486908892949698100102104106108110112114116118120122124126130128132134136138140142144146148150152154156158160162[[#This Row],[Colonna3]]*$Q3</f>
        <v>5.2</v>
      </c>
      <c r="V7" s="14" t="n">
        <f aca="false">Tabella52791124791618202224262830323436384042444648505254565860626468707274767880828486908892949698100102104106108110112114116118120122124126130128132134136138140142144146148150152154156158160162[[#This Row],[Colonna4]]*$Q3</f>
        <v>5.6</v>
      </c>
      <c r="W7" s="14" t="n">
        <f aca="false">Tabella52791124791618202224262830323436384042444648505254565860626468707274767880828486908892949698100102104106108110112114116118120122124126130128132134136138140142144146148150152154156158160162[[#This Row],[Colonna5]]*$Q3</f>
        <v>8.8</v>
      </c>
      <c r="X7" s="14" t="n">
        <f aca="false">Tabella52791124791618202224262830323436384042444648505254565860626468707274767880828486908892949698100102104106108110112114116118120122124126130128132134136138140142144146148150152154156158160162[[#This Row],[Colonna6]]*$Q3</f>
        <v>9.6</v>
      </c>
      <c r="Y7" s="14" t="n">
        <f aca="false">Tabella52791124791618202224262830323436384042444648505254565860626468707274767880828486908892949698100102104106108110112114116118120122124126130128132134136138140142144146148150152154156158160162[[#This Row],[Colonna7]]*$Q3</f>
        <v>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 t="n">
        <v>1</v>
      </c>
      <c r="I9" s="13" t="n">
        <v>1</v>
      </c>
      <c r="J9" s="13" t="n">
        <v>1</v>
      </c>
      <c r="K9" s="13" t="n">
        <v>1</v>
      </c>
      <c r="L9" s="13"/>
      <c r="M9" s="13"/>
      <c r="P9" s="12" t="s">
        <v>16</v>
      </c>
      <c r="Q9" s="12"/>
      <c r="R9" s="12"/>
      <c r="S9" s="14"/>
      <c r="T9" s="14" t="n">
        <f aca="false">Tabella52791124791618202224262830323436384042444648505254565860626468707274767880828486908892949698100102104106108110112114116118120122124126130128132134136138140142144146148150152154156158160162[[#This Row],[Colonna2]]*$Q3</f>
        <v>0.4</v>
      </c>
      <c r="U9" s="14" t="n">
        <f aca="false">Tabella52791124791618202224262830323436384042444648505254565860626468707274767880828486908892949698100102104106108110112114116118120122124126130128132134136138140142144146148150152154156158160162[[#This Row],[Colonna3]]*$Q3</f>
        <v>0.4</v>
      </c>
      <c r="V9" s="14" t="n">
        <f aca="false">Tabella52791124791618202224262830323436384042444648505254565860626468707274767880828486908892949698100102104106108110112114116118120122124126130128132134136138140142144146148150152154156158160162[[#This Row],[Colonna4]]*$Q3</f>
        <v>0.4</v>
      </c>
      <c r="W9" s="14" t="n">
        <f aca="false">Tabella52791124791618202224262830323436384042444648505254565860626468707274767880828486908892949698100102104106108110112114116118120122124126130128132134136138140142144146148150152154156158160162[[#This Row],[Colonna5]]*$Q3</f>
        <v>0.4</v>
      </c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 t="n">
        <v>1</v>
      </c>
      <c r="J12" s="13" t="n">
        <v>1</v>
      </c>
      <c r="K12" s="13" t="n">
        <v>1</v>
      </c>
      <c r="L12" s="13" t="n">
        <v>1</v>
      </c>
      <c r="M12" s="13" t="n">
        <v>3</v>
      </c>
      <c r="P12" s="12" t="s">
        <v>19</v>
      </c>
      <c r="Q12" s="12"/>
      <c r="R12" s="12"/>
      <c r="S12" s="14"/>
      <c r="T12" s="14"/>
      <c r="U12" s="14" t="n">
        <f aca="false">Tabella52791124791618202224262830323436384042444648505254565860626468707274767880828486908892949698100102104106108110112114116118120122124126130128132134136138140142144146148150152154156158160162[[#This Row],[Colonna3]]*$Q3</f>
        <v>0.4</v>
      </c>
      <c r="V12" s="14" t="n">
        <f aca="false">Tabella52791124791618202224262830323436384042444648505254565860626468707274767880828486908892949698100102104106108110112114116118120122124126130128132134136138140142144146148150152154156158160162[[#This Row],[Colonna4]]*$Q3</f>
        <v>0.4</v>
      </c>
      <c r="W12" s="14" t="n">
        <f aca="false">Tabella52791124791618202224262830323436384042444648505254565860626468707274767880828486908892949698100102104106108110112114116118120122124126130128132134136138140142144146148150152154156158160162[[#This Row],[Colonna5]]*$Q3</f>
        <v>0.4</v>
      </c>
      <c r="X12" s="14" t="n">
        <f aca="false">Tabella52791124791618202224262830323436384042444648505254565860626468707274767880828486908892949698100102104106108110112114116118120122124126130128132134136138140142144146148150152154156158160162[[#This Row],[Colonna6]]*$Q3</f>
        <v>0.4</v>
      </c>
      <c r="Y12" s="14" t="n">
        <f aca="false">Tabella52791124791618202224262830323436384042444648505254565860626468707274767880828486908892949698100102104106108110112114116118120122124126130128132134136138140142144146148150152154156158160162[[#This Row],[Colonna7]]*$Q3</f>
        <v>1.2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12</v>
      </c>
      <c r="H22" s="13" t="n">
        <v>46</v>
      </c>
      <c r="I22" s="13" t="n">
        <v>33</v>
      </c>
      <c r="J22" s="13" t="n">
        <v>22</v>
      </c>
      <c r="K22" s="13" t="n">
        <v>14</v>
      </c>
      <c r="L22" s="13" t="n">
        <v>8</v>
      </c>
      <c r="M22" s="13" t="n">
        <v>5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Tabella52791124791618202224262830323436384042444648505254565860626468707274767880828486908892949698100102104106108110112114116118120122124126130128132134136138140142144146148150152154156158160162[[#This Row],[Colonna1]]*$Q3</f>
        <v>4.8</v>
      </c>
      <c r="T22" s="14" t="n">
        <f aca="false">Tabella52791124791618202224262830323436384042444648505254565860626468707274767880828486908892949698100102104106108110112114116118120122124126130128132134136138140142144146148150152154156158160162[[#This Row],[Colonna2]]*$Q3</f>
        <v>18.4</v>
      </c>
      <c r="U22" s="14" t="n">
        <f aca="false">Tabella52791124791618202224262830323436384042444648505254565860626468707274767880828486908892949698100102104106108110112114116118120122124126130128132134136138140142144146148150152154156158160162[[#This Row],[Colonna3]]*$Q3</f>
        <v>13.2</v>
      </c>
      <c r="V22" s="14" t="n">
        <f aca="false">Tabella52791124791618202224262830323436384042444648505254565860626468707274767880828486908892949698100102104106108110112114116118120122124126130128132134136138140142144146148150152154156158160162[[#This Row],[Colonna4]]*$Q3</f>
        <v>8.8</v>
      </c>
      <c r="W22" s="14" t="n">
        <f aca="false">Tabella52791124791618202224262830323436384042444648505254565860626468707274767880828486908892949698100102104106108110112114116118120122124126130128132134136138140142144146148150152154156158160162[[#This Row],[Colonna5]]*$Q3</f>
        <v>5.6</v>
      </c>
      <c r="X22" s="14" t="n">
        <f aca="false">Tabella52791124791618202224262830323436384042444648505254565860626468707274767880828486908892949698100102104106108110112114116118120122124126130128132134136138140142144146148150152154156158160162[[#This Row],[Colonna6]]*$Q3</f>
        <v>3.2</v>
      </c>
      <c r="Y22" s="14" t="n">
        <f aca="false">Tabella52791124791618202224262830323436384042444648505254565860626468707274767880828486908892949698100102104106108110112114116118120122124126130128132134136138140142144146148150152154156158160162[[#This Row],[Colonna7]]*$Q3</f>
        <v>2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 t="n">
        <v>1</v>
      </c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 t="n">
        <f aca="false">Tabella52791124791618202224262830323436384042444648505254565860626468707274767880828486908892949698100102104106108110112114116118120122124126130128132134136138140142144146148150152154156158160162[[#This Row],[Colonna6]]*$Q3</f>
        <v>0.4</v>
      </c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 t="n">
        <v>1</v>
      </c>
      <c r="I27" s="136"/>
      <c r="J27" s="136"/>
      <c r="K27" s="13"/>
      <c r="L27" s="13"/>
      <c r="M27" s="13"/>
      <c r="P27" s="12" t="s">
        <v>34</v>
      </c>
      <c r="Q27" s="12"/>
      <c r="R27" s="12"/>
      <c r="S27" s="14"/>
      <c r="T27" s="14" t="n">
        <f aca="false">Tabella52791124791618202224262830323436384042444648505254565860626468707274767880828486908892949698100102104106108110112114116118120122124126130128132134136138140142144146148150152154156158160162[[#This Row],[Colonna2]]*$Q3</f>
        <v>0.4</v>
      </c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 t="n">
        <v>1</v>
      </c>
      <c r="J28" s="13"/>
      <c r="K28" s="13"/>
      <c r="L28" s="13"/>
      <c r="M28" s="13" t="n">
        <v>1</v>
      </c>
      <c r="P28" s="12" t="s">
        <v>35</v>
      </c>
      <c r="Q28" s="12"/>
      <c r="R28" s="12"/>
      <c r="S28" s="14"/>
      <c r="T28" s="14"/>
      <c r="U28" s="14" t="n">
        <f aca="false">Tabella52791124791618202224262830323436384042444648505254565860626468707274767880828486908892949698100102104106108110112114116118120122124126130128132134136138140142144146148150152154156158160162[[#This Row],[Colonna3]]*$Q3</f>
        <v>0.4</v>
      </c>
      <c r="V28" s="14"/>
      <c r="W28" s="14"/>
      <c r="X28" s="14"/>
      <c r="Y28" s="14" t="n">
        <f aca="false">Tabella52791124791618202224262830323436384042444648505254565860626468707274767880828486908892949698100102104106108110112114116118120122124126130128132134136138140142144146148150152154156158160162[[#This Row],[Colonna7]]*$Q3</f>
        <v>0.4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46</v>
      </c>
      <c r="H29" s="13" t="n">
        <v>117</v>
      </c>
      <c r="I29" s="13" t="n">
        <v>89</v>
      </c>
      <c r="J29" s="13" t="n">
        <v>70</v>
      </c>
      <c r="K29" s="13" t="n">
        <v>68</v>
      </c>
      <c r="L29" s="13" t="n">
        <v>63</v>
      </c>
      <c r="M29" s="13" t="n">
        <v>47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Tabella52791124791618202224262830323436384042444648505254565860626468707274767880828486908892949698100102104106108110112114116118120122124126130128132134136138140142144146148150152154156158160162[[#This Row],[Colonna1]]*$Q3</f>
        <v>18.4</v>
      </c>
      <c r="T29" s="14" t="n">
        <f aca="false">Tabella52791124791618202224262830323436384042444648505254565860626468707274767880828486908892949698100102104106108110112114116118120122124126130128132134136138140142144146148150152154156158160162[[#This Row],[Colonna2]]*$Q3</f>
        <v>46.8</v>
      </c>
      <c r="U29" s="14" t="n">
        <f aca="false">Tabella52791124791618202224262830323436384042444648505254565860626468707274767880828486908892949698100102104106108110112114116118120122124126130128132134136138140142144146148150152154156158160162[[#This Row],[Colonna3]]*$Q3</f>
        <v>35.6</v>
      </c>
      <c r="V29" s="14" t="n">
        <f aca="false">Tabella52791124791618202224262830323436384042444648505254565860626468707274767880828486908892949698100102104106108110112114116118120122124126130128132134136138140142144146148150152154156158160162[[#This Row],[Colonna4]]*$Q3</f>
        <v>28</v>
      </c>
      <c r="W29" s="14" t="n">
        <f aca="false">Tabella52791124791618202224262830323436384042444648505254565860626468707274767880828486908892949698100102104106108110112114116118120122124126130128132134136138140142144146148150152154156158160162[[#This Row],[Colonna5]]*$Q3</f>
        <v>27.2</v>
      </c>
      <c r="X29" s="14" t="n">
        <f aca="false">Tabella52791124791618202224262830323436384042444648505254565860626468707274767880828486908892949698100102104106108110112114116118120122124126130128132134136138140142144146148150152154156158160162[[#This Row],[Colonna6]]*$Q3</f>
        <v>25.2</v>
      </c>
      <c r="Y29" s="14" t="n">
        <f aca="false">Tabella52791124791618202224262830323436384042444648505254565860626468707274767880828486908892949698100102104106108110112114116118120122124126130128132134136138140142144146148150152154156158160162[[#This Row],[Colonna7]]*$Q3</f>
        <v>18.8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 t="n">
        <v>1</v>
      </c>
      <c r="I38" s="13"/>
      <c r="J38" s="13" t="n">
        <v>1</v>
      </c>
      <c r="K38" s="13" t="n">
        <v>1</v>
      </c>
      <c r="L38" s="13" t="n">
        <v>1</v>
      </c>
      <c r="M38" s="13" t="n">
        <v>5</v>
      </c>
      <c r="P38" s="16" t="s">
        <v>45</v>
      </c>
      <c r="Q38" s="16"/>
      <c r="R38" s="16"/>
      <c r="S38" s="14"/>
      <c r="T38" s="14" t="n">
        <f aca="false">Tabella52791124791618202224262830323436384042444648505254565860626468707274767880828486908892949698100102104106108110112114116118120122124126130128132134136138140142144146148150152154156158160162[[#This Row],[Colonna2]]*$Q3</f>
        <v>0.4</v>
      </c>
      <c r="U38" s="14"/>
      <c r="V38" s="14" t="n">
        <f aca="false">Tabella52791124791618202224262830323436384042444648505254565860626468707274767880828486908892949698100102104106108110112114116118120122124126130128132134136138140142144146148150152154156158160162[[#This Row],[Colonna4]]*$Q3</f>
        <v>0.4</v>
      </c>
      <c r="W38" s="14" t="n">
        <f aca="false">Tabella52791124791618202224262830323436384042444648505254565860626468707274767880828486908892949698100102104106108110112114116118120122124126130128132134136138140142144146148150152154156158160162[[#This Row],[Colonna5]]*$Q3</f>
        <v>0.4</v>
      </c>
      <c r="X38" s="14" t="n">
        <f aca="false">Tabella52791124791618202224262830323436384042444648505254565860626468707274767880828486908892949698100102104106108110112114116118120122124126130128132134136138140142144146148150152154156158160162[[#This Row],[Colonna6]]*$Q3</f>
        <v>0.4</v>
      </c>
      <c r="Y38" s="14" t="n">
        <f aca="false">Tabella52791124791618202224262830323436384042444648505254565860626468707274767880828486908892949698100102104106108110112114116118120122124126130128132134136138140142144146148150152154156158160162[[#This Row],[Colonna7]]*$Q3</f>
        <v>2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 t="n">
        <v>4</v>
      </c>
      <c r="I40" s="13" t="n">
        <v>1</v>
      </c>
      <c r="J40" s="13" t="n">
        <v>2</v>
      </c>
      <c r="K40" s="13" t="n">
        <v>2</v>
      </c>
      <c r="L40" s="13" t="n">
        <v>4</v>
      </c>
      <c r="M40" s="13" t="n">
        <v>5</v>
      </c>
      <c r="P40" s="12" t="s">
        <v>47</v>
      </c>
      <c r="Q40" s="12"/>
      <c r="R40" s="12"/>
      <c r="S40" s="14"/>
      <c r="T40" s="14" t="n">
        <f aca="false">Tabella52791124791618202224262830323436384042444648505254565860626468707274767880828486908892949698100102104106108110112114116118120122124126130128132134136138140142144146148150152154156158160162[[#This Row],[Colonna2]]*$Q3</f>
        <v>1.6</v>
      </c>
      <c r="U40" s="14" t="n">
        <f aca="false">Tabella52791124791618202224262830323436384042444648505254565860626468707274767880828486908892949698100102104106108110112114116118120122124126130128132134136138140142144146148150152154156158160162[[#This Row],[Colonna3]]*$Q3</f>
        <v>0.4</v>
      </c>
      <c r="V40" s="14" t="n">
        <f aca="false">Tabella52791124791618202224262830323436384042444648505254565860626468707274767880828486908892949698100102104106108110112114116118120122124126130128132134136138140142144146148150152154156158160162[[#This Row],[Colonna4]]*$Q3</f>
        <v>0.8</v>
      </c>
      <c r="W40" s="14" t="n">
        <f aca="false">Tabella52791124791618202224262830323436384042444648505254565860626468707274767880828486908892949698100102104106108110112114116118120122124126130128132134136138140142144146148150152154156158160162[[#This Row],[Colonna5]]*$Q3</f>
        <v>0.8</v>
      </c>
      <c r="X40" s="14" t="n">
        <f aca="false">Tabella52791124791618202224262830323436384042444648505254565860626468707274767880828486908892949698100102104106108110112114116118120122124126130128132134136138140142144146148150152154156158160162[[#This Row],[Colonna6]]*$Q3</f>
        <v>1.6</v>
      </c>
      <c r="Y40" s="14" t="n">
        <f aca="false">Tabella52791124791618202224262830323436384042444648505254565860626468707274767880828486908892949698100102104106108110112114116118120122124126130128132134136138140142144146148150152154156158160162[[#This Row],[Colonna7]]*$Q3</f>
        <v>2</v>
      </c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5</v>
      </c>
      <c r="H41" s="13" t="n">
        <v>10</v>
      </c>
      <c r="I41" s="13" t="n">
        <v>5</v>
      </c>
      <c r="J41" s="13" t="n">
        <v>10</v>
      </c>
      <c r="K41" s="13" t="n">
        <v>20</v>
      </c>
      <c r="L41" s="13" t="n">
        <v>17</v>
      </c>
      <c r="M41" s="13" t="n">
        <v>5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Tabella52791124791618202224262830323436384042444648505254565860626468707274767880828486908892949698100102104106108110112114116118120122124126130128132134136138140142144146148150152154156158160162[[#This Row],[Colonna1]]*$Q3</f>
        <v>2</v>
      </c>
      <c r="T41" s="14" t="n">
        <f aca="false">Tabella52791124791618202224262830323436384042444648505254565860626468707274767880828486908892949698100102104106108110112114116118120122124126130128132134136138140142144146148150152154156158160162[[#This Row],[Colonna2]]*$Q3</f>
        <v>4</v>
      </c>
      <c r="U41" s="14" t="n">
        <f aca="false">Tabella52791124791618202224262830323436384042444648505254565860626468707274767880828486908892949698100102104106108110112114116118120122124126130128132134136138140142144146148150152154156158160162[[#This Row],[Colonna3]]*$Q3</f>
        <v>2</v>
      </c>
      <c r="V41" s="14" t="n">
        <f aca="false">Tabella52791124791618202224262830323436384042444648505254565860626468707274767880828486908892949698100102104106108110112114116118120122124126130128132134136138140142144146148150152154156158160162[[#This Row],[Colonna4]]*$Q3</f>
        <v>4</v>
      </c>
      <c r="W41" s="14" t="n">
        <f aca="false">Tabella52791124791618202224262830323436384042444648505254565860626468707274767880828486908892949698100102104106108110112114116118120122124126130128132134136138140142144146148150152154156158160162[[#This Row],[Colonna5]]*$Q3</f>
        <v>8</v>
      </c>
      <c r="X41" s="14" t="n">
        <f aca="false">Tabella52791124791618202224262830323436384042444648505254565860626468707274767880828486908892949698100102104106108110112114116118120122124126130128132134136138140142144146148150152154156158160162[[#This Row],[Colonna6]]*$Q3</f>
        <v>6.8</v>
      </c>
      <c r="Y41" s="14" t="n">
        <f aca="false">Tabella52791124791618202224262830323436384042444648505254565860626468707274767880828486908892949698100102104106108110112114116118120122124126130128132134136138140142144146148150152154156158160162[[#This Row],[Colonna7]]*$Q3</f>
        <v>2</v>
      </c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1</v>
      </c>
      <c r="H42" s="13" t="n">
        <v>5</v>
      </c>
      <c r="I42" s="13" t="n">
        <v>2</v>
      </c>
      <c r="J42" s="13" t="n">
        <v>2</v>
      </c>
      <c r="K42" s="13" t="n">
        <v>7</v>
      </c>
      <c r="L42" s="13" t="n">
        <v>2</v>
      </c>
      <c r="M42" s="13" t="n">
        <v>3</v>
      </c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Tabella52791124791618202224262830323436384042444648505254565860626468707274767880828486908892949698100102104106108110112114116118120122124126130128132134136138140142144146148150152154156158160162[[#This Row],[Colonna1]]*$Q3</f>
        <v>0.4</v>
      </c>
      <c r="T42" s="14" t="n">
        <f aca="false">Tabella52791124791618202224262830323436384042444648505254565860626468707274767880828486908892949698100102104106108110112114116118120122124126130128132134136138140142144146148150152154156158160162[[#This Row],[Colonna2]]*$Q3</f>
        <v>2</v>
      </c>
      <c r="U42" s="14" t="n">
        <f aca="false">Tabella52791124791618202224262830323436384042444648505254565860626468707274767880828486908892949698100102104106108110112114116118120122124126130128132134136138140142144146148150152154156158160162[[#This Row],[Colonna3]]*$Q3</f>
        <v>0.8</v>
      </c>
      <c r="V42" s="14" t="n">
        <f aca="false">Tabella52791124791618202224262830323436384042444648505254565860626468707274767880828486908892949698100102104106108110112114116118120122124126130128132134136138140142144146148150152154156158160162[[#This Row],[Colonna4]]*$Q3</f>
        <v>0.8</v>
      </c>
      <c r="W42" s="14" t="n">
        <f aca="false">Tabella52791124791618202224262830323436384042444648505254565860626468707274767880828486908892949698100102104106108110112114116118120122124126130128132134136138140142144146148150152154156158160162[[#This Row],[Colonna5]]*$Q3</f>
        <v>2.8</v>
      </c>
      <c r="X42" s="14" t="n">
        <f aca="false">Tabella52791124791618202224262830323436384042444648505254565860626468707274767880828486908892949698100102104106108110112114116118120122124126130128132134136138140142144146148150152154156158160162[[#This Row],[Colonna6]]*$Q3</f>
        <v>0.8</v>
      </c>
      <c r="Y42" s="14" t="n">
        <f aca="false">Tabella52791124791618202224262830323436384042444648505254565860626468707274767880828486908892949698100102104106108110112114116118120122124126130128132134136138140142144146148150152154156158160162[[#This Row],[Colonna7]]*$Q3</f>
        <v>1.2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6</v>
      </c>
      <c r="H44" s="13" t="n">
        <v>18</v>
      </c>
      <c r="I44" s="13" t="n">
        <v>22</v>
      </c>
      <c r="J44" s="13" t="n">
        <v>18</v>
      </c>
      <c r="K44" s="142" t="n">
        <v>61</v>
      </c>
      <c r="L44" s="13" t="n">
        <v>14</v>
      </c>
      <c r="M44" s="142" t="n">
        <v>8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Tabella52791124791618202224262830323436384042444648505254565860626468707274767880828486908892949698100102104106108110112114116118120122124126130128132134136138140142144146148150152154156158160162[[#This Row],[Colonna1]]*$Q3</f>
        <v>2.4</v>
      </c>
      <c r="T44" s="14" t="n">
        <f aca="false">Tabella52791124791618202224262830323436384042444648505254565860626468707274767880828486908892949698100102104106108110112114116118120122124126130128132134136138140142144146148150152154156158160162[[#This Row],[Colonna2]]*$Q3</f>
        <v>7.2</v>
      </c>
      <c r="U44" s="14" t="n">
        <f aca="false">Tabella52791124791618202224262830323436384042444648505254565860626468707274767880828486908892949698100102104106108110112114116118120122124126130128132134136138140142144146148150152154156158160162[[#This Row],[Colonna3]]*$Q3</f>
        <v>8.8</v>
      </c>
      <c r="V44" s="14" t="n">
        <f aca="false">Tabella52791124791618202224262830323436384042444648505254565860626468707274767880828486908892949698100102104106108110112114116118120122124126130128132134136138140142144146148150152154156158160162[[#This Row],[Colonna4]]*$Q3</f>
        <v>7.2</v>
      </c>
      <c r="W44" s="14" t="n">
        <f aca="false">Tabella52791124791618202224262830323436384042444648505254565860626468707274767880828486908892949698100102104106108110112114116118120122124126130128132134136138140142144146148150152154156158160162[[#This Row],[Colonna5]]*$Q3</f>
        <v>24.4</v>
      </c>
      <c r="X44" s="14" t="n">
        <f aca="false">Tabella52791124791618202224262830323436384042444648505254565860626468707274767880828486908892949698100102104106108110112114116118120122124126130128132134136138140142144146148150152154156158160162[[#This Row],[Colonna6]]*$Q3</f>
        <v>5.6</v>
      </c>
      <c r="Y44" s="14" t="n">
        <f aca="false">Tabella52791124791618202224262830323436384042444648505254565860626468707274767880828486908892949698100102104106108110112114116118120122124126130128132134136138140142144146148150152154156158160162[[#This Row],[Colonna7]]*$Q3</f>
        <v>3.2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1</v>
      </c>
      <c r="H49" s="142" t="n">
        <v>2</v>
      </c>
      <c r="I49" s="142"/>
      <c r="J49" s="142"/>
      <c r="K49" s="13" t="n">
        <v>3</v>
      </c>
      <c r="L49" s="13" t="n">
        <v>3</v>
      </c>
      <c r="M49" s="13" t="n">
        <v>2</v>
      </c>
      <c r="P49" s="18" t="s">
        <v>56</v>
      </c>
      <c r="Q49" s="18"/>
      <c r="R49" s="18"/>
      <c r="S49" s="14" t="n">
        <f aca="false">Tabella52791124791618202224262830323436384042444648505254565860626468707274767880828486908892949698100102104106108110112114116118120122124126130128132134136138140142144146148150152154156158160162[[#This Row],[Colonna1]]*$Q3</f>
        <v>0.4</v>
      </c>
      <c r="T49" s="14" t="n">
        <f aca="false">Tabella52791124791618202224262830323436384042444648505254565860626468707274767880828486908892949698100102104106108110112114116118120122124126130128132134136138140142144146148150152154156158160162[[#This Row],[Colonna2]]*$Q3</f>
        <v>0.8</v>
      </c>
      <c r="U49" s="14"/>
      <c r="V49" s="14"/>
      <c r="W49" s="14" t="n">
        <f aca="false">Tabella52791124791618202224262830323436384042444648505254565860626468707274767880828486908892949698100102104106108110112114116118120122124126130128132134136138140142144146148150152154156158160162[[#This Row],[Colonna5]]*$Q3</f>
        <v>1.2</v>
      </c>
      <c r="X49" s="14" t="n">
        <f aca="false">Tabella52791124791618202224262830323436384042444648505254565860626468707274767880828486908892949698100102104106108110112114116118120122124126130128132134136138140142144146148150152154156158160162[[#This Row],[Colonna6]]*$Q3</f>
        <v>1.2</v>
      </c>
      <c r="Y49" s="14" t="n">
        <f aca="false">Tabella52791124791618202224262830323436384042444648505254565860626468707274767880828486908892949698100102104106108110112114116118120122124126130128132134136138140142144146148150152154156158160162[[#This Row],[Colonna7]]*$Q3</f>
        <v>0.8</v>
      </c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21</v>
      </c>
      <c r="H52" s="13" t="n">
        <v>37</v>
      </c>
      <c r="I52" s="13" t="n">
        <v>54</v>
      </c>
      <c r="J52" s="13" t="n">
        <v>27</v>
      </c>
      <c r="K52" s="13" t="n">
        <v>45</v>
      </c>
      <c r="L52" s="13" t="n">
        <v>22</v>
      </c>
      <c r="M52" s="13" t="n">
        <v>28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Tabella52791124791618202224262830323436384042444648505254565860626468707274767880828486908892949698100102104106108110112114116118120122124126130128132134136138140142144146148150152154156158160162[[#This Row],[Colonna1]]*$Q3</f>
        <v>8.4</v>
      </c>
      <c r="T52" s="14" t="n">
        <f aca="false">Tabella52791124791618202224262830323436384042444648505254565860626468707274767880828486908892949698100102104106108110112114116118120122124126130128132134136138140142144146148150152154156158160162[[#This Row],[Colonna2]]*$Q3</f>
        <v>14.8</v>
      </c>
      <c r="U52" s="14" t="n">
        <f aca="false">Tabella52791124791618202224262830323436384042444648505254565860626468707274767880828486908892949698100102104106108110112114116118120122124126130128132134136138140142144146148150152154156158160162[[#This Row],[Colonna3]]*$Q3</f>
        <v>21.6</v>
      </c>
      <c r="V52" s="14" t="n">
        <f aca="false">Tabella52791124791618202224262830323436384042444648505254565860626468707274767880828486908892949698100102104106108110112114116118120122124126130128132134136138140142144146148150152154156158160162[[#This Row],[Colonna4]]*$Q3</f>
        <v>10.8</v>
      </c>
      <c r="W52" s="14" t="n">
        <f aca="false">Tabella52791124791618202224262830323436384042444648505254565860626468707274767880828486908892949698100102104106108110112114116118120122124126130128132134136138140142144146148150152154156158160162[[#This Row],[Colonna5]]*$Q3</f>
        <v>18</v>
      </c>
      <c r="X52" s="14" t="n">
        <f aca="false">Tabella52791124791618202224262830323436384042444648505254565860626468707274767880828486908892949698100102104106108110112114116118120122124126130128132134136138140142144146148150152154156158160162[[#This Row],[Colonna6]]*$Q3</f>
        <v>8.8</v>
      </c>
      <c r="Y52" s="14" t="n">
        <f aca="false">Tabella52791124791618202224262830323436384042444648505254565860626468707274767880828486908892949698100102104106108110112114116118120122124126130128132134136138140142144146148150152154156158160162[[#This Row],[Colonna7]]*$Q3</f>
        <v>11.2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99</v>
      </c>
      <c r="H53" s="55" t="n">
        <f aca="false">SUM(H6:H52)</f>
        <v>259</v>
      </c>
      <c r="I53" s="55" t="n">
        <f aca="false">SUM(I6:I52)</f>
        <v>222</v>
      </c>
      <c r="J53" s="55" t="n">
        <f aca="false">SUM(J6:J52)</f>
        <v>168</v>
      </c>
      <c r="K53" s="55" t="n">
        <f aca="false">SUM(K6:K52)</f>
        <v>245</v>
      </c>
      <c r="L53" s="55" t="n">
        <f aca="false">SUM(L6:L52)</f>
        <v>160</v>
      </c>
      <c r="M53" s="55" t="n">
        <f aca="false">SUM(M6:M52)</f>
        <v>122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Tabella52791124791618202224262830323436384042444648505254565860626468707274767880828486908892949698100102104106108110112114116118120122124126130128132134136138140142144146148150152154156158160162[[#This Row],[Colonna1]]*$Q3</f>
        <v>39.6</v>
      </c>
      <c r="T53" s="56" t="n">
        <f aca="false">Tabella52791124791618202224262830323436384042444648505254565860626468707274767880828486908892949698100102104106108110112114116118120122124126130128132134136138140142144146148150152154156158160162[[#This Row],[Colonna2]]*$Q3</f>
        <v>103.6</v>
      </c>
      <c r="U53" s="56" t="n">
        <f aca="false">Tabella52791124791618202224262830323436384042444648505254565860626468707274767880828486908892949698100102104106108110112114116118120122124126130128132134136138140142144146148150152154156158160162[[#This Row],[Colonna3]]*$Q3</f>
        <v>88.8</v>
      </c>
      <c r="V53" s="56" t="n">
        <f aca="false">Tabella52791124791618202224262830323436384042444648505254565860626468707274767880828486908892949698100102104106108110112114116118120122124126130128132134136138140142144146148150152154156158160162[[#This Row],[Colonna4]]*$Q3</f>
        <v>67.2</v>
      </c>
      <c r="W53" s="56" t="n">
        <f aca="false">Tabella52791124791618202224262830323436384042444648505254565860626468707274767880828486908892949698100102104106108110112114116118120122124126130128132134136138140142144146148150152154156158160162[[#This Row],[Colonna5]]*$Q3</f>
        <v>98</v>
      </c>
      <c r="X53" s="56" t="n">
        <f aca="false">Tabella52791124791618202224262830323436384042444648505254565860626468707274767880828486908892949698100102104106108110112114116118120122124126130128132134136138140142144146148150152154156158160162[[#This Row],[Colonna6]]*$Q3</f>
        <v>64</v>
      </c>
      <c r="Y53" s="56" t="n">
        <f aca="false">Tabella52791124791618202224262830323436384042444648505254565860626468707274767880828486908892949698100102104106108110112114116118120122124126130128132134136138140142144146148150152154156158160162[[#This Row],[Colonna7]]*$Q3</f>
        <v>48.8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70</v>
      </c>
      <c r="H58" s="26" t="n">
        <v>125</v>
      </c>
      <c r="I58" s="26" t="n">
        <v>185</v>
      </c>
      <c r="J58" s="26" t="n">
        <v>77</v>
      </c>
      <c r="K58" s="26" t="n">
        <v>228</v>
      </c>
      <c r="L58" s="26" t="n">
        <v>63</v>
      </c>
      <c r="M58" s="26" t="n">
        <v>100</v>
      </c>
      <c r="P58" s="23" t="s">
        <v>62</v>
      </c>
      <c r="Q58" s="23"/>
      <c r="R58" s="23"/>
      <c r="S58" s="57" t="n">
        <f aca="false">G58*$Q3</f>
        <v>28</v>
      </c>
      <c r="T58" s="57" t="n">
        <f aca="false">H58*$Q3</f>
        <v>50</v>
      </c>
      <c r="U58" s="57" t="n">
        <f aca="false">I58*$Q3</f>
        <v>74</v>
      </c>
      <c r="V58" s="57" t="n">
        <f aca="false">J58*$Q3</f>
        <v>30.8</v>
      </c>
      <c r="W58" s="57" t="n">
        <f aca="false">K58*$Q3</f>
        <v>91.2</v>
      </c>
      <c r="X58" s="57" t="n">
        <f aca="false">L58*$Q3</f>
        <v>25.2</v>
      </c>
      <c r="Y58" s="27" t="n">
        <f aca="false">M58*$Q3</f>
        <v>40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9</v>
      </c>
      <c r="H62" s="26" t="n">
        <v>13</v>
      </c>
      <c r="I62" s="26" t="n">
        <v>5</v>
      </c>
      <c r="J62" s="26" t="n">
        <v>3</v>
      </c>
      <c r="K62" s="26" t="n">
        <v>1</v>
      </c>
      <c r="L62" s="26" t="n">
        <v>3</v>
      </c>
      <c r="M62" s="26" t="n">
        <v>1</v>
      </c>
      <c r="P62" s="9" t="s">
        <v>66</v>
      </c>
      <c r="Q62" s="9"/>
      <c r="R62" s="9"/>
      <c r="S62" s="57" t="n">
        <f aca="false">G62*$Q3</f>
        <v>3.6</v>
      </c>
      <c r="T62" s="57" t="n">
        <f aca="false">H62*$Q3</f>
        <v>5.2</v>
      </c>
      <c r="U62" s="57" t="n">
        <f aca="false">I62*$Q3</f>
        <v>2</v>
      </c>
      <c r="V62" s="57" t="n">
        <f aca="false">J62*$Q3</f>
        <v>1.2</v>
      </c>
      <c r="W62" s="57" t="n">
        <f aca="false">K62*$Q3</f>
        <v>0.4</v>
      </c>
      <c r="X62" s="57" t="n">
        <f aca="false">L62*$Q3</f>
        <v>1.2</v>
      </c>
      <c r="Y62" s="57" t="n">
        <f aca="false">M62*$Q3</f>
        <v>0.4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2</v>
      </c>
      <c r="H63" s="164" t="n">
        <v>3</v>
      </c>
      <c r="I63" s="13"/>
      <c r="J63" s="26" t="n">
        <v>4</v>
      </c>
      <c r="K63" s="26"/>
      <c r="L63" s="26"/>
      <c r="M63" s="26"/>
      <c r="P63" s="9" t="s">
        <v>67</v>
      </c>
      <c r="Q63" s="9"/>
      <c r="R63" s="9"/>
      <c r="S63" s="57" t="n">
        <f aca="false">G63*$Q3</f>
        <v>0.8</v>
      </c>
      <c r="T63" s="57" t="n">
        <f aca="false">H63*$Q3</f>
        <v>1.2</v>
      </c>
      <c r="U63" s="57"/>
      <c r="V63" s="57" t="n">
        <f aca="false">J63*$Q3</f>
        <v>1.6</v>
      </c>
      <c r="W63" s="57"/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 t="n">
        <v>2</v>
      </c>
      <c r="I64" s="26" t="n">
        <v>1</v>
      </c>
      <c r="J64" s="26" t="n">
        <v>1</v>
      </c>
      <c r="K64" s="26" t="n">
        <v>2</v>
      </c>
      <c r="L64" s="26" t="n">
        <v>1</v>
      </c>
      <c r="M64" s="26"/>
      <c r="P64" s="9" t="s">
        <v>68</v>
      </c>
      <c r="Q64" s="9"/>
      <c r="R64" s="9"/>
      <c r="S64" s="57"/>
      <c r="T64" s="57" t="n">
        <f aca="false">H64*$Q3</f>
        <v>0.8</v>
      </c>
      <c r="U64" s="57" t="n">
        <f aca="false">I64*$Q3</f>
        <v>0.4</v>
      </c>
      <c r="V64" s="57" t="n">
        <f aca="false">J64*$Q3</f>
        <v>0.4</v>
      </c>
      <c r="W64" s="57" t="n">
        <f aca="false">K64*$Q3</f>
        <v>0.8</v>
      </c>
      <c r="X64" s="57" t="n">
        <f aca="false">L64*$Q3</f>
        <v>0.4</v>
      </c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1</v>
      </c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 t="n">
        <f aca="false">G65*$Q3</f>
        <v>0.4</v>
      </c>
      <c r="T65" s="57"/>
      <c r="U65" s="57"/>
      <c r="V65" s="57"/>
      <c r="W65" s="57"/>
      <c r="X65" s="5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9</v>
      </c>
      <c r="H67" s="139" t="n">
        <v>7</v>
      </c>
      <c r="I67" s="139" t="n">
        <v>2</v>
      </c>
      <c r="J67" s="26"/>
      <c r="K67" s="26" t="n">
        <v>1</v>
      </c>
      <c r="L67" s="26" t="n">
        <v>1</v>
      </c>
      <c r="M67" s="26"/>
      <c r="P67" s="9" t="s">
        <v>71</v>
      </c>
      <c r="Q67" s="9"/>
      <c r="R67" s="9"/>
      <c r="S67" s="57" t="n">
        <f aca="false">G67*$Q3</f>
        <v>3.6</v>
      </c>
      <c r="T67" s="57" t="n">
        <f aca="false">H67*$Q3</f>
        <v>2.8</v>
      </c>
      <c r="U67" s="57" t="n">
        <f aca="false">I67*$Q3</f>
        <v>0.8</v>
      </c>
      <c r="V67" s="57"/>
      <c r="W67" s="57" t="n">
        <f aca="false">K67*$Q3</f>
        <v>0.4</v>
      </c>
      <c r="X67" s="57" t="n">
        <f aca="false">L67*$Q3</f>
        <v>0.4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7</v>
      </c>
      <c r="H68" s="30" t="n">
        <v>5</v>
      </c>
      <c r="I68" s="30" t="n">
        <v>3</v>
      </c>
      <c r="J68" s="30"/>
      <c r="K68" s="30" t="n">
        <v>2</v>
      </c>
      <c r="L68" s="30"/>
      <c r="M68" s="30" t="n">
        <v>1</v>
      </c>
      <c r="P68" s="9" t="s">
        <v>72</v>
      </c>
      <c r="Q68" s="9"/>
      <c r="R68" s="9"/>
      <c r="S68" s="57" t="n">
        <f aca="false">G68*$Q3</f>
        <v>2.8</v>
      </c>
      <c r="T68" s="57" t="n">
        <f aca="false">H68*$Q3</f>
        <v>2</v>
      </c>
      <c r="U68" s="57" t="n">
        <f aca="false">I68*$Q3</f>
        <v>1.2</v>
      </c>
      <c r="V68" s="57"/>
      <c r="W68" s="57" t="n">
        <f aca="false">K68*$Q3</f>
        <v>0.8</v>
      </c>
      <c r="X68" s="57"/>
      <c r="Y68" s="57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7</v>
      </c>
      <c r="H69" s="30" t="n">
        <v>22</v>
      </c>
      <c r="I69" s="30" t="n">
        <v>15</v>
      </c>
      <c r="J69" s="30" t="n">
        <v>34</v>
      </c>
      <c r="K69" s="30" t="n">
        <v>56</v>
      </c>
      <c r="L69" s="30" t="n">
        <v>45</v>
      </c>
      <c r="M69" s="30" t="n">
        <v>6</v>
      </c>
      <c r="P69" s="9" t="s">
        <v>73</v>
      </c>
      <c r="Q69" s="9"/>
      <c r="R69" s="9"/>
      <c r="S69" s="57" t="n">
        <f aca="false">G69*$Q3</f>
        <v>2.8</v>
      </c>
      <c r="T69" s="57" t="n">
        <f aca="false">H69*$Q3</f>
        <v>8.8</v>
      </c>
      <c r="U69" s="57" t="n">
        <f aca="false">I69*$Q3</f>
        <v>6</v>
      </c>
      <c r="V69" s="57" t="n">
        <f aca="false">J69*$Q3</f>
        <v>13.6</v>
      </c>
      <c r="W69" s="57" t="n">
        <f aca="false">K69*$Q3</f>
        <v>22.4</v>
      </c>
      <c r="X69" s="57" t="n">
        <f aca="false">L69*$Q3</f>
        <v>18</v>
      </c>
      <c r="Y69" s="57" t="n">
        <f aca="false">M69*$Q3</f>
        <v>2.4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105</v>
      </c>
      <c r="H70" s="60" t="n">
        <f aca="false">SUM(H58:H69)</f>
        <v>177</v>
      </c>
      <c r="I70" s="60" t="n">
        <f aca="false">SUM(I58:I69)</f>
        <v>211</v>
      </c>
      <c r="J70" s="60" t="n">
        <f aca="false">SUM(J58:J69)</f>
        <v>119</v>
      </c>
      <c r="K70" s="60" t="n">
        <f aca="false">SUM(K58:K69)</f>
        <v>290</v>
      </c>
      <c r="L70" s="60" t="n">
        <f aca="false">SUM(L58:L69)</f>
        <v>113</v>
      </c>
      <c r="M70" s="60" t="n">
        <f aca="false">SUM(M58:M69)</f>
        <v>108</v>
      </c>
      <c r="P70" s="9" t="s">
        <v>60</v>
      </c>
      <c r="Q70" s="9"/>
      <c r="R70" s="9"/>
      <c r="S70" s="61" t="n">
        <f aca="false">G70*$Q3</f>
        <v>42</v>
      </c>
      <c r="T70" s="61" t="n">
        <f aca="false">H70*$Q3</f>
        <v>70.8</v>
      </c>
      <c r="U70" s="61" t="n">
        <f aca="false">I70*$Q3</f>
        <v>84.4</v>
      </c>
      <c r="V70" s="61" t="n">
        <f aca="false">J70*$Q3</f>
        <v>47.6</v>
      </c>
      <c r="W70" s="61" t="n">
        <f aca="false">K70*$Q3</f>
        <v>116</v>
      </c>
      <c r="X70" s="61" t="n">
        <f aca="false">L70*$Q3</f>
        <v>45.2</v>
      </c>
      <c r="Y70" s="32" t="n">
        <f aca="false">M70*$Q3</f>
        <v>43.2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106</v>
      </c>
      <c r="I3" s="119" t="s">
        <v>2</v>
      </c>
      <c r="J3" s="4" t="n">
        <v>45453</v>
      </c>
      <c r="K3" s="5" t="n">
        <v>45459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106</v>
      </c>
      <c r="U3" s="119" t="s">
        <v>2</v>
      </c>
      <c r="V3" s="4" t="n">
        <v>45453</v>
      </c>
      <c r="W3" s="5" t="n">
        <v>45459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21</v>
      </c>
      <c r="H7" s="13" t="n">
        <v>19</v>
      </c>
      <c r="I7" s="13" t="n">
        <v>25</v>
      </c>
      <c r="J7" s="13" t="n">
        <v>5</v>
      </c>
      <c r="K7" s="13" t="n">
        <v>16</v>
      </c>
      <c r="L7" s="13" t="n">
        <v>15</v>
      </c>
      <c r="M7" s="13" t="n">
        <v>24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Tabella52791124791618202224262830323436384042444648505254565860626468707274767880828486908892949698100102104106108110112114116118120122124126130128132134136138140142144146148150152154156158160162164[[#This Row],[Colonna1]]*$Q3</f>
        <v>8.4</v>
      </c>
      <c r="T7" s="14" t="n">
        <f aca="false">Tabella52791124791618202224262830323436384042444648505254565860626468707274767880828486908892949698100102104106108110112114116118120122124126130128132134136138140142144146148150152154156158160162164[[#This Row],[Colonna2]]*$Q3</f>
        <v>7.6</v>
      </c>
      <c r="U7" s="14" t="n">
        <f aca="false">Tabella52791124791618202224262830323436384042444648505254565860626468707274767880828486908892949698100102104106108110112114116118120122124126130128132134136138140142144146148150152154156158160162164[[#This Row],[Colonna3]]*$Q3</f>
        <v>10</v>
      </c>
      <c r="V7" s="14" t="n">
        <f aca="false">Tabella52791124791618202224262830323436384042444648505254565860626468707274767880828486908892949698100102104106108110112114116118120122124126130128132134136138140142144146148150152154156158160162164[[#This Row],[Colonna4]]*$Q3</f>
        <v>2</v>
      </c>
      <c r="W7" s="14" t="n">
        <f aca="false">Tabella52791124791618202224262830323436384042444648505254565860626468707274767880828486908892949698100102104106108110112114116118120122124126130128132134136138140142144146148150152154156158160162164[[#This Row],[Colonna5]]*$Q3</f>
        <v>6.4</v>
      </c>
      <c r="X7" s="14" t="n">
        <f aca="false">Tabella52791124791618202224262830323436384042444648505254565860626468707274767880828486908892949698100102104106108110112114116118120122124126130128132134136138140142144146148150152154156158160162164[[#This Row],[Colonna6]]*$Q3</f>
        <v>6</v>
      </c>
      <c r="Y7" s="14" t="n">
        <f aca="false">Tabella52791124791618202224262830323436384042444648505254565860626468707274767880828486908892949698100102104106108110112114116118120122124126130128132134136138140142144146148150152154156158160162164[[#This Row],[Colonna7]]*$Q3</f>
        <v>9.6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 t="n">
        <v>2</v>
      </c>
      <c r="I12" s="13" t="n">
        <v>1</v>
      </c>
      <c r="J12" s="13"/>
      <c r="K12" s="13"/>
      <c r="L12" s="13" t="n">
        <v>2</v>
      </c>
      <c r="M12" s="13"/>
      <c r="P12" s="12" t="s">
        <v>19</v>
      </c>
      <c r="Q12" s="12"/>
      <c r="R12" s="12"/>
      <c r="S12" s="14"/>
      <c r="T12" s="14" t="n">
        <f aca="false">Tabella52791124791618202224262830323436384042444648505254565860626468707274767880828486908892949698100102104106108110112114116118120122124126130128132134136138140142144146148150152154156158160162164[[#This Row],[Colonna2]]*$Q3</f>
        <v>0.8</v>
      </c>
      <c r="U12" s="14" t="n">
        <f aca="false">Tabella52791124791618202224262830323436384042444648505254565860626468707274767880828486908892949698100102104106108110112114116118120122124126130128132134136138140142144146148150152154156158160162164[[#This Row],[Colonna3]]*$Q3</f>
        <v>0.4</v>
      </c>
      <c r="V12" s="14"/>
      <c r="W12" s="14"/>
      <c r="X12" s="14" t="n">
        <f aca="false">Tabella52791124791618202224262830323436384042444648505254565860626468707274767880828486908892949698100102104106108110112114116118120122124126130128132134136138140142144146148150152154156158160162164[[#This Row],[Colonna6]]*$Q3</f>
        <v>0.8</v>
      </c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27</v>
      </c>
      <c r="H22" s="13" t="n">
        <v>36</v>
      </c>
      <c r="I22" s="13" t="n">
        <v>15</v>
      </c>
      <c r="J22" s="13" t="n">
        <v>6</v>
      </c>
      <c r="K22" s="13" t="n">
        <v>2</v>
      </c>
      <c r="L22" s="13" t="n">
        <v>12</v>
      </c>
      <c r="M22" s="13" t="n">
        <v>18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Tabella52791124791618202224262830323436384042444648505254565860626468707274767880828486908892949698100102104106108110112114116118120122124126130128132134136138140142144146148150152154156158160162164[[#This Row],[Colonna1]]*$Q3</f>
        <v>10.8</v>
      </c>
      <c r="T22" s="14" t="n">
        <f aca="false">Tabella52791124791618202224262830323436384042444648505254565860626468707274767880828486908892949698100102104106108110112114116118120122124126130128132134136138140142144146148150152154156158160162164[[#This Row],[Colonna2]]*$Q3</f>
        <v>14.4</v>
      </c>
      <c r="U22" s="14" t="n">
        <f aca="false">Tabella52791124791618202224262830323436384042444648505254565860626468707274767880828486908892949698100102104106108110112114116118120122124126130128132134136138140142144146148150152154156158160162164[[#This Row],[Colonna3]]*$Q3</f>
        <v>6</v>
      </c>
      <c r="V22" s="14" t="n">
        <f aca="false">Tabella52791124791618202224262830323436384042444648505254565860626468707274767880828486908892949698100102104106108110112114116118120122124126130128132134136138140142144146148150152154156158160162164[[#This Row],[Colonna4]]*$Q3</f>
        <v>2.4</v>
      </c>
      <c r="W22" s="14" t="n">
        <f aca="false">Tabella52791124791618202224262830323436384042444648505254565860626468707274767880828486908892949698100102104106108110112114116118120122124126130128132134136138140142144146148150152154156158160162164[[#This Row],[Colonna5]]*$Q3</f>
        <v>0.8</v>
      </c>
      <c r="X22" s="14" t="n">
        <f aca="false">Tabella52791124791618202224262830323436384042444648505254565860626468707274767880828486908892949698100102104106108110112114116118120122124126130128132134136138140142144146148150152154156158160162164[[#This Row],[Colonna6]]*$Q3</f>
        <v>4.8</v>
      </c>
      <c r="Y22" s="14" t="n">
        <f aca="false">Tabella52791124791618202224262830323436384042444648505254565860626468707274767880828486908892949698100102104106108110112114116118120122124126130128132134136138140142144146148150152154156158160162164[[#This Row],[Colonna7]]*$Q3</f>
        <v>7.2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 t="n">
        <v>1</v>
      </c>
      <c r="I23" s="13"/>
      <c r="J23" s="13"/>
      <c r="K23" s="13" t="n">
        <v>1</v>
      </c>
      <c r="L23" s="13"/>
      <c r="M23" s="13"/>
      <c r="P23" s="17" t="s">
        <v>30</v>
      </c>
      <c r="Q23" s="17"/>
      <c r="R23" s="17"/>
      <c r="S23" s="14"/>
      <c r="T23" s="14" t="n">
        <f aca="false">Tabella52791124791618202224262830323436384042444648505254565860626468707274767880828486908892949698100102104106108110112114116118120122124126130128132134136138140142144146148150152154156158160162164[[#This Row],[Colonna2]]*$Q3</f>
        <v>0.4</v>
      </c>
      <c r="U23" s="14"/>
      <c r="V23" s="14"/>
      <c r="W23" s="14" t="n">
        <f aca="false">Tabella52791124791618202224262830323436384042444648505254565860626468707274767880828486908892949698100102104106108110112114116118120122124126130128132134136138140142144146148150152154156158160162164[[#This Row],[Colonna5]]*$Q3</f>
        <v>0.4</v>
      </c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 t="n">
        <v>8</v>
      </c>
      <c r="K26" s="13" t="n">
        <v>4</v>
      </c>
      <c r="L26" s="13" t="n">
        <v>21</v>
      </c>
      <c r="M26" s="13" t="n">
        <v>17</v>
      </c>
      <c r="P26" s="12" t="s">
        <v>33</v>
      </c>
      <c r="Q26" s="12"/>
      <c r="R26" s="12"/>
      <c r="S26" s="14"/>
      <c r="T26" s="14"/>
      <c r="U26" s="14"/>
      <c r="V26" s="14" t="n">
        <f aca="false">Tabella52791124791618202224262830323436384042444648505254565860626468707274767880828486908892949698100102104106108110112114116118120122124126130128132134136138140142144146148150152154156158160162164[[#This Row],[Colonna4]]*$Q3</f>
        <v>3.2</v>
      </c>
      <c r="W26" s="14" t="n">
        <f aca="false">Tabella52791124791618202224262830323436384042444648505254565860626468707274767880828486908892949698100102104106108110112114116118120122124126130128132134136138140142144146148150152154156158160162164[[#This Row],[Colonna5]]*$Q3</f>
        <v>1.6</v>
      </c>
      <c r="X26" s="14" t="n">
        <f aca="false">Tabella52791124791618202224262830323436384042444648505254565860626468707274767880828486908892949698100102104106108110112114116118120122124126130128132134136138140142144146148150152154156158160162164[[#This Row],[Colonna6]]*$Q3</f>
        <v>8.4</v>
      </c>
      <c r="Y26" s="14" t="n">
        <f aca="false">Tabella52791124791618202224262830323436384042444648505254565860626468707274767880828486908892949698100102104106108110112114116118120122124126130128132134136138140142144146148150152154156158160162164[[#This Row],[Colonna7]]*$Q3</f>
        <v>6.8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 t="n">
        <v>1</v>
      </c>
      <c r="I27" s="166" t="n">
        <v>1</v>
      </c>
      <c r="J27" s="136"/>
      <c r="K27" s="13" t="n">
        <v>1</v>
      </c>
      <c r="L27" s="13"/>
      <c r="M27" s="13"/>
      <c r="P27" s="12" t="s">
        <v>34</v>
      </c>
      <c r="Q27" s="12"/>
      <c r="R27" s="12"/>
      <c r="S27" s="14"/>
      <c r="T27" s="14" t="n">
        <f aca="false">Tabella52791124791618202224262830323436384042444648505254565860626468707274767880828486908892949698100102104106108110112114116118120122124126130128132134136138140142144146148150152154156158160162164[[#This Row],[Colonna2]]*$Q3</f>
        <v>0.4</v>
      </c>
      <c r="U27" s="14" t="n">
        <f aca="false">Tabella52791124791618202224262830323436384042444648505254565860626468707274767880828486908892949698100102104106108110112114116118120122124126130128132134136138140142144146148150152154156158160162164[[#This Row],[Colonna3]]*$Q3</f>
        <v>0.4</v>
      </c>
      <c r="V27" s="14"/>
      <c r="W27" s="14" t="n">
        <f aca="false">Tabella52791124791618202224262830323436384042444648505254565860626468707274767880828486908892949698100102104106108110112114116118120122124126130128132134136138140142144146148150152154156158160162164[[#This Row],[Colonna5]]*$Q3</f>
        <v>0.4</v>
      </c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 t="n">
        <v>1</v>
      </c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 t="n">
        <f aca="false">Tabella52791124791618202224262830323436384042444648505254565860626468707274767880828486908892949698100102104106108110112114116118120122124126130128132134136138140142144146148150152154156158160162164[[#This Row],[Colonna6]]*$Q3</f>
        <v>0.4</v>
      </c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49</v>
      </c>
      <c r="H29" s="13" t="n">
        <v>130</v>
      </c>
      <c r="I29" s="13" t="n">
        <v>92</v>
      </c>
      <c r="J29" s="13" t="n">
        <v>38</v>
      </c>
      <c r="K29" s="13" t="n">
        <v>18</v>
      </c>
      <c r="L29" s="13" t="n">
        <v>55</v>
      </c>
      <c r="M29" s="13" t="n">
        <v>55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Tabella52791124791618202224262830323436384042444648505254565860626468707274767880828486908892949698100102104106108110112114116118120122124126130128132134136138140142144146148150152154156158160162164[[#This Row],[Colonna1]]*$Q3</f>
        <v>19.6</v>
      </c>
      <c r="T29" s="14" t="n">
        <f aca="false">Tabella52791124791618202224262830323436384042444648505254565860626468707274767880828486908892949698100102104106108110112114116118120122124126130128132134136138140142144146148150152154156158160162164[[#This Row],[Colonna2]]*$Q3</f>
        <v>52</v>
      </c>
      <c r="U29" s="14" t="n">
        <f aca="false">Tabella52791124791618202224262830323436384042444648505254565860626468707274767880828486908892949698100102104106108110112114116118120122124126130128132134136138140142144146148150152154156158160162164[[#This Row],[Colonna3]]*$Q3</f>
        <v>36.8</v>
      </c>
      <c r="V29" s="14" t="n">
        <f aca="false">Tabella52791124791618202224262830323436384042444648505254565860626468707274767880828486908892949698100102104106108110112114116118120122124126130128132134136138140142144146148150152154156158160162164[[#This Row],[Colonna4]]*$Q3</f>
        <v>15.2</v>
      </c>
      <c r="W29" s="14" t="n">
        <f aca="false">Tabella52791124791618202224262830323436384042444648505254565860626468707274767880828486908892949698100102104106108110112114116118120122124126130128132134136138140142144146148150152154156158160162164[[#This Row],[Colonna5]]*$Q3</f>
        <v>7.2</v>
      </c>
      <c r="X29" s="14" t="n">
        <f aca="false">Tabella52791124791618202224262830323436384042444648505254565860626468707274767880828486908892949698100102104106108110112114116118120122124126130128132134136138140142144146148150152154156158160162164[[#This Row],[Colonna6]]*$Q3</f>
        <v>22</v>
      </c>
      <c r="Y29" s="14" t="n">
        <f aca="false">Tabella52791124791618202224262830323436384042444648505254565860626468707274767880828486908892949698100102104106108110112114116118120122124126130128132134136138140142144146148150152154156158160162164[[#This Row],[Colonna7]]*$Q3</f>
        <v>22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 t="n">
        <v>5</v>
      </c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 t="n">
        <f aca="false">Tabella52791124791618202224262830323436384042444648505254565860626468707274767880828486908892949698100102104106108110112114116118120122124126130128132134136138140142144146148150152154156158160162164[[#This Row],[Colonna6]]*Q3</f>
        <v>2</v>
      </c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 t="n">
        <v>5</v>
      </c>
      <c r="I38" s="13" t="n">
        <v>1</v>
      </c>
      <c r="J38" s="13"/>
      <c r="K38" s="13"/>
      <c r="L38" s="13" t="n">
        <v>2</v>
      </c>
      <c r="M38" s="13" t="n">
        <v>1</v>
      </c>
      <c r="P38" s="16" t="s">
        <v>45</v>
      </c>
      <c r="Q38" s="16"/>
      <c r="R38" s="16"/>
      <c r="S38" s="14"/>
      <c r="T38" s="14" t="n">
        <f aca="false">Tabella52791124791618202224262830323436384042444648505254565860626468707274767880828486908892949698100102104106108110112114116118120122124126130128132134136138140142144146148150152154156158160162164[[#This Row],[Colonna2]]*$Q3</f>
        <v>2</v>
      </c>
      <c r="U38" s="14" t="n">
        <f aca="false">Tabella52791124791618202224262830323436384042444648505254565860626468707274767880828486908892949698100102104106108110112114116118120122124126130128132134136138140142144146148150152154156158160162164[[#This Row],[Colonna3]]*$Q3</f>
        <v>0.4</v>
      </c>
      <c r="V38" s="14"/>
      <c r="W38" s="14"/>
      <c r="X38" s="14" t="n">
        <f aca="false">Tabella52791124791618202224262830323436384042444648505254565860626468707274767880828486908892949698100102104106108110112114116118120122124126130128132134136138140142144146148150152154156158160162164[[#This Row],[Colonna6]]*$Q3</f>
        <v>0.8</v>
      </c>
      <c r="Y38" s="14" t="n">
        <f aca="false">Tabella52791124791618202224262830323436384042444648505254565860626468707274767880828486908892949698100102104106108110112114116118120122124126130128132134136138140142144146148150152154156158160162164[[#This Row],[Colonna7]]*$Q3</f>
        <v>0.4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 t="n">
        <v>8</v>
      </c>
      <c r="H40" s="13" t="n">
        <v>3</v>
      </c>
      <c r="I40" s="13"/>
      <c r="J40" s="13"/>
      <c r="K40" s="13"/>
      <c r="L40" s="13" t="n">
        <v>5</v>
      </c>
      <c r="M40" s="13"/>
      <c r="P40" s="12" t="s">
        <v>47</v>
      </c>
      <c r="Q40" s="12"/>
      <c r="R40" s="12"/>
      <c r="S40" s="14" t="n">
        <f aca="false">Tabella52791124791618202224262830323436384042444648505254565860626468707274767880828486908892949698100102104106108110112114116118120122124126130128132134136138140142144146148150152154156158160162164[[#This Row],[Colonna1]]*$Q3</f>
        <v>3.2</v>
      </c>
      <c r="T40" s="14" t="n">
        <f aca="false">Tabella52791124791618202224262830323436384042444648505254565860626468707274767880828486908892949698100102104106108110112114116118120122124126130128132134136138140142144146148150152154156158160162164[[#This Row],[Colonna2]]*$Q3</f>
        <v>1.2</v>
      </c>
      <c r="U40" s="14"/>
      <c r="V40" s="14"/>
      <c r="W40" s="14"/>
      <c r="X40" s="14" t="n">
        <f aca="false">Tabella52791124791618202224262830323436384042444648505254565860626468707274767880828486908892949698100102104106108110112114116118120122124126130128132134136138140142144146148150152154156158160162164[[#This Row],[Colonna6]]*$Q3</f>
        <v>2</v>
      </c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13</v>
      </c>
      <c r="H41" s="13" t="n">
        <v>45</v>
      </c>
      <c r="I41" s="13" t="n">
        <v>14</v>
      </c>
      <c r="J41" s="13" t="n">
        <v>3</v>
      </c>
      <c r="K41" s="13" t="n">
        <v>7</v>
      </c>
      <c r="L41" s="13" t="n">
        <v>47</v>
      </c>
      <c r="M41" s="13" t="n">
        <v>27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Tabella52791124791618202224262830323436384042444648505254565860626468707274767880828486908892949698100102104106108110112114116118120122124126130128132134136138140142144146148150152154156158160162164[[#This Row],[Colonna1]]*$Q3</f>
        <v>5.2</v>
      </c>
      <c r="T41" s="14" t="n">
        <f aca="false">Tabella52791124791618202224262830323436384042444648505254565860626468707274767880828486908892949698100102104106108110112114116118120122124126130128132134136138140142144146148150152154156158160162164[[#This Row],[Colonna2]]*$Q3</f>
        <v>18</v>
      </c>
      <c r="U41" s="14" t="n">
        <f aca="false">Tabella52791124791618202224262830323436384042444648505254565860626468707274767880828486908892949698100102104106108110112114116118120122124126130128132134136138140142144146148150152154156158160162164[[#This Row],[Colonna3]]*$Q3</f>
        <v>5.6</v>
      </c>
      <c r="V41" s="14" t="n">
        <f aca="false">Tabella52791124791618202224262830323436384042444648505254565860626468707274767880828486908892949698100102104106108110112114116118120122124126130128132134136138140142144146148150152154156158160162164[[#This Row],[Colonna4]]*$Q3</f>
        <v>1.2</v>
      </c>
      <c r="W41" s="14" t="n">
        <f aca="false">Tabella52791124791618202224262830323436384042444648505254565860626468707274767880828486908892949698100102104106108110112114116118120122124126130128132134136138140142144146148150152154156158160162164[[#This Row],[Colonna5]]*$Q3</f>
        <v>2.8</v>
      </c>
      <c r="X41" s="14" t="n">
        <f aca="false">Tabella52791124791618202224262830323436384042444648505254565860626468707274767880828486908892949698100102104106108110112114116118120122124126130128132134136138140142144146148150152154156158160162164[[#This Row],[Colonna6]]*$Q3</f>
        <v>18.8</v>
      </c>
      <c r="Y41" s="14" t="n">
        <f aca="false">Tabella52791124791618202224262830323436384042444648505254565860626468707274767880828486908892949698100102104106108110112114116118120122124126130128132134136138140142144146148150152154156158160162164[[#This Row],[Colonna7]]*$Q3</f>
        <v>10.8</v>
      </c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2</v>
      </c>
      <c r="H42" s="13" t="n">
        <v>16</v>
      </c>
      <c r="I42" s="13" t="n">
        <v>2</v>
      </c>
      <c r="J42" s="13" t="n">
        <v>5</v>
      </c>
      <c r="K42" s="13"/>
      <c r="L42" s="13" t="n">
        <v>4</v>
      </c>
      <c r="M42" s="13" t="n">
        <v>7</v>
      </c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Tabella52791124791618202224262830323436384042444648505254565860626468707274767880828486908892949698100102104106108110112114116118120122124126130128132134136138140142144146148150152154156158160162164[[#This Row],[Colonna1]]*$Q3</f>
        <v>0.8</v>
      </c>
      <c r="T42" s="14" t="n">
        <f aca="false">Tabella52791124791618202224262830323436384042444648505254565860626468707274767880828486908892949698100102104106108110112114116118120122124126130128132134136138140142144146148150152154156158160162164[[#This Row],[Colonna2]]*$Q3</f>
        <v>6.4</v>
      </c>
      <c r="U42" s="14" t="n">
        <f aca="false">Tabella52791124791618202224262830323436384042444648505254565860626468707274767880828486908892949698100102104106108110112114116118120122124126130128132134136138140142144146148150152154156158160162164[[#This Row],[Colonna3]]*$Q3</f>
        <v>0.8</v>
      </c>
      <c r="V42" s="14" t="n">
        <f aca="false">Tabella52791124791618202224262830323436384042444648505254565860626468707274767880828486908892949698100102104106108110112114116118120122124126130128132134136138140142144146148150152154156158160162164[[#This Row],[Colonna4]]*$Q3</f>
        <v>2</v>
      </c>
      <c r="W42" s="14"/>
      <c r="X42" s="14" t="n">
        <f aca="false">Tabella52791124791618202224262830323436384042444648505254565860626468707274767880828486908892949698100102104106108110112114116118120122124126130128132134136138140142144146148150152154156158160162164[[#This Row],[Colonna6]]*$Q3</f>
        <v>1.6</v>
      </c>
      <c r="Y42" s="14" t="n">
        <f aca="false">Tabella52791124791618202224262830323436384042444648505254565860626468707274767880828486908892949698100102104106108110112114116118120122124126130128132134136138140142144146148150152154156158160162164[[#This Row],[Colonna7]]*$Q3</f>
        <v>2.8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16</v>
      </c>
      <c r="H44" s="13" t="n">
        <v>13</v>
      </c>
      <c r="I44" s="13" t="n">
        <v>22</v>
      </c>
      <c r="J44" s="13" t="n">
        <v>3</v>
      </c>
      <c r="K44" s="142" t="n">
        <v>17</v>
      </c>
      <c r="L44" s="13" t="n">
        <v>23</v>
      </c>
      <c r="M44" s="142" t="n">
        <v>13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Tabella52791124791618202224262830323436384042444648505254565860626468707274767880828486908892949698100102104106108110112114116118120122124126130128132134136138140142144146148150152154156158160162164[[#This Row],[Colonna1]]*$Q3</f>
        <v>6.4</v>
      </c>
      <c r="T44" s="14" t="n">
        <f aca="false">Tabella52791124791618202224262830323436384042444648505254565860626468707274767880828486908892949698100102104106108110112114116118120122124126130128132134136138140142144146148150152154156158160162164[[#This Row],[Colonna2]]*$Q3</f>
        <v>5.2</v>
      </c>
      <c r="U44" s="14" t="n">
        <f aca="false">Tabella52791124791618202224262830323436384042444648505254565860626468707274767880828486908892949698100102104106108110112114116118120122124126130128132134136138140142144146148150152154156158160162164[[#This Row],[Colonna3]]*$Q3</f>
        <v>8.8</v>
      </c>
      <c r="V44" s="14" t="n">
        <f aca="false">Tabella52791124791618202224262830323436384042444648505254565860626468707274767880828486908892949698100102104106108110112114116118120122124126130128132134136138140142144146148150152154156158160162164[[#This Row],[Colonna4]]*$Q3</f>
        <v>1.2</v>
      </c>
      <c r="W44" s="14" t="n">
        <f aca="false">Tabella52791124791618202224262830323436384042444648505254565860626468707274767880828486908892949698100102104106108110112114116118120122124126130128132134136138140142144146148150152154156158160162164[[#This Row],[Colonna5]]*$Q3</f>
        <v>6.8</v>
      </c>
      <c r="X44" s="14" t="n">
        <f aca="false">Tabella52791124791618202224262830323436384042444648505254565860626468707274767880828486908892949698100102104106108110112114116118120122124126130128132134136138140142144146148150152154156158160162164[[#This Row],[Colonna6]]*$Q3</f>
        <v>9.2</v>
      </c>
      <c r="Y44" s="14" t="n">
        <f aca="false">Tabella52791124791618202224262830323436384042444648505254565860626468707274767880828486908892949698100102104106108110112114116118120122124126130128132134136138140142144146148150152154156158160162164[[#This Row],[Colonna7]]*$Q3</f>
        <v>5.2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12</v>
      </c>
      <c r="H49" s="142" t="n">
        <v>29</v>
      </c>
      <c r="I49" s="142" t="n">
        <v>10</v>
      </c>
      <c r="J49" s="142" t="n">
        <v>12</v>
      </c>
      <c r="K49" s="13" t="n">
        <v>2</v>
      </c>
      <c r="L49" s="13" t="n">
        <v>18</v>
      </c>
      <c r="M49" s="13" t="n">
        <v>12</v>
      </c>
      <c r="P49" s="18" t="s">
        <v>56</v>
      </c>
      <c r="Q49" s="18"/>
      <c r="R49" s="18"/>
      <c r="S49" s="14" t="n">
        <f aca="false">Tabella52791124791618202224262830323436384042444648505254565860626468707274767880828486908892949698100102104106108110112114116118120122124126130128132134136138140142144146148150152154156158160162164[[#This Row],[Colonna1]]*$Q3</f>
        <v>4.8</v>
      </c>
      <c r="T49" s="14" t="n">
        <f aca="false">Tabella52791124791618202224262830323436384042444648505254565860626468707274767880828486908892949698100102104106108110112114116118120122124126130128132134136138140142144146148150152154156158160162164[[#This Row],[Colonna2]]*$Q3</f>
        <v>11.6</v>
      </c>
      <c r="U49" s="14" t="n">
        <f aca="false">Tabella52791124791618202224262830323436384042444648505254565860626468707274767880828486908892949698100102104106108110112114116118120122124126130128132134136138140142144146148150152154156158160162164[[#This Row],[Colonna3]]*$Q3</f>
        <v>4</v>
      </c>
      <c r="V49" s="14" t="n">
        <f aca="false">Tabella52791124791618202224262830323436384042444648505254565860626468707274767880828486908892949698100102104106108110112114116118120122124126130128132134136138140142144146148150152154156158160162164[[#This Row],[Colonna4]]*$Q3</f>
        <v>4.8</v>
      </c>
      <c r="W49" s="14" t="n">
        <f aca="false">Tabella52791124791618202224262830323436384042444648505254565860626468707274767880828486908892949698100102104106108110112114116118120122124126130128132134136138140142144146148150152154156158160162164[[#This Row],[Colonna5]]*$Q3</f>
        <v>0.8</v>
      </c>
      <c r="X49" s="14" t="n">
        <f aca="false">Tabella52791124791618202224262830323436384042444648505254565860626468707274767880828486908892949698100102104106108110112114116118120122124126130128132134136138140142144146148150152154156158160162164[[#This Row],[Colonna6]]*$Q3</f>
        <v>7.2</v>
      </c>
      <c r="Y49" s="14" t="n">
        <f aca="false">Tabella52791124791618202224262830323436384042444648505254565860626468707274767880828486908892949698100102104106108110112114116118120122124126130128132134136138140142144146148150152154156158160162164[[#This Row],[Colonna7]]*$Q3</f>
        <v>4.8</v>
      </c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13</v>
      </c>
      <c r="H52" s="13" t="n">
        <v>39</v>
      </c>
      <c r="I52" s="13" t="n">
        <v>14</v>
      </c>
      <c r="J52" s="13" t="n">
        <v>26</v>
      </c>
      <c r="K52" s="13" t="n">
        <v>2</v>
      </c>
      <c r="L52" s="13" t="n">
        <v>53</v>
      </c>
      <c r="M52" s="13" t="n">
        <v>24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Tabella52791124791618202224262830323436384042444648505254565860626468707274767880828486908892949698100102104106108110112114116118120122124126130128132134136138140142144146148150152154156158160162164[[#This Row],[Colonna1]]*$Q3</f>
        <v>5.2</v>
      </c>
      <c r="T52" s="14" t="n">
        <f aca="false">Tabella52791124791618202224262830323436384042444648505254565860626468707274767880828486908892949698100102104106108110112114116118120122124126130128132134136138140142144146148150152154156158160162164[[#This Row],[Colonna2]]*$Q3</f>
        <v>15.6</v>
      </c>
      <c r="U52" s="14" t="n">
        <f aca="false">Tabella52791124791618202224262830323436384042444648505254565860626468707274767880828486908892949698100102104106108110112114116118120122124126130128132134136138140142144146148150152154156158160162164[[#This Row],[Colonna3]]*$Q3</f>
        <v>5.6</v>
      </c>
      <c r="V52" s="14" t="n">
        <f aca="false">Tabella52791124791618202224262830323436384042444648505254565860626468707274767880828486908892949698100102104106108110112114116118120122124126130128132134136138140142144146148150152154156158160162164[[#This Row],[Colonna4]]*$Q3</f>
        <v>10.4</v>
      </c>
      <c r="W52" s="14" t="n">
        <f aca="false">Tabella52791124791618202224262830323436384042444648505254565860626468707274767880828486908892949698100102104106108110112114116118120122124126130128132134136138140142144146148150152154156158160162164[[#This Row],[Colonna5]]*$Q3</f>
        <v>0.8</v>
      </c>
      <c r="X52" s="14" t="n">
        <f aca="false">Tabella52791124791618202224262830323436384042444648505254565860626468707274767880828486908892949698100102104106108110112114116118120122124126130128132134136138140142144146148150152154156158160162164[[#This Row],[Colonna6]]*$Q3</f>
        <v>21.2</v>
      </c>
      <c r="Y52" s="14" t="n">
        <f aca="false">Tabella52791124791618202224262830323436384042444648505254565860626468707274767880828486908892949698100102104106108110112114116118120122124126130128132134136138140142144146148150152154156158160162164[[#This Row],[Colonna7]]*$Q3</f>
        <v>9.6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161</v>
      </c>
      <c r="H53" s="55" t="n">
        <f aca="false">SUM(H6:H52)</f>
        <v>339</v>
      </c>
      <c r="I53" s="55" t="n">
        <f aca="false">SUM(I6:I52)</f>
        <v>197</v>
      </c>
      <c r="J53" s="55" t="n">
        <f aca="false">SUM(J6:J52)</f>
        <v>106</v>
      </c>
      <c r="K53" s="55" t="n">
        <f aca="false">SUM(K6:K52)</f>
        <v>70</v>
      </c>
      <c r="L53" s="55" t="n">
        <f aca="false">SUM(L6:L52)</f>
        <v>263</v>
      </c>
      <c r="M53" s="55" t="n">
        <f aca="false">SUM(M6:M52)</f>
        <v>198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Tabella52791124791618202224262830323436384042444648505254565860626468707274767880828486908892949698100102104106108110112114116118120122124126130128132134136138140142144146148150152154156158160162164[[#This Row],[Colonna1]]*$Q3</f>
        <v>64.4</v>
      </c>
      <c r="T53" s="56" t="n">
        <f aca="false">Tabella52791124791618202224262830323436384042444648505254565860626468707274767880828486908892949698100102104106108110112114116118120122124126130128132134136138140142144146148150152154156158160162164[[#This Row],[Colonna2]]*$Q3</f>
        <v>135.6</v>
      </c>
      <c r="U53" s="56" t="n">
        <f aca="false">Tabella52791124791618202224262830323436384042444648505254565860626468707274767880828486908892949698100102104106108110112114116118120122124126130128132134136138140142144146148150152154156158160162164[[#This Row],[Colonna3]]*$Q3</f>
        <v>78.8</v>
      </c>
      <c r="V53" s="56" t="n">
        <f aca="false">Tabella52791124791618202224262830323436384042444648505254565860626468707274767880828486908892949698100102104106108110112114116118120122124126130128132134136138140142144146148150152154156158160162164[[#This Row],[Colonna4]]*$Q3</f>
        <v>42.4</v>
      </c>
      <c r="W53" s="56" t="n">
        <f aca="false">Tabella52791124791618202224262830323436384042444648505254565860626468707274767880828486908892949698100102104106108110112114116118120122124126130128132134136138140142144146148150152154156158160162164[[#This Row],[Colonna5]]*$Q3</f>
        <v>28</v>
      </c>
      <c r="X53" s="56" t="n">
        <f aca="false">Tabella52791124791618202224262830323436384042444648505254565860626468707274767880828486908892949698100102104106108110112114116118120122124126130128132134136138140142144146148150152154156158160162164[[#This Row],[Colonna6]]*$Q3</f>
        <v>105.2</v>
      </c>
      <c r="Y53" s="56" t="n">
        <f aca="false">Tabella52791124791618202224262830323436384042444648505254565860626468707274767880828486908892949698100102104106108110112114116118120122124126130128132134136138140142144146148150152154156158160162164[[#This Row],[Colonna7]]*$Q3</f>
        <v>79.2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51</v>
      </c>
      <c r="H58" s="26" t="n">
        <v>171</v>
      </c>
      <c r="I58" s="26" t="n">
        <v>74</v>
      </c>
      <c r="J58" s="26" t="n">
        <v>41</v>
      </c>
      <c r="K58" s="26" t="n">
        <v>34</v>
      </c>
      <c r="L58" s="26" t="n">
        <v>88</v>
      </c>
      <c r="M58" s="26" t="n">
        <v>35</v>
      </c>
      <c r="P58" s="23" t="s">
        <v>62</v>
      </c>
      <c r="Q58" s="23"/>
      <c r="R58" s="23"/>
      <c r="S58" s="57" t="n">
        <f aca="false">G58*$Q3</f>
        <v>20.4</v>
      </c>
      <c r="T58" s="57" t="n">
        <f aca="false">H58*$Q3</f>
        <v>68.4</v>
      </c>
      <c r="U58" s="57" t="n">
        <f aca="false">I58*$Q3</f>
        <v>29.6</v>
      </c>
      <c r="V58" s="57" t="n">
        <f aca="false">J58*$Q3</f>
        <v>16.4</v>
      </c>
      <c r="W58" s="57" t="n">
        <f aca="false">K58*$Q3</f>
        <v>13.6</v>
      </c>
      <c r="X58" s="57" t="n">
        <f aca="false">L58*$Q3</f>
        <v>35.2</v>
      </c>
      <c r="Y58" s="27" t="n">
        <f aca="false">M58*$Q3</f>
        <v>14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8</v>
      </c>
      <c r="H62" s="26" t="n">
        <v>1</v>
      </c>
      <c r="I62" s="26" t="n">
        <v>2</v>
      </c>
      <c r="J62" s="26" t="n">
        <v>4</v>
      </c>
      <c r="K62" s="26" t="n">
        <v>5</v>
      </c>
      <c r="L62" s="26" t="n">
        <v>1</v>
      </c>
      <c r="M62" s="26" t="n">
        <v>3</v>
      </c>
      <c r="P62" s="9" t="s">
        <v>66</v>
      </c>
      <c r="Q62" s="9"/>
      <c r="R62" s="9"/>
      <c r="S62" s="57" t="n">
        <f aca="false">G62*$Q3</f>
        <v>3.2</v>
      </c>
      <c r="T62" s="57" t="n">
        <f aca="false">H62*$Q3</f>
        <v>0.4</v>
      </c>
      <c r="U62" s="57" t="n">
        <f aca="false">I62*$Q3</f>
        <v>0.8</v>
      </c>
      <c r="V62" s="57" t="n">
        <f aca="false">J62*$Q3</f>
        <v>1.6</v>
      </c>
      <c r="W62" s="57" t="n">
        <f aca="false">K62*$Q3</f>
        <v>2</v>
      </c>
      <c r="X62" s="57" t="n">
        <f aca="false">L62*$Q3</f>
        <v>0.4</v>
      </c>
      <c r="Y62" s="57" t="n">
        <f aca="false">M62*$Q3</f>
        <v>1.2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2</v>
      </c>
      <c r="H63" s="164"/>
      <c r="I63" s="13"/>
      <c r="J63" s="26"/>
      <c r="K63" s="26"/>
      <c r="L63" s="26"/>
      <c r="M63" s="26"/>
      <c r="P63" s="9" t="s">
        <v>67</v>
      </c>
      <c r="Q63" s="9"/>
      <c r="R63" s="9"/>
      <c r="S63" s="57" t="n">
        <f aca="false">G63*$Q3</f>
        <v>0.8</v>
      </c>
      <c r="T63" s="57"/>
      <c r="U63" s="57"/>
      <c r="V63" s="57"/>
      <c r="W63" s="57"/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1</v>
      </c>
      <c r="H64" s="26"/>
      <c r="I64" s="26" t="n">
        <v>3</v>
      </c>
      <c r="J64" s="26" t="n">
        <v>2</v>
      </c>
      <c r="K64" s="26"/>
      <c r="L64" s="26"/>
      <c r="M64" s="26" t="n">
        <v>4</v>
      </c>
      <c r="P64" s="9" t="s">
        <v>68</v>
      </c>
      <c r="Q64" s="9"/>
      <c r="R64" s="9"/>
      <c r="S64" s="57" t="n">
        <f aca="false">G64*$Q3</f>
        <v>0.4</v>
      </c>
      <c r="T64" s="57"/>
      <c r="U64" s="57" t="n">
        <f aca="false">I64*$Q3</f>
        <v>1.2</v>
      </c>
      <c r="V64" s="57" t="n">
        <f aca="false">J64*$Q3</f>
        <v>0.8</v>
      </c>
      <c r="W64" s="57"/>
      <c r="X64" s="57" t="n">
        <f aca="false">L64*$Q3</f>
        <v>0</v>
      </c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 t="n">
        <v>1</v>
      </c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 t="n">
        <v>1</v>
      </c>
      <c r="I67" s="139" t="n">
        <v>1</v>
      </c>
      <c r="J67" s="26" t="n">
        <v>1</v>
      </c>
      <c r="K67" s="26"/>
      <c r="L67" s="26" t="n">
        <v>1</v>
      </c>
      <c r="M67" s="26" t="n">
        <v>5</v>
      </c>
      <c r="P67" s="9" t="s">
        <v>71</v>
      </c>
      <c r="Q67" s="9"/>
      <c r="R67" s="9"/>
      <c r="S67" s="57"/>
      <c r="T67" s="57" t="n">
        <f aca="false">H67*$Q3</f>
        <v>0.4</v>
      </c>
      <c r="U67" s="57" t="n">
        <f aca="false">I67*$Q3</f>
        <v>0.4</v>
      </c>
      <c r="V67" s="57" t="n">
        <f aca="false">J67*$Q3</f>
        <v>0.4</v>
      </c>
      <c r="W67" s="57"/>
      <c r="X67" s="57" t="n">
        <f aca="false">L67*$Q3</f>
        <v>0.4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14</v>
      </c>
      <c r="H68" s="30" t="n">
        <v>41</v>
      </c>
      <c r="I68" s="30" t="n">
        <v>9</v>
      </c>
      <c r="J68" s="30" t="n">
        <v>3</v>
      </c>
      <c r="K68" s="30" t="n">
        <v>3</v>
      </c>
      <c r="L68" s="30" t="n">
        <v>11</v>
      </c>
      <c r="M68" s="30" t="n">
        <v>3</v>
      </c>
      <c r="P68" s="9" t="s">
        <v>72</v>
      </c>
      <c r="Q68" s="9"/>
      <c r="R68" s="9"/>
      <c r="S68" s="57" t="n">
        <f aca="false">G68*$Q3</f>
        <v>5.6</v>
      </c>
      <c r="T68" s="57" t="n">
        <f aca="false">H68*$Q3</f>
        <v>16.4</v>
      </c>
      <c r="U68" s="57" t="n">
        <f aca="false">I68*$Q3</f>
        <v>3.6</v>
      </c>
      <c r="V68" s="57" t="n">
        <f aca="false">J68*$Q3</f>
        <v>1.2</v>
      </c>
      <c r="W68" s="57" t="n">
        <f aca="false">K68*$Q3</f>
        <v>1.2</v>
      </c>
      <c r="X68" s="57"/>
      <c r="Y68" s="57" t="n">
        <f aca="false">M68*$Q3</f>
        <v>1.2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8</v>
      </c>
      <c r="H69" s="30"/>
      <c r="I69" s="30" t="n">
        <v>9</v>
      </c>
      <c r="J69" s="30" t="n">
        <v>2</v>
      </c>
      <c r="K69" s="30" t="n">
        <v>3</v>
      </c>
      <c r="L69" s="30" t="n">
        <v>14</v>
      </c>
      <c r="M69" s="30" t="n">
        <v>17</v>
      </c>
      <c r="P69" s="9" t="s">
        <v>73</v>
      </c>
      <c r="Q69" s="9"/>
      <c r="R69" s="9"/>
      <c r="S69" s="57" t="n">
        <f aca="false">G69*$Q3</f>
        <v>3.2</v>
      </c>
      <c r="T69" s="57"/>
      <c r="U69" s="57" t="n">
        <f aca="false">I69*$Q3</f>
        <v>3.6</v>
      </c>
      <c r="V69" s="57" t="n">
        <f aca="false">J69*$Q3</f>
        <v>0.8</v>
      </c>
      <c r="W69" s="57" t="n">
        <f aca="false">K69*$Q3</f>
        <v>1.2</v>
      </c>
      <c r="X69" s="57" t="n">
        <f aca="false">L69*$Q3</f>
        <v>5.6</v>
      </c>
      <c r="Y69" s="57" t="n">
        <f aca="false">M69*$Q3</f>
        <v>6.8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84</v>
      </c>
      <c r="H70" s="60" t="n">
        <f aca="false">SUM(H58:H69)</f>
        <v>214</v>
      </c>
      <c r="I70" s="60" t="n">
        <f aca="false">SUM(I58:I69)</f>
        <v>98</v>
      </c>
      <c r="J70" s="60" t="n">
        <f aca="false">SUM(J58:J69)</f>
        <v>54</v>
      </c>
      <c r="K70" s="60" t="n">
        <f aca="false">SUM(K58:K69)</f>
        <v>45</v>
      </c>
      <c r="L70" s="60" t="n">
        <f aca="false">SUM(L58:L69)</f>
        <v>115</v>
      </c>
      <c r="M70" s="60" t="n">
        <f aca="false">SUM(M58:M69)</f>
        <v>67</v>
      </c>
      <c r="P70" s="9" t="s">
        <v>60</v>
      </c>
      <c r="Q70" s="9"/>
      <c r="R70" s="9"/>
      <c r="S70" s="61" t="n">
        <f aca="false">G70*$Q3</f>
        <v>33.6</v>
      </c>
      <c r="T70" s="61" t="n">
        <f aca="false">H70*$Q3</f>
        <v>85.6</v>
      </c>
      <c r="U70" s="61" t="n">
        <f aca="false">I70*$Q3</f>
        <v>39.2</v>
      </c>
      <c r="V70" s="61" t="n">
        <f aca="false">J70*$Q3</f>
        <v>21.6</v>
      </c>
      <c r="W70" s="61" t="n">
        <f aca="false">K70*$Q3</f>
        <v>18</v>
      </c>
      <c r="X70" s="61" t="n">
        <f aca="false">L70*$Q3</f>
        <v>46</v>
      </c>
      <c r="Y70" s="32" t="n">
        <f aca="false">M70*$Q3</f>
        <v>26.8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B10" activeCellId="0" sqref="AB10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106</v>
      </c>
      <c r="I3" s="119" t="s">
        <v>2</v>
      </c>
      <c r="J3" s="4" t="n">
        <v>45460</v>
      </c>
      <c r="K3" s="5" t="n">
        <v>45466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106</v>
      </c>
      <c r="U3" s="119" t="s">
        <v>2</v>
      </c>
      <c r="V3" s="4" t="n">
        <v>45460</v>
      </c>
      <c r="W3" s="5" t="n">
        <v>45466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18</v>
      </c>
      <c r="H7" s="13" t="n">
        <v>21</v>
      </c>
      <c r="I7" s="13" t="n">
        <v>12</v>
      </c>
      <c r="J7" s="13" t="n">
        <v>8</v>
      </c>
      <c r="K7" s="13" t="n">
        <v>19</v>
      </c>
      <c r="L7" s="13" t="n">
        <v>9</v>
      </c>
      <c r="M7" s="13" t="n">
        <v>2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Tabella52791124791618202224262830323436384042444648505254565860626468707274767880828486908892949698100102104106108110112114116118120122124126130128132134136138140142144146148150152154156158160162164166[[#This Row],[Colonna1]]*$Q3</f>
        <v>7.2</v>
      </c>
      <c r="T7" s="14" t="n">
        <f aca="false">Tabella52791124791618202224262830323436384042444648505254565860626468707274767880828486908892949698100102104106108110112114116118120122124126130128132134136138140142144146148150152154156158160162164166[[#This Row],[Colonna2]]*$Q3</f>
        <v>8.4</v>
      </c>
      <c r="U7" s="14" t="n">
        <f aca="false">Tabella52791124791618202224262830323436384042444648505254565860626468707274767880828486908892949698100102104106108110112114116118120122124126130128132134136138140142144146148150152154156158160162164166[[#This Row],[Colonna3]]*$Q3</f>
        <v>4.8</v>
      </c>
      <c r="V7" s="14" t="n">
        <f aca="false">Tabella52791124791618202224262830323436384042444648505254565860626468707274767880828486908892949698100102104106108110112114116118120122124126130128132134136138140142144146148150152154156158160162164166[[#This Row],[Colonna4]]*$Q3</f>
        <v>3.2</v>
      </c>
      <c r="W7" s="14" t="n">
        <f aca="false">Tabella52791124791618202224262830323436384042444648505254565860626468707274767880828486908892949698100102104106108110112114116118120122124126130128132134136138140142144146148150152154156158160162164166[[#This Row],[Colonna5]]*$Q3</f>
        <v>7.6</v>
      </c>
      <c r="X7" s="14" t="n">
        <f aca="false">Tabella52791124791618202224262830323436384042444648505254565860626468707274767880828486908892949698100102104106108110112114116118120122124126130128132134136138140142144146148150152154156158160162164166[[#This Row],[Colonna6]]*$Q3</f>
        <v>3.6</v>
      </c>
      <c r="Y7" s="14" t="n">
        <f aca="false">Tabella52791124791618202224262830323436384042444648505254565860626468707274767880828486908892949698100102104106108110112114116118120122124126130128132134136138140142144146148150152154156158160162164166[[#This Row],[Colonna7]]*$Q3</f>
        <v>0.8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 t="n">
        <v>2</v>
      </c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 t="n">
        <f aca="false">Tabella52791124791618202224262830323436384042444648505254565860626468707274767880828486908892949698100102104106108110112114116118120122124126130128132134136138140142144146148150152154156158160162164166[[#This Row],[Colonna2]]*$Q3</f>
        <v>0.8</v>
      </c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2</v>
      </c>
      <c r="H12" s="13" t="n">
        <v>2</v>
      </c>
      <c r="I12" s="13" t="n">
        <v>12</v>
      </c>
      <c r="J12" s="13" t="n">
        <v>2</v>
      </c>
      <c r="K12" s="13" t="n">
        <v>4</v>
      </c>
      <c r="L12" s="13" t="n">
        <v>2</v>
      </c>
      <c r="M12" s="13"/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Tabella52791124791618202224262830323436384042444648505254565860626468707274767880828486908892949698100102104106108110112114116118120122124126130128132134136138140142144146148150152154156158160162164166[[#This Row],[Colonna1]]*$Q3</f>
        <v>0.8</v>
      </c>
      <c r="T12" s="14" t="n">
        <f aca="false">Tabella52791124791618202224262830323436384042444648505254565860626468707274767880828486908892949698100102104106108110112114116118120122124126130128132134136138140142144146148150152154156158160162164166[[#This Row],[Colonna2]]*$Q3</f>
        <v>0.8</v>
      </c>
      <c r="U12" s="14" t="n">
        <f aca="false">Tabella52791124791618202224262830323436384042444648505254565860626468707274767880828486908892949698100102104106108110112114116118120122124126130128132134136138140142144146148150152154156158160162164166[[#This Row],[Colonna3]]*$Q3</f>
        <v>4.8</v>
      </c>
      <c r="V12" s="14" t="n">
        <f aca="false">Tabella52791124791618202224262830323436384042444648505254565860626468707274767880828486908892949698100102104106108110112114116118120122124126130128132134136138140142144146148150152154156158160162164166[[#This Row],[Colonna4]]*$Q3</f>
        <v>0.8</v>
      </c>
      <c r="W12" s="14" t="n">
        <f aca="false">Tabella52791124791618202224262830323436384042444648505254565860626468707274767880828486908892949698100102104106108110112114116118120122124126130128132134136138140142144146148150152154156158160162164166[[#This Row],[Colonna5]]*$Q3</f>
        <v>1.6</v>
      </c>
      <c r="X12" s="14" t="n">
        <f aca="false">Tabella52791124791618202224262830323436384042444648505254565860626468707274767880828486908892949698100102104106108110112114116118120122124126130128132134136138140142144146148150152154156158160162164166[[#This Row],[Colonna6]]*$Q3</f>
        <v>0.8</v>
      </c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 t="n">
        <v>1</v>
      </c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20</v>
      </c>
      <c r="H22" s="13" t="n">
        <v>14</v>
      </c>
      <c r="I22" s="13" t="n">
        <v>7</v>
      </c>
      <c r="J22" s="13" t="n">
        <v>14</v>
      </c>
      <c r="K22" s="13" t="n">
        <v>16</v>
      </c>
      <c r="L22" s="13" t="n">
        <v>3</v>
      </c>
      <c r="M22" s="13" t="n">
        <v>1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Tabella52791124791618202224262830323436384042444648505254565860626468707274767880828486908892949698100102104106108110112114116118120122124126130128132134136138140142144146148150152154156158160162164166[[#This Row],[Colonna1]]*$Q3</f>
        <v>8</v>
      </c>
      <c r="T22" s="14" t="n">
        <f aca="false">Tabella52791124791618202224262830323436384042444648505254565860626468707274767880828486908892949698100102104106108110112114116118120122124126130128132134136138140142144146148150152154156158160162164166[[#This Row],[Colonna2]]*$Q3</f>
        <v>5.6</v>
      </c>
      <c r="U22" s="14" t="n">
        <f aca="false">Tabella52791124791618202224262830323436384042444648505254565860626468707274767880828486908892949698100102104106108110112114116118120122124126130128132134136138140142144146148150152154156158160162164166[[#This Row],[Colonna3]]*$Q3</f>
        <v>2.8</v>
      </c>
      <c r="V22" s="14" t="n">
        <f aca="false">Tabella52791124791618202224262830323436384042444648505254565860626468707274767880828486908892949698100102104106108110112114116118120122124126130128132134136138140142144146148150152154156158160162164166[[#This Row],[Colonna4]]*$Q3</f>
        <v>5.6</v>
      </c>
      <c r="W22" s="14" t="n">
        <f aca="false">Tabella52791124791618202224262830323436384042444648505254565860626468707274767880828486908892949698100102104106108110112114116118120122124126130128132134136138140142144146148150152154156158160162164166[[#This Row],[Colonna5]]*$Q3</f>
        <v>6.4</v>
      </c>
      <c r="X22" s="14" t="n">
        <f aca="false">Tabella52791124791618202224262830323436384042444648505254565860626468707274767880828486908892949698100102104106108110112114116118120122124126130128132134136138140142144146148150152154156158160162164166[[#This Row],[Colonna6]]*$Q3</f>
        <v>1.2</v>
      </c>
      <c r="Y22" s="14" t="n">
        <f aca="false">Tabella52791124791618202224262830323436384042444648505254565860626468707274767880828486908892949698100102104106108110112114116118120122124126130128132134136138140142144146148150152154156158160162164166[[#This Row],[Colonna7]]*$Q3</f>
        <v>0.4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10</v>
      </c>
      <c r="H26" s="13" t="n">
        <v>7</v>
      </c>
      <c r="I26" s="13" t="n">
        <v>5</v>
      </c>
      <c r="J26" s="13" t="n">
        <v>9</v>
      </c>
      <c r="K26" s="13" t="n">
        <v>32</v>
      </c>
      <c r="L26" s="13" t="n">
        <v>30</v>
      </c>
      <c r="M26" s="13" t="n">
        <v>2</v>
      </c>
      <c r="P26" s="12" t="s">
        <v>33</v>
      </c>
      <c r="Q26" s="12"/>
      <c r="R26" s="12"/>
      <c r="S26" s="14" t="n">
        <f aca="false">Tabella52791124791618202224262830323436384042444648505254565860626468707274767880828486908892949698100102104106108110112114116118120122124126130128132134136138140142144146148150152154156158160162164166[[#This Row],[Colonna1]]*$Q3</f>
        <v>4</v>
      </c>
      <c r="T26" s="14" t="n">
        <f aca="false">Tabella52791124791618202224262830323436384042444648505254565860626468707274767880828486908892949698100102104106108110112114116118120122124126130128132134136138140142144146148150152154156158160162164166[[#This Row],[Colonna2]]*$Q3</f>
        <v>2.8</v>
      </c>
      <c r="U26" s="14" t="n">
        <f aca="false">Tabella52791124791618202224262830323436384042444648505254565860626468707274767880828486908892949698100102104106108110112114116118120122124126130128132134136138140142144146148150152154156158160162164166[[#This Row],[Colonna3]]*$Q3</f>
        <v>2</v>
      </c>
      <c r="V26" s="14" t="n">
        <f aca="false">Tabella52791124791618202224262830323436384042444648505254565860626468707274767880828486908892949698100102104106108110112114116118120122124126130128132134136138140142144146148150152154156158160162164166[[#This Row],[Colonna4]]*$Q3</f>
        <v>3.6</v>
      </c>
      <c r="W26" s="14" t="n">
        <f aca="false">Tabella52791124791618202224262830323436384042444648505254565860626468707274767880828486908892949698100102104106108110112114116118120122124126130128132134136138140142144146148150152154156158160162164166[[#This Row],[Colonna5]]*$Q3</f>
        <v>12.8</v>
      </c>
      <c r="X26" s="14" t="n">
        <f aca="false">Tabella52791124791618202224262830323436384042444648505254565860626468707274767880828486908892949698100102104106108110112114116118120122124126130128132134136138140142144146148150152154156158160162164166[[#This Row],[Colonna6]]*$Q3</f>
        <v>12</v>
      </c>
      <c r="Y26" s="14" t="n">
        <f aca="false">Tabella52791124791618202224262830323436384042444648505254565860626468707274767880828486908892949698100102104106108110112114116118120122124126130128132134136138140142144146148150152154156158160162164166[[#This Row],[Colonna7]]*$Q3</f>
        <v>0.8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 t="n">
        <v>1</v>
      </c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 t="n">
        <f aca="false">Tabella52791124791618202224262830323436384042444648505254565860626468707274767880828486908892949698100102104106108110112114116118120122124126130128132134136138140142144146148150152154156158160162164166[[#This Row],[Colonna3]]*$Q3</f>
        <v>0.4</v>
      </c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63</v>
      </c>
      <c r="H29" s="13" t="n">
        <v>72</v>
      </c>
      <c r="I29" s="13" t="n">
        <v>82</v>
      </c>
      <c r="J29" s="13" t="n">
        <v>30</v>
      </c>
      <c r="K29" s="13" t="n">
        <v>36</v>
      </c>
      <c r="L29" s="13" t="n">
        <v>40</v>
      </c>
      <c r="M29" s="13" t="n">
        <v>5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Tabella52791124791618202224262830323436384042444648505254565860626468707274767880828486908892949698100102104106108110112114116118120122124126130128132134136138140142144146148150152154156158160162164166[[#This Row],[Colonna1]]*$Q3</f>
        <v>25.2</v>
      </c>
      <c r="T29" s="14" t="n">
        <f aca="false">Tabella52791124791618202224262830323436384042444648505254565860626468707274767880828486908892949698100102104106108110112114116118120122124126130128132134136138140142144146148150152154156158160162164166[[#This Row],[Colonna2]]*$Q3</f>
        <v>28.8</v>
      </c>
      <c r="U29" s="14" t="n">
        <f aca="false">Tabella52791124791618202224262830323436384042444648505254565860626468707274767880828486908892949698100102104106108110112114116118120122124126130128132134136138140142144146148150152154156158160162164166[[#This Row],[Colonna3]]*$Q3</f>
        <v>32.8</v>
      </c>
      <c r="V29" s="14" t="n">
        <f aca="false">Tabella52791124791618202224262830323436384042444648505254565860626468707274767880828486908892949698100102104106108110112114116118120122124126130128132134136138140142144146148150152154156158160162164166[[#This Row],[Colonna4]]*$Q3</f>
        <v>12</v>
      </c>
      <c r="W29" s="14" t="n">
        <f aca="false">Tabella52791124791618202224262830323436384042444648505254565860626468707274767880828486908892949698100102104106108110112114116118120122124126130128132134136138140142144146148150152154156158160162164166[[#This Row],[Colonna5]]*$Q3</f>
        <v>14.4</v>
      </c>
      <c r="X29" s="14" t="n">
        <f aca="false">Tabella52791124791618202224262830323436384042444648505254565860626468707274767880828486908892949698100102104106108110112114116118120122124126130128132134136138140142144146148150152154156158160162164166[[#This Row],[Colonna6]]*$Q3</f>
        <v>16</v>
      </c>
      <c r="Y29" s="14" t="n">
        <f aca="false">Tabella52791124791618202224262830323436384042444648505254565860626468707274767880828486908892949698100102104106108110112114116118120122124126130128132134136138140142144146148150152154156158160162164166[[#This Row],[Colonna7]]*$Q3</f>
        <v>2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 t="n">
        <v>1</v>
      </c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 t="n">
        <f aca="false">Tabella52791124791618202224262830323436384042444648505254565860626468707274767880828486908892949698100102104106108110112114116118120122124126130128132134136138140142144146148150152154156158160162164166[[#This Row],[Colonna5]]*$Q3</f>
        <v>0.4</v>
      </c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 t="n">
        <v>1</v>
      </c>
      <c r="H40" s="13"/>
      <c r="I40" s="13" t="n">
        <v>2</v>
      </c>
      <c r="J40" s="13"/>
      <c r="K40" s="13"/>
      <c r="L40" s="13" t="n">
        <v>1</v>
      </c>
      <c r="M40" s="13"/>
      <c r="P40" s="12" t="s">
        <v>47</v>
      </c>
      <c r="Q40" s="12"/>
      <c r="R40" s="12"/>
      <c r="S40" s="14" t="n">
        <f aca="false">Tabella52791124791618202224262830323436384042444648505254565860626468707274767880828486908892949698100102104106108110112114116118120122124126130128132134136138140142144146148150152154156158160162164166[[#This Row],[Colonna1]]*$Q3</f>
        <v>0.4</v>
      </c>
      <c r="T40" s="14"/>
      <c r="U40" s="14" t="n">
        <f aca="false">Tabella52791124791618202224262830323436384042444648505254565860626468707274767880828486908892949698100102104106108110112114116118120122124126130128132134136138140142144146148150152154156158160162164166[[#This Row],[Colonna3]]*$Q3</f>
        <v>0.8</v>
      </c>
      <c r="V40" s="14"/>
      <c r="W40" s="14"/>
      <c r="X40" s="14" t="n">
        <f aca="false">Tabella52791124791618202224262830323436384042444648505254565860626468707274767880828486908892949698100102104106108110112114116118120122124126130128132134136138140142144146148150152154156158160162164166[[#This Row],[Colonna6]]*$Q3</f>
        <v>0.4</v>
      </c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14</v>
      </c>
      <c r="H41" s="13" t="n">
        <v>8</v>
      </c>
      <c r="I41" s="13" t="n">
        <v>6</v>
      </c>
      <c r="J41" s="13" t="n">
        <v>4</v>
      </c>
      <c r="K41" s="13" t="n">
        <v>2</v>
      </c>
      <c r="L41" s="13" t="n">
        <v>4</v>
      </c>
      <c r="M41" s="13" t="n">
        <v>3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Tabella52791124791618202224262830323436384042444648505254565860626468707274767880828486908892949698100102104106108110112114116118120122124126130128132134136138140142144146148150152154156158160162164166[[#This Row],[Colonna1]]*$Q3</f>
        <v>5.6</v>
      </c>
      <c r="T41" s="14" t="n">
        <f aca="false">Tabella52791124791618202224262830323436384042444648505254565860626468707274767880828486908892949698100102104106108110112114116118120122124126130128132134136138140142144146148150152154156158160162164166[[#This Row],[Colonna2]]*$Q3</f>
        <v>3.2</v>
      </c>
      <c r="U41" s="14" t="n">
        <f aca="false">Tabella52791124791618202224262830323436384042444648505254565860626468707274767880828486908892949698100102104106108110112114116118120122124126130128132134136138140142144146148150152154156158160162164166[[#This Row],[Colonna3]]*$Q3</f>
        <v>2.4</v>
      </c>
      <c r="V41" s="14" t="n">
        <f aca="false">Tabella52791124791618202224262830323436384042444648505254565860626468707274767880828486908892949698100102104106108110112114116118120122124126130128132134136138140142144146148150152154156158160162164166[[#This Row],[Colonna4]]*$Q3</f>
        <v>1.6</v>
      </c>
      <c r="W41" s="14" t="n">
        <f aca="false">Tabella52791124791618202224262830323436384042444648505254565860626468707274767880828486908892949698100102104106108110112114116118120122124126130128132134136138140142144146148150152154156158160162164166[[#This Row],[Colonna5]]*$Q3</f>
        <v>0.8</v>
      </c>
      <c r="X41" s="14" t="n">
        <f aca="false">Tabella52791124791618202224262830323436384042444648505254565860626468707274767880828486908892949698100102104106108110112114116118120122124126130128132134136138140142144146148150152154156158160162164166[[#This Row],[Colonna6]]*$Q3</f>
        <v>1.6</v>
      </c>
      <c r="Y41" s="14" t="n">
        <f aca="false">Tabella52791124791618202224262830323436384042444648505254565860626468707274767880828486908892949698100102104106108110112114116118120122124126130128132134136138140142144146148150152154156158160162164166[[#This Row],[Colonna7]]*$Q3</f>
        <v>1.2</v>
      </c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1</v>
      </c>
      <c r="H42" s="13" t="n">
        <v>10</v>
      </c>
      <c r="I42" s="13" t="n">
        <v>4</v>
      </c>
      <c r="J42" s="142" t="n">
        <v>2</v>
      </c>
      <c r="K42" s="13" t="n">
        <v>6</v>
      </c>
      <c r="L42" s="13" t="n">
        <v>1</v>
      </c>
      <c r="M42" s="13" t="n">
        <v>1</v>
      </c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Tabella52791124791618202224262830323436384042444648505254565860626468707274767880828486908892949698100102104106108110112114116118120122124126130128132134136138140142144146148150152154156158160162164166[[#This Row],[Colonna1]]*$Q3</f>
        <v>0.4</v>
      </c>
      <c r="T42" s="14" t="n">
        <f aca="false">Tabella52791124791618202224262830323436384042444648505254565860626468707274767880828486908892949698100102104106108110112114116118120122124126130128132134136138140142144146148150152154156158160162164166[[#This Row],[Colonna2]]*$Q3</f>
        <v>4</v>
      </c>
      <c r="U42" s="14" t="n">
        <f aca="false">Tabella52791124791618202224262830323436384042444648505254565860626468707274767880828486908892949698100102104106108110112114116118120122124126130128132134136138140142144146148150152154156158160162164166[[#This Row],[Colonna3]]*$Q3</f>
        <v>1.6</v>
      </c>
      <c r="V42" s="14" t="n">
        <f aca="false">Tabella52791124791618202224262830323436384042444648505254565860626468707274767880828486908892949698100102104106108110112114116118120122124126130128132134136138140142144146148150152154156158160162164166[[#This Row],[Colonna4]]*$Q3</f>
        <v>0.8</v>
      </c>
      <c r="W42" s="14"/>
      <c r="X42" s="14" t="n">
        <f aca="false">Tabella52791124791618202224262830323436384042444648505254565860626468707274767880828486908892949698100102104106108110112114116118120122124126130128132134136138140142144146148150152154156158160162164166[[#This Row],[Colonna6]]*$Q3</f>
        <v>0.4</v>
      </c>
      <c r="Y42" s="14" t="n">
        <f aca="false">Tabella52791124791618202224262830323436384042444648505254565860626468707274767880828486908892949698100102104106108110112114116118120122124126130128132134136138140142144146148150152154156158160162164166[[#This Row],[Colonna7]]*$Q3</f>
        <v>0.4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14</v>
      </c>
      <c r="H44" s="13" t="n">
        <v>28</v>
      </c>
      <c r="I44" s="13" t="n">
        <v>22</v>
      </c>
      <c r="J44" s="13" t="n">
        <v>5</v>
      </c>
      <c r="K44" s="142" t="n">
        <v>14</v>
      </c>
      <c r="L44" s="13" t="n">
        <v>2</v>
      </c>
      <c r="M44" s="142" t="n">
        <v>5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Tabella52791124791618202224262830323436384042444648505254565860626468707274767880828486908892949698100102104106108110112114116118120122124126130128132134136138140142144146148150152154156158160162164166[[#This Row],[Colonna1]]*$Q3</f>
        <v>5.6</v>
      </c>
      <c r="T44" s="14" t="n">
        <f aca="false">Tabella52791124791618202224262830323436384042444648505254565860626468707274767880828486908892949698100102104106108110112114116118120122124126130128132134136138140142144146148150152154156158160162164166[[#This Row],[Colonna2]]*$Q3</f>
        <v>11.2</v>
      </c>
      <c r="U44" s="14" t="n">
        <f aca="false">Tabella52791124791618202224262830323436384042444648505254565860626468707274767880828486908892949698100102104106108110112114116118120122124126130128132134136138140142144146148150152154156158160162164166[[#This Row],[Colonna3]]*$Q3</f>
        <v>8.8</v>
      </c>
      <c r="V44" s="14" t="n">
        <f aca="false">Tabella52791124791618202224262830323436384042444648505254565860626468707274767880828486908892949698100102104106108110112114116118120122124126130128132134136138140142144146148150152154156158160162164166[[#This Row],[Colonna4]]*$Q3</f>
        <v>2</v>
      </c>
      <c r="W44" s="14" t="n">
        <f aca="false">Tabella52791124791618202224262830323436384042444648505254565860626468707274767880828486908892949698100102104106108110112114116118120122124126130128132134136138140142144146148150152154156158160162164166[[#This Row],[Colonna5]]*$Q3</f>
        <v>5.6</v>
      </c>
      <c r="X44" s="14" t="n">
        <f aca="false">Tabella52791124791618202224262830323436384042444648505254565860626468707274767880828486908892949698100102104106108110112114116118120122124126130128132134136138140142144146148150152154156158160162164166[[#This Row],[Colonna6]]*$Q3</f>
        <v>0.8</v>
      </c>
      <c r="Y44" s="14" t="n">
        <f aca="false">Tabella52791124791618202224262830323436384042444648505254565860626468707274767880828486908892949698100102104106108110112114116118120122124126130128132134136138140142144146148150152154156158160162164166[[#This Row],[Colonna7]]*$Q3</f>
        <v>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13</v>
      </c>
      <c r="H49" s="142" t="n">
        <v>12</v>
      </c>
      <c r="I49" s="142" t="n">
        <v>6</v>
      </c>
      <c r="J49" s="142" t="n">
        <v>5</v>
      </c>
      <c r="K49" s="13" t="n">
        <v>9</v>
      </c>
      <c r="L49" s="13" t="n">
        <v>1</v>
      </c>
      <c r="M49" s="13" t="n">
        <v>3</v>
      </c>
      <c r="P49" s="18" t="s">
        <v>56</v>
      </c>
      <c r="Q49" s="18"/>
      <c r="R49" s="18"/>
      <c r="S49" s="14" t="n">
        <f aca="false">Tabella52791124791618202224262830323436384042444648505254565860626468707274767880828486908892949698100102104106108110112114116118120122124126130128132134136138140142144146148150152154156158160162164166[[#This Row],[Colonna1]]*$Q3</f>
        <v>5.2</v>
      </c>
      <c r="T49" s="14" t="n">
        <f aca="false">Tabella52791124791618202224262830323436384042444648505254565860626468707274767880828486908892949698100102104106108110112114116118120122124126130128132134136138140142144146148150152154156158160162164166[[#This Row],[Colonna2]]*$Q3</f>
        <v>4.8</v>
      </c>
      <c r="U49" s="14" t="n">
        <f aca="false">Tabella52791124791618202224262830323436384042444648505254565860626468707274767880828486908892949698100102104106108110112114116118120122124126130128132134136138140142144146148150152154156158160162164166[[#This Row],[Colonna3]]*$Q3</f>
        <v>2.4</v>
      </c>
      <c r="V49" s="14" t="n">
        <f aca="false">Tabella52791124791618202224262830323436384042444648505254565860626468707274767880828486908892949698100102104106108110112114116118120122124126130128132134136138140142144146148150152154156158160162164166[[#This Row],[Colonna4]]*$Q3</f>
        <v>2</v>
      </c>
      <c r="W49" s="14" t="n">
        <f aca="false">Tabella52791124791618202224262830323436384042444648505254565860626468707274767880828486908892949698100102104106108110112114116118120122124126130128132134136138140142144146148150152154156158160162164166[[#This Row],[Colonna5]]*$Q3</f>
        <v>3.6</v>
      </c>
      <c r="X49" s="14" t="n">
        <f aca="false">Tabella52791124791618202224262830323436384042444648505254565860626468707274767880828486908892949698100102104106108110112114116118120122124126130128132134136138140142144146148150152154156158160162164166[[#This Row],[Colonna6]]*$Q3</f>
        <v>0.4</v>
      </c>
      <c r="Y49" s="14" t="n">
        <f aca="false">Tabella52791124791618202224262830323436384042444648505254565860626468707274767880828486908892949698100102104106108110112114116118120122124126130128132134136138140142144146148150152154156158160162164166[[#This Row],[Colonna7]]*$Q3</f>
        <v>1.2</v>
      </c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30</v>
      </c>
      <c r="H52" s="13" t="n">
        <v>18</v>
      </c>
      <c r="I52" s="13" t="n">
        <v>35</v>
      </c>
      <c r="J52" s="13" t="n">
        <v>22</v>
      </c>
      <c r="K52" s="13" t="n">
        <v>25</v>
      </c>
      <c r="L52" s="13" t="n">
        <v>4</v>
      </c>
      <c r="M52" s="13" t="n">
        <v>6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Tabella52791124791618202224262830323436384042444648505254565860626468707274767880828486908892949698100102104106108110112114116118120122124126130128132134136138140142144146148150152154156158160162164166[[#This Row],[Colonna1]]*$Q3</f>
        <v>12</v>
      </c>
      <c r="T52" s="14" t="n">
        <f aca="false">Tabella52791124791618202224262830323436384042444648505254565860626468707274767880828486908892949698100102104106108110112114116118120122124126130128132134136138140142144146148150152154156158160162164166[[#This Row],[Colonna2]]*$Q3</f>
        <v>7.2</v>
      </c>
      <c r="U52" s="14" t="n">
        <f aca="false">Tabella52791124791618202224262830323436384042444648505254565860626468707274767880828486908892949698100102104106108110112114116118120122124126130128132134136138140142144146148150152154156158160162164166[[#This Row],[Colonna3]]*$Q3</f>
        <v>14</v>
      </c>
      <c r="V52" s="14" t="n">
        <f aca="false">Tabella52791124791618202224262830323436384042444648505254565860626468707274767880828486908892949698100102104106108110112114116118120122124126130128132134136138140142144146148150152154156158160162164166[[#This Row],[Colonna4]]*$Q3</f>
        <v>8.8</v>
      </c>
      <c r="W52" s="14" t="n">
        <f aca="false">Tabella52791124791618202224262830323436384042444648505254565860626468707274767880828486908892949698100102104106108110112114116118120122124126130128132134136138140142144146148150152154156158160162164166[[#This Row],[Colonna5]]*$Q3</f>
        <v>10</v>
      </c>
      <c r="X52" s="14" t="n">
        <f aca="false">Tabella52791124791618202224262830323436384042444648505254565860626468707274767880828486908892949698100102104106108110112114116118120122124126130128132134136138140142144146148150152154156158160162164166[[#This Row],[Colonna6]]*$Q3</f>
        <v>1.6</v>
      </c>
      <c r="Y52" s="14" t="n">
        <f aca="false">Tabella52791124791618202224262830323436384042444648505254565860626468707274767880828486908892949698100102104106108110112114116118120122124126130128132134136138140142144146148150152154156158160162164166[[#This Row],[Colonna7]]*$Q3</f>
        <v>2.4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186</v>
      </c>
      <c r="H53" s="55" t="n">
        <f aca="false">SUM(H6:H52)</f>
        <v>194</v>
      </c>
      <c r="I53" s="55" t="n">
        <f aca="false">SUM(I6:I52)</f>
        <v>195</v>
      </c>
      <c r="J53" s="55" t="n">
        <f aca="false">SUM(J6:J52)</f>
        <v>101</v>
      </c>
      <c r="K53" s="55" t="n">
        <f aca="false">SUM(K6:K52)</f>
        <v>164</v>
      </c>
      <c r="L53" s="55" t="n">
        <f aca="false">SUM(L6:L52)</f>
        <v>97</v>
      </c>
      <c r="M53" s="55" t="n">
        <f aca="false">SUM(M6:M52)</f>
        <v>28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Tabella52791124791618202224262830323436384042444648505254565860626468707274767880828486908892949698100102104106108110112114116118120122124126130128132134136138140142144146148150152154156158160162164166[[#This Row],[Colonna1]]*$Q3</f>
        <v>74.4</v>
      </c>
      <c r="T53" s="56" t="n">
        <f aca="false">Tabella52791124791618202224262830323436384042444648505254565860626468707274767880828486908892949698100102104106108110112114116118120122124126130128132134136138140142144146148150152154156158160162164166[[#This Row],[Colonna2]]*$Q3</f>
        <v>77.6</v>
      </c>
      <c r="U53" s="56" t="n">
        <f aca="false">Tabella52791124791618202224262830323436384042444648505254565860626468707274767880828486908892949698100102104106108110112114116118120122124126130128132134136138140142144146148150152154156158160162164166[[#This Row],[Colonna3]]*$Q3</f>
        <v>78</v>
      </c>
      <c r="V53" s="56" t="n">
        <f aca="false">Tabella52791124791618202224262830323436384042444648505254565860626468707274767880828486908892949698100102104106108110112114116118120122124126130128132134136138140142144146148150152154156158160162164166[[#This Row],[Colonna4]]*$Q3</f>
        <v>40.4</v>
      </c>
      <c r="W53" s="56" t="n">
        <f aca="false">Tabella52791124791618202224262830323436384042444648505254565860626468707274767880828486908892949698100102104106108110112114116118120122124126130128132134136138140142144146148150152154156158160162164166[[#This Row],[Colonna5]]*$Q3</f>
        <v>65.6</v>
      </c>
      <c r="X53" s="56" t="n">
        <f aca="false">Tabella52791124791618202224262830323436384042444648505254565860626468707274767880828486908892949698100102104106108110112114116118120122124126130128132134136138140142144146148150152154156158160162164166[[#This Row],[Colonna6]]*$Q3</f>
        <v>38.8</v>
      </c>
      <c r="Y53" s="56" t="n">
        <f aca="false">Tabella52791124791618202224262830323436384042444648505254565860626468707274767880828486908892949698100102104106108110112114116118120122124126130128132134136138140142144146148150152154156158160162164166[[#This Row],[Colonna7]]*$Q3</f>
        <v>11.2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65</v>
      </c>
      <c r="H58" s="26" t="n">
        <v>210</v>
      </c>
      <c r="I58" s="26" t="n">
        <v>290</v>
      </c>
      <c r="J58" s="26" t="n">
        <v>130</v>
      </c>
      <c r="K58" s="26" t="n">
        <v>143</v>
      </c>
      <c r="L58" s="26" t="n">
        <v>63</v>
      </c>
      <c r="M58" s="26" t="n">
        <v>7</v>
      </c>
      <c r="P58" s="23" t="s">
        <v>62</v>
      </c>
      <c r="Q58" s="23"/>
      <c r="R58" s="23"/>
      <c r="S58" s="57" t="n">
        <f aca="false">G58*$Q3</f>
        <v>26</v>
      </c>
      <c r="T58" s="57" t="n">
        <f aca="false">H58*$Q3</f>
        <v>84</v>
      </c>
      <c r="U58" s="57" t="n">
        <f aca="false">I58*$Q3</f>
        <v>116</v>
      </c>
      <c r="V58" s="57" t="n">
        <f aca="false">J58*$Q3</f>
        <v>52</v>
      </c>
      <c r="W58" s="57" t="n">
        <f aca="false">K58*$Q3</f>
        <v>57.2</v>
      </c>
      <c r="X58" s="57" t="n">
        <f aca="false">L58*$Q3</f>
        <v>25.2</v>
      </c>
      <c r="Y58" s="27" t="n">
        <f aca="false">M58*$Q3</f>
        <v>2.8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1</v>
      </c>
      <c r="H62" s="26" t="n">
        <v>8</v>
      </c>
      <c r="I62" s="26" t="n">
        <v>3</v>
      </c>
      <c r="J62" s="26"/>
      <c r="K62" s="26" t="n">
        <v>10</v>
      </c>
      <c r="L62" s="26" t="n">
        <v>2</v>
      </c>
      <c r="M62" s="26" t="n">
        <v>4</v>
      </c>
      <c r="P62" s="9" t="s">
        <v>66</v>
      </c>
      <c r="Q62" s="9"/>
      <c r="R62" s="9"/>
      <c r="S62" s="57" t="n">
        <f aca="false">G62*$Q3</f>
        <v>0.4</v>
      </c>
      <c r="T62" s="57" t="n">
        <f aca="false">H62*$Q3</f>
        <v>3.2</v>
      </c>
      <c r="U62" s="57" t="n">
        <f aca="false">I62*$Q3</f>
        <v>1.2</v>
      </c>
      <c r="V62" s="57"/>
      <c r="W62" s="57" t="n">
        <f aca="false">K62*$Q3</f>
        <v>4</v>
      </c>
      <c r="X62" s="57" t="n">
        <f aca="false">L62*$Q3</f>
        <v>0.8</v>
      </c>
      <c r="Y62" s="57" t="n">
        <f aca="false">M62*$Q3</f>
        <v>1.6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164"/>
      <c r="I63" s="13"/>
      <c r="J63" s="26"/>
      <c r="K63" s="26"/>
      <c r="L63" s="26"/>
      <c r="M63" s="26"/>
      <c r="P63" s="9" t="s">
        <v>67</v>
      </c>
      <c r="Q63" s="9"/>
      <c r="R63" s="9"/>
      <c r="S63" s="57"/>
      <c r="T63" s="57"/>
      <c r="U63" s="57"/>
      <c r="V63" s="57"/>
      <c r="W63" s="57"/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2</v>
      </c>
      <c r="H64" s="26" t="n">
        <v>5</v>
      </c>
      <c r="I64" s="26" t="n">
        <v>4</v>
      </c>
      <c r="J64" s="26" t="n">
        <v>2</v>
      </c>
      <c r="K64" s="26" t="n">
        <v>2</v>
      </c>
      <c r="L64" s="26"/>
      <c r="M64" s="26"/>
      <c r="P64" s="9" t="s">
        <v>68</v>
      </c>
      <c r="Q64" s="9"/>
      <c r="R64" s="9"/>
      <c r="S64" s="57" t="n">
        <f aca="false">G64*$Q3</f>
        <v>0.8</v>
      </c>
      <c r="T64" s="57" t="n">
        <f aca="false">H64*$Q3</f>
        <v>2</v>
      </c>
      <c r="U64" s="57" t="n">
        <f aca="false">I64*$Q3</f>
        <v>1.6</v>
      </c>
      <c r="V64" s="57" t="n">
        <f aca="false">J64*$Q3</f>
        <v>0.8</v>
      </c>
      <c r="W64" s="57" t="n">
        <f aca="false">K64*$Q3</f>
        <v>0.8</v>
      </c>
      <c r="X64" s="57"/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 t="n">
        <v>4</v>
      </c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27" t="n">
        <f aca="false">M65*$Q3</f>
        <v>1.6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1</v>
      </c>
      <c r="H67" s="139" t="n">
        <v>2</v>
      </c>
      <c r="I67" s="139" t="n">
        <v>2</v>
      </c>
      <c r="J67" s="26"/>
      <c r="K67" s="26" t="n">
        <v>2</v>
      </c>
      <c r="L67" s="26" t="n">
        <v>2</v>
      </c>
      <c r="M67" s="26"/>
      <c r="P67" s="9" t="s">
        <v>71</v>
      </c>
      <c r="Q67" s="9"/>
      <c r="R67" s="9"/>
      <c r="S67" s="57"/>
      <c r="T67" s="57" t="n">
        <f aca="false">H67*$Q3</f>
        <v>0.8</v>
      </c>
      <c r="U67" s="57" t="n">
        <f aca="false">I67*$Q3</f>
        <v>0.8</v>
      </c>
      <c r="V67" s="57"/>
      <c r="W67" s="57" t="n">
        <f aca="false">K67*$Q3</f>
        <v>0.8</v>
      </c>
      <c r="X67" s="57" t="n">
        <f aca="false">L67*$Q3</f>
        <v>0.8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1</v>
      </c>
      <c r="H68" s="30" t="n">
        <v>5</v>
      </c>
      <c r="I68" s="30" t="n">
        <v>1</v>
      </c>
      <c r="J68" s="30" t="n">
        <v>3</v>
      </c>
      <c r="K68" s="30" t="n">
        <v>3</v>
      </c>
      <c r="L68" s="30" t="n">
        <v>5</v>
      </c>
      <c r="M68" s="30" t="n">
        <v>3</v>
      </c>
      <c r="P68" s="9" t="s">
        <v>72</v>
      </c>
      <c r="Q68" s="9"/>
      <c r="R68" s="9"/>
      <c r="S68" s="57" t="n">
        <f aca="false">G68*$Q3</f>
        <v>0.4</v>
      </c>
      <c r="T68" s="57" t="n">
        <f aca="false">H68*$Q3</f>
        <v>2</v>
      </c>
      <c r="U68" s="57" t="n">
        <f aca="false">I68*$Q3</f>
        <v>0.4</v>
      </c>
      <c r="V68" s="57" t="n">
        <f aca="false">J68*$Q3</f>
        <v>1.2</v>
      </c>
      <c r="W68" s="57" t="n">
        <f aca="false">K68*$Q3</f>
        <v>1.2</v>
      </c>
      <c r="X68" s="57" t="n">
        <f aca="false">L68*$Q3</f>
        <v>2</v>
      </c>
      <c r="Y68" s="57" t="n">
        <f aca="false">M68*$Q3</f>
        <v>1.2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62</v>
      </c>
      <c r="H69" s="30" t="n">
        <v>72</v>
      </c>
      <c r="I69" s="30" t="n">
        <v>34</v>
      </c>
      <c r="J69" s="30" t="n">
        <v>10</v>
      </c>
      <c r="K69" s="30" t="n">
        <v>36</v>
      </c>
      <c r="L69" s="30" t="n">
        <v>1</v>
      </c>
      <c r="M69" s="30" t="n">
        <v>8</v>
      </c>
      <c r="P69" s="9" t="s">
        <v>73</v>
      </c>
      <c r="Q69" s="9"/>
      <c r="R69" s="9"/>
      <c r="S69" s="57" t="n">
        <f aca="false">G69*$Q3</f>
        <v>24.8</v>
      </c>
      <c r="T69" s="57" t="n">
        <f aca="false">H69*$Q3</f>
        <v>28.8</v>
      </c>
      <c r="U69" s="57" t="n">
        <f aca="false">I69*$Q3</f>
        <v>13.6</v>
      </c>
      <c r="V69" s="57" t="n">
        <f aca="false">J69*$Q3</f>
        <v>4</v>
      </c>
      <c r="W69" s="57" t="n">
        <f aca="false">K69*$Q3</f>
        <v>14.4</v>
      </c>
      <c r="X69" s="57" t="n">
        <f aca="false">L69*$Q3</f>
        <v>0.4</v>
      </c>
      <c r="Y69" s="57" t="n">
        <f aca="false">M69*$Q3</f>
        <v>3.2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132</v>
      </c>
      <c r="H70" s="60" t="n">
        <f aca="false">SUM(H58:H69)</f>
        <v>302</v>
      </c>
      <c r="I70" s="60" t="n">
        <f aca="false">SUM(I58:I69)</f>
        <v>334</v>
      </c>
      <c r="J70" s="60" t="n">
        <f aca="false">SUM(J58:J69)</f>
        <v>145</v>
      </c>
      <c r="K70" s="60" t="n">
        <f aca="false">SUM(K58:K69)</f>
        <v>196</v>
      </c>
      <c r="L70" s="60" t="n">
        <f aca="false">SUM(L58:L69)</f>
        <v>73</v>
      </c>
      <c r="M70" s="60" t="n">
        <f aca="false">SUM(M58:M69)</f>
        <v>26</v>
      </c>
      <c r="P70" s="9" t="s">
        <v>60</v>
      </c>
      <c r="Q70" s="9"/>
      <c r="R70" s="9"/>
      <c r="S70" s="61" t="n">
        <f aca="false">G70*$Q3</f>
        <v>52.8</v>
      </c>
      <c r="T70" s="61" t="n">
        <f aca="false">H70*$Q3</f>
        <v>120.8</v>
      </c>
      <c r="U70" s="61" t="n">
        <f aca="false">I70*$Q3</f>
        <v>133.6</v>
      </c>
      <c r="V70" s="61" t="n">
        <f aca="false">J70*$Q3</f>
        <v>58</v>
      </c>
      <c r="W70" s="61" t="n">
        <f aca="false">K70*$Q3</f>
        <v>78.4</v>
      </c>
      <c r="X70" s="61" t="n">
        <f aca="false">L70*$Q3</f>
        <v>29.2</v>
      </c>
      <c r="Y70" s="32" t="n">
        <f aca="false">M70*$Q3</f>
        <v>10.4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N69" activeCellId="0" sqref="N69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106</v>
      </c>
      <c r="I3" s="119" t="s">
        <v>2</v>
      </c>
      <c r="J3" s="4" t="n">
        <v>45467</v>
      </c>
      <c r="K3" s="5" t="n">
        <v>45473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106</v>
      </c>
      <c r="U3" s="119" t="s">
        <v>2</v>
      </c>
      <c r="V3" s="4" t="n">
        <v>45467</v>
      </c>
      <c r="W3" s="5" t="n">
        <v>45473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Tabella52791124791618202224262830323436384042444648505254565860626468707274767880828486908892949698100102104106108110112114116118120122124126130128132134136138140142144146148150152154156158160162164166168[[#This Row],[Colonna1]]*$Q3</f>
        <v>0</v>
      </c>
      <c r="T7" s="14" t="n">
        <f aca="false">Tabella52791124791618202224262830323436384042444648505254565860626468707274767880828486908892949698100102104106108110112114116118120122124126130128132134136138140142144146148150152154156158160162164166168[[#This Row],[Colonna2]]*$Q3</f>
        <v>0</v>
      </c>
      <c r="U7" s="14" t="n">
        <f aca="false">Tabella52791124791618202224262830323436384042444648505254565860626468707274767880828486908892949698100102104106108110112114116118120122124126130128132134136138140142144146148150152154156158160162164166168[[#This Row],[Colonna3]]*$Q3</f>
        <v>0</v>
      </c>
      <c r="V7" s="14" t="n">
        <f aca="false">Tabella52791124791618202224262830323436384042444648505254565860626468707274767880828486908892949698100102104106108110112114116118120122124126130128132134136138140142144146148150152154156158160162164166168[[#This Row],[Colonna4]]*$Q3</f>
        <v>0</v>
      </c>
      <c r="W7" s="14" t="n">
        <f aca="false">Tabella52791124791618202224262830323436384042444648505254565860626468707274767880828486908892949698100102104106108110112114116118120122124126130128132134136138140142144146148150152154156158160162164166168[[#This Row],[Colonna5]]*$Q3</f>
        <v>0</v>
      </c>
      <c r="X7" s="14" t="n">
        <f aca="false">Tabella52791124791618202224262830323436384042444648505254565860626468707274767880828486908892949698100102104106108110112114116118120122124126130128132134136138140142144146148150152154156158160162164166168[[#This Row],[Colonna6]]*$Q3</f>
        <v>0</v>
      </c>
      <c r="Y7" s="14" t="n">
        <f aca="false">Tabella52791124791618202224262830323436384042444648505254565860626468707274767880828486908892949698100102104106108110112114116118120122124126130128132134136138140142144146148150152154156158160162164166168[[#This Row],[Colonna7]]*$Q3</f>
        <v>0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 t="n">
        <f aca="false">Tabella52791124791618202224262830323436384042444648505254565860626468707274767880828486908892949698100102104106108110112114116118120122124126130128132134136138140142144146148150152154156158160162164166168[[#This Row],[Colonna2]]*$Q3</f>
        <v>0</v>
      </c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Tabella52791124791618202224262830323436384042444648505254565860626468707274767880828486908892949698100102104106108110112114116118120122124126130128132134136138140142144146148150152154156158160162164166168[[#This Row],[Colonna1]]*$Q3</f>
        <v>0</v>
      </c>
      <c r="T12" s="14" t="n">
        <f aca="false">Tabella52791124791618202224262830323436384042444648505254565860626468707274767880828486908892949698100102104106108110112114116118120122124126130128132134136138140142144146148150152154156158160162164166168[[#This Row],[Colonna2]]*$Q3</f>
        <v>0</v>
      </c>
      <c r="U12" s="14" t="n">
        <f aca="false">Tabella52791124791618202224262830323436384042444648505254565860626468707274767880828486908892949698100102104106108110112114116118120122124126130128132134136138140142144146148150152154156158160162164166168[[#This Row],[Colonna3]]*$Q3</f>
        <v>0</v>
      </c>
      <c r="V12" s="14" t="n">
        <f aca="false">Tabella52791124791618202224262830323436384042444648505254565860626468707274767880828486908892949698100102104106108110112114116118120122124126130128132134136138140142144146148150152154156158160162164166168[[#This Row],[Colonna4]]*$Q3</f>
        <v>0</v>
      </c>
      <c r="W12" s="14" t="n">
        <f aca="false">Tabella52791124791618202224262830323436384042444648505254565860626468707274767880828486908892949698100102104106108110112114116118120122124126130128132134136138140142144146148150152154156158160162164166168[[#This Row],[Colonna5]]*$Q3</f>
        <v>0</v>
      </c>
      <c r="X12" s="14" t="n">
        <f aca="false">Tabella52791124791618202224262830323436384042444648505254565860626468707274767880828486908892949698100102104106108110112114116118120122124126130128132134136138140142144146148150152154156158160162164166168[[#This Row],[Colonna6]]*$Q3</f>
        <v>0</v>
      </c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Tabella52791124791618202224262830323436384042444648505254565860626468707274767880828486908892949698100102104106108110112114116118120122124126130128132134136138140142144146148150152154156158160162164166168[[#This Row],[Colonna1]]*$Q3</f>
        <v>0</v>
      </c>
      <c r="T22" s="14" t="n">
        <f aca="false">Tabella52791124791618202224262830323436384042444648505254565860626468707274767880828486908892949698100102104106108110112114116118120122124126130128132134136138140142144146148150152154156158160162164166168[[#This Row],[Colonna2]]*$Q3</f>
        <v>0</v>
      </c>
      <c r="U22" s="14" t="n">
        <f aca="false">Tabella52791124791618202224262830323436384042444648505254565860626468707274767880828486908892949698100102104106108110112114116118120122124126130128132134136138140142144146148150152154156158160162164166168[[#This Row],[Colonna3]]*$Q3</f>
        <v>0</v>
      </c>
      <c r="V22" s="14" t="n">
        <f aca="false">Tabella52791124791618202224262830323436384042444648505254565860626468707274767880828486908892949698100102104106108110112114116118120122124126130128132134136138140142144146148150152154156158160162164166168[[#This Row],[Colonna4]]*$Q3</f>
        <v>0</v>
      </c>
      <c r="W22" s="14" t="n">
        <f aca="false">Tabella52791124791618202224262830323436384042444648505254565860626468707274767880828486908892949698100102104106108110112114116118120122124126130128132134136138140142144146148150152154156158160162164166168[[#This Row],[Colonna5]]*$Q3</f>
        <v>0</v>
      </c>
      <c r="X22" s="14" t="n">
        <f aca="false">Tabella52791124791618202224262830323436384042444648505254565860626468707274767880828486908892949698100102104106108110112114116118120122124126130128132134136138140142144146148150152154156158160162164166168[[#This Row],[Colonna6]]*$Q3</f>
        <v>0</v>
      </c>
      <c r="Y22" s="14" t="n">
        <f aca="false">Tabella52791124791618202224262830323436384042444648505254565860626468707274767880828486908892949698100102104106108110112114116118120122124126130128132134136138140142144146148150152154156158160162164166168[[#This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 t="n">
        <f aca="false">Tabella52791124791618202224262830323436384042444648505254565860626468707274767880828486908892949698100102104106108110112114116118120122124126130128132134136138140142144146148150152154156158160162164166168[[#This Row],[Colonna1]]*$Q3</f>
        <v>0</v>
      </c>
      <c r="T26" s="14" t="n">
        <f aca="false">Tabella52791124791618202224262830323436384042444648505254565860626468707274767880828486908892949698100102104106108110112114116118120122124126130128132134136138140142144146148150152154156158160162164166168[[#This Row],[Colonna2]]*$Q3</f>
        <v>0</v>
      </c>
      <c r="U26" s="14" t="n">
        <f aca="false">Tabella52791124791618202224262830323436384042444648505254565860626468707274767880828486908892949698100102104106108110112114116118120122124126130128132134136138140142144146148150152154156158160162164166168[[#This Row],[Colonna3]]*$Q3</f>
        <v>0</v>
      </c>
      <c r="V26" s="14" t="n">
        <f aca="false">Tabella52791124791618202224262830323436384042444648505254565860626468707274767880828486908892949698100102104106108110112114116118120122124126130128132134136138140142144146148150152154156158160162164166168[[#This Row],[Colonna4]]*$Q3</f>
        <v>0</v>
      </c>
      <c r="W26" s="14" t="n">
        <f aca="false">Tabella52791124791618202224262830323436384042444648505254565860626468707274767880828486908892949698100102104106108110112114116118120122124126130128132134136138140142144146148150152154156158160162164166168[[#This Row],[Colonna5]]*$Q3</f>
        <v>0</v>
      </c>
      <c r="X26" s="14" t="n">
        <f aca="false">Tabella52791124791618202224262830323436384042444648505254565860626468707274767880828486908892949698100102104106108110112114116118120122124126130128132134136138140142144146148150152154156158160162164166168[[#This Row],[Colonna6]]*$Q3</f>
        <v>0</v>
      </c>
      <c r="Y26" s="14" t="n">
        <f aca="false">Tabella52791124791618202224262830323436384042444648505254565860626468707274767880828486908892949698100102104106108110112114116118120122124126130128132134136138140142144146148150152154156158160162164166168[[#This Row],[Colonna7]]*$Q3</f>
        <v>0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 t="n">
        <f aca="false">Tabella52791124791618202224262830323436384042444648505254565860626468707274767880828486908892949698100102104106108110112114116118120122124126130128132134136138140142144146148150152154156158160162164166168[[#This Row],[Colonna3]]*$Q3</f>
        <v>0</v>
      </c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Tabella52791124791618202224262830323436384042444648505254565860626468707274767880828486908892949698100102104106108110112114116118120122124126130128132134136138140142144146148150152154156158160162164166168[[#This Row],[Colonna1]]*$Q3</f>
        <v>0</v>
      </c>
      <c r="T29" s="14" t="n">
        <f aca="false">Tabella52791124791618202224262830323436384042444648505254565860626468707274767880828486908892949698100102104106108110112114116118120122124126130128132134136138140142144146148150152154156158160162164166168[[#This Row],[Colonna2]]*$Q3</f>
        <v>0</v>
      </c>
      <c r="U29" s="14" t="n">
        <f aca="false">Tabella52791124791618202224262830323436384042444648505254565860626468707274767880828486908892949698100102104106108110112114116118120122124126130128132134136138140142144146148150152154156158160162164166168[[#This Row],[Colonna3]]*$Q3</f>
        <v>0</v>
      </c>
      <c r="V29" s="14" t="n">
        <f aca="false">Tabella52791124791618202224262830323436384042444648505254565860626468707274767880828486908892949698100102104106108110112114116118120122124126130128132134136138140142144146148150152154156158160162164166168[[#This Row],[Colonna4]]*$Q3</f>
        <v>0</v>
      </c>
      <c r="W29" s="14" t="n">
        <f aca="false">Tabella52791124791618202224262830323436384042444648505254565860626468707274767880828486908892949698100102104106108110112114116118120122124126130128132134136138140142144146148150152154156158160162164166168[[#This Row],[Colonna5]]*$Q3</f>
        <v>0</v>
      </c>
      <c r="X29" s="14" t="n">
        <f aca="false">Tabella52791124791618202224262830323436384042444648505254565860626468707274767880828486908892949698100102104106108110112114116118120122124126130128132134136138140142144146148150152154156158160162164166168[[#This Row],[Colonna6]]*$Q3</f>
        <v>0</v>
      </c>
      <c r="Y29" s="14" t="n">
        <f aca="false">Tabella52791124791618202224262830323436384042444648505254565860626468707274767880828486908892949698100102104106108110112114116118120122124126130128132134136138140142144146148150152154156158160162164166168[[#This Row],[Colonna7]]*$Q3</f>
        <v>0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 t="n">
        <f aca="false">Tabella52791124791618202224262830323436384042444648505254565860626468707274767880828486908892949698100102104106108110112114116118120122124126130128132134136138140142144146148150152154156158160162164166168[[#This Row],[Colonna5]]*$Q3</f>
        <v>0</v>
      </c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 t="n">
        <f aca="false">Tabella52791124791618202224262830323436384042444648505254565860626468707274767880828486908892949698100102104106108110112114116118120122124126130128132134136138140142144146148150152154156158160162164166168[[#This Row],[Colonna1]]*$Q3</f>
        <v>0</v>
      </c>
      <c r="T40" s="14"/>
      <c r="U40" s="14" t="n">
        <f aca="false">Tabella52791124791618202224262830323436384042444648505254565860626468707274767880828486908892949698100102104106108110112114116118120122124126130128132134136138140142144146148150152154156158160162164166168[[#This Row],[Colonna3]]*$Q3</f>
        <v>0</v>
      </c>
      <c r="V40" s="14"/>
      <c r="W40" s="14"/>
      <c r="X40" s="14" t="n">
        <f aca="false">Tabella52791124791618202224262830323436384042444648505254565860626468707274767880828486908892949698100102104106108110112114116118120122124126130128132134136138140142144146148150152154156158160162164166168[[#This Row],[Colonna6]]*$Q3</f>
        <v>0</v>
      </c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Tabella52791124791618202224262830323436384042444648505254565860626468707274767880828486908892949698100102104106108110112114116118120122124126130128132134136138140142144146148150152154156158160162164166168[[#This Row],[Colonna1]]*$Q3</f>
        <v>0</v>
      </c>
      <c r="T41" s="14" t="n">
        <f aca="false">Tabella52791124791618202224262830323436384042444648505254565860626468707274767880828486908892949698100102104106108110112114116118120122124126130128132134136138140142144146148150152154156158160162164166168[[#This Row],[Colonna2]]*$Q3</f>
        <v>0</v>
      </c>
      <c r="U41" s="14" t="n">
        <f aca="false">Tabella52791124791618202224262830323436384042444648505254565860626468707274767880828486908892949698100102104106108110112114116118120122124126130128132134136138140142144146148150152154156158160162164166168[[#This Row],[Colonna3]]*$Q3</f>
        <v>0</v>
      </c>
      <c r="V41" s="14" t="n">
        <f aca="false">Tabella52791124791618202224262830323436384042444648505254565860626468707274767880828486908892949698100102104106108110112114116118120122124126130128132134136138140142144146148150152154156158160162164166168[[#This Row],[Colonna4]]*$Q3</f>
        <v>0</v>
      </c>
      <c r="W41" s="14" t="n">
        <f aca="false">Tabella52791124791618202224262830323436384042444648505254565860626468707274767880828486908892949698100102104106108110112114116118120122124126130128132134136138140142144146148150152154156158160162164166168[[#This Row],[Colonna5]]*$Q3</f>
        <v>0</v>
      </c>
      <c r="X41" s="14" t="n">
        <f aca="false">Tabella52791124791618202224262830323436384042444648505254565860626468707274767880828486908892949698100102104106108110112114116118120122124126130128132134136138140142144146148150152154156158160162164166168[[#This Row],[Colonna6]]*$Q3</f>
        <v>0</v>
      </c>
      <c r="Y41" s="14" t="n">
        <f aca="false">Tabella52791124791618202224262830323436384042444648505254565860626468707274767880828486908892949698100102104106108110112114116118120122124126130128132134136138140142144146148150152154156158160162164166168[[#This Row],[Colonna7]]*$Q3</f>
        <v>0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42"/>
      <c r="K42" s="13"/>
      <c r="L42" s="13"/>
      <c r="M42" s="13"/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Tabella52791124791618202224262830323436384042444648505254565860626468707274767880828486908892949698100102104106108110112114116118120122124126130128132134136138140142144146148150152154156158160162164166168[[#This Row],[Colonna1]]*$Q3</f>
        <v>0</v>
      </c>
      <c r="T42" s="14" t="n">
        <f aca="false">Tabella52791124791618202224262830323436384042444648505254565860626468707274767880828486908892949698100102104106108110112114116118120122124126130128132134136138140142144146148150152154156158160162164166168[[#This Row],[Colonna2]]*$Q3</f>
        <v>0</v>
      </c>
      <c r="U42" s="14" t="n">
        <f aca="false">Tabella52791124791618202224262830323436384042444648505254565860626468707274767880828486908892949698100102104106108110112114116118120122124126130128132134136138140142144146148150152154156158160162164166168[[#This Row],[Colonna3]]*$Q3</f>
        <v>0</v>
      </c>
      <c r="V42" s="14" t="n">
        <f aca="false">Tabella52791124791618202224262830323436384042444648505254565860626468707274767880828486908892949698100102104106108110112114116118120122124126130128132134136138140142144146148150152154156158160162164166168[[#This Row],[Colonna4]]*$Q3</f>
        <v>0</v>
      </c>
      <c r="W42" s="14"/>
      <c r="X42" s="14" t="n">
        <f aca="false">Tabella52791124791618202224262830323436384042444648505254565860626468707274767880828486908892949698100102104106108110112114116118120122124126130128132134136138140142144146148150152154156158160162164166168[[#This Row],[Colonna6]]*$Q3</f>
        <v>0</v>
      </c>
      <c r="Y42" s="14" t="n">
        <f aca="false">Tabella52791124791618202224262830323436384042444648505254565860626468707274767880828486908892949698100102104106108110112114116118120122124126130128132134136138140142144146148150152154156158160162164166168[[#This Row],[Colonna7]]*$Q3</f>
        <v>0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42"/>
      <c r="L44" s="13"/>
      <c r="M44" s="142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Tabella52791124791618202224262830323436384042444648505254565860626468707274767880828486908892949698100102104106108110112114116118120122124126130128132134136138140142144146148150152154156158160162164166168[[#This Row],[Colonna1]]*$Q3</f>
        <v>0</v>
      </c>
      <c r="T44" s="14" t="n">
        <f aca="false">Tabella52791124791618202224262830323436384042444648505254565860626468707274767880828486908892949698100102104106108110112114116118120122124126130128132134136138140142144146148150152154156158160162164166168[[#This Row],[Colonna2]]*$Q3</f>
        <v>0</v>
      </c>
      <c r="U44" s="14" t="n">
        <f aca="false">Tabella52791124791618202224262830323436384042444648505254565860626468707274767880828486908892949698100102104106108110112114116118120122124126130128132134136138140142144146148150152154156158160162164166168[[#This Row],[Colonna3]]*$Q3</f>
        <v>0</v>
      </c>
      <c r="V44" s="14" t="n">
        <f aca="false">Tabella52791124791618202224262830323436384042444648505254565860626468707274767880828486908892949698100102104106108110112114116118120122124126130128132134136138140142144146148150152154156158160162164166168[[#This Row],[Colonna4]]*$Q3</f>
        <v>0</v>
      </c>
      <c r="W44" s="14" t="n">
        <f aca="false">Tabella52791124791618202224262830323436384042444648505254565860626468707274767880828486908892949698100102104106108110112114116118120122124126130128132134136138140142144146148150152154156158160162164166168[[#This Row],[Colonna5]]*$Q3</f>
        <v>0</v>
      </c>
      <c r="X44" s="14" t="n">
        <f aca="false">Tabella52791124791618202224262830323436384042444648505254565860626468707274767880828486908892949698100102104106108110112114116118120122124126130128132134136138140142144146148150152154156158160162164166168[[#This Row],[Colonna6]]*$Q3</f>
        <v>0</v>
      </c>
      <c r="Y44" s="14" t="n">
        <f aca="false">Tabella52791124791618202224262830323436384042444648505254565860626468707274767880828486908892949698100102104106108110112114116118120122124126130128132134136138140142144146148150152154156158160162164166168[[#This Row],[Colonna7]]*$Q3</f>
        <v>0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/>
      <c r="I49" s="142"/>
      <c r="J49" s="142"/>
      <c r="K49" s="13"/>
      <c r="L49" s="13"/>
      <c r="M49" s="13"/>
      <c r="P49" s="18" t="s">
        <v>56</v>
      </c>
      <c r="Q49" s="18"/>
      <c r="R49" s="18"/>
      <c r="S49" s="14" t="n">
        <f aca="false">Tabella52791124791618202224262830323436384042444648505254565860626468707274767880828486908892949698100102104106108110112114116118120122124126130128132134136138140142144146148150152154156158160162164166168[[#This Row],[Colonna1]]*$Q3</f>
        <v>0</v>
      </c>
      <c r="T49" s="14" t="n">
        <f aca="false">Tabella52791124791618202224262830323436384042444648505254565860626468707274767880828486908892949698100102104106108110112114116118120122124126130128132134136138140142144146148150152154156158160162164166168[[#This Row],[Colonna2]]*$Q3</f>
        <v>0</v>
      </c>
      <c r="U49" s="14" t="n">
        <f aca="false">Tabella52791124791618202224262830323436384042444648505254565860626468707274767880828486908892949698100102104106108110112114116118120122124126130128132134136138140142144146148150152154156158160162164166168[[#This Row],[Colonna3]]*$Q3</f>
        <v>0</v>
      </c>
      <c r="V49" s="14" t="n">
        <f aca="false">Tabella52791124791618202224262830323436384042444648505254565860626468707274767880828486908892949698100102104106108110112114116118120122124126130128132134136138140142144146148150152154156158160162164166168[[#This Row],[Colonna4]]*$Q3</f>
        <v>0</v>
      </c>
      <c r="W49" s="14" t="n">
        <f aca="false">Tabella52791124791618202224262830323436384042444648505254565860626468707274767880828486908892949698100102104106108110112114116118120122124126130128132134136138140142144146148150152154156158160162164166168[[#This Row],[Colonna5]]*$Q3</f>
        <v>0</v>
      </c>
      <c r="X49" s="14" t="n">
        <f aca="false">Tabella52791124791618202224262830323436384042444648505254565860626468707274767880828486908892949698100102104106108110112114116118120122124126130128132134136138140142144146148150152154156158160162164166168[[#This Row],[Colonna6]]*$Q3</f>
        <v>0</v>
      </c>
      <c r="Y49" s="14" t="n">
        <f aca="false">Tabella52791124791618202224262830323436384042444648505254565860626468707274767880828486908892949698100102104106108110112114116118120122124126130128132134136138140142144146148150152154156158160162164166168[[#This Row],[Colonna7]]*$Q3</f>
        <v>0</v>
      </c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Tabella52791124791618202224262830323436384042444648505254565860626468707274767880828486908892949698100102104106108110112114116118120122124126130128132134136138140142144146148150152154156158160162164166168[[#This Row],[Colonna1]]*$Q3</f>
        <v>0</v>
      </c>
      <c r="T52" s="14" t="n">
        <f aca="false">Tabella52791124791618202224262830323436384042444648505254565860626468707274767880828486908892949698100102104106108110112114116118120122124126130128132134136138140142144146148150152154156158160162164166168[[#This Row],[Colonna2]]*$Q3</f>
        <v>0</v>
      </c>
      <c r="U52" s="14" t="n">
        <f aca="false">Tabella52791124791618202224262830323436384042444648505254565860626468707274767880828486908892949698100102104106108110112114116118120122124126130128132134136138140142144146148150152154156158160162164166168[[#This Row],[Colonna3]]*$Q3</f>
        <v>0</v>
      </c>
      <c r="V52" s="14" t="n">
        <f aca="false">Tabella52791124791618202224262830323436384042444648505254565860626468707274767880828486908892949698100102104106108110112114116118120122124126130128132134136138140142144146148150152154156158160162164166168[[#This Row],[Colonna4]]*$Q3</f>
        <v>0</v>
      </c>
      <c r="W52" s="14" t="n">
        <f aca="false">Tabella52791124791618202224262830323436384042444648505254565860626468707274767880828486908892949698100102104106108110112114116118120122124126130128132134136138140142144146148150152154156158160162164166168[[#This Row],[Colonna5]]*$Q3</f>
        <v>0</v>
      </c>
      <c r="X52" s="14" t="n">
        <f aca="false">Tabella52791124791618202224262830323436384042444648505254565860626468707274767880828486908892949698100102104106108110112114116118120122124126130128132134136138140142144146148150152154156158160162164166168[[#This Row],[Colonna6]]*$Q3</f>
        <v>0</v>
      </c>
      <c r="Y52" s="14" t="n">
        <f aca="false">Tabella52791124791618202224262830323436384042444648505254565860626468707274767880828486908892949698100102104106108110112114116118120122124126130128132134136138140142144146148150152154156158160162164166168[[#This Row],[Colonna7]]*$Q3</f>
        <v>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55" t="n">
        <f aca="false">SUM(L6:L52)</f>
        <v>0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Tabella52791124791618202224262830323436384042444648505254565860626468707274767880828486908892949698100102104106108110112114116118120122124126130128132134136138140142144146148150152154156158160162164166168[[#This Row],[Colonna1]]*$Q3</f>
        <v>0</v>
      </c>
      <c r="T53" s="56" t="n">
        <f aca="false">Tabella52791124791618202224262830323436384042444648505254565860626468707274767880828486908892949698100102104106108110112114116118120122124126130128132134136138140142144146148150152154156158160162164166168[[#This Row],[Colonna2]]*$Q3</f>
        <v>0</v>
      </c>
      <c r="U53" s="56" t="n">
        <f aca="false">Tabella52791124791618202224262830323436384042444648505254565860626468707274767880828486908892949698100102104106108110112114116118120122124126130128132134136138140142144146148150152154156158160162164166168[[#This Row],[Colonna3]]*$Q3</f>
        <v>0</v>
      </c>
      <c r="V53" s="56" t="n">
        <f aca="false">Tabella52791124791618202224262830323436384042444648505254565860626468707274767880828486908892949698100102104106108110112114116118120122124126130128132134136138140142144146148150152154156158160162164166168[[#This Row],[Colonna4]]*$Q3</f>
        <v>0</v>
      </c>
      <c r="W53" s="56" t="n">
        <f aca="false">Tabella52791124791618202224262830323436384042444648505254565860626468707274767880828486908892949698100102104106108110112114116118120122124126130128132134136138140142144146148150152154156158160162164166168[[#This Row],[Colonna5]]*$Q3</f>
        <v>0</v>
      </c>
      <c r="X53" s="56" t="n">
        <f aca="false">Tabella52791124791618202224262830323436384042444648505254565860626468707274767880828486908892949698100102104106108110112114116118120122124126130128132134136138140142144146148150152154156158160162164166168[[#This Row],[Colonna6]]*$Q3</f>
        <v>0</v>
      </c>
      <c r="Y53" s="56" t="n">
        <f aca="false">Tabella52791124791618202224262830323436384042444648505254565860626468707274767880828486908892949698100102104106108110112114116118120122124126130128132134136138140142144146148150152154156158160162164166168[[#This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/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27" t="n">
        <f aca="false">M58*$Q3</f>
        <v>0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/>
      <c r="W62" s="57" t="n">
        <f aca="false">K62*$Q3</f>
        <v>0</v>
      </c>
      <c r="X62" s="57" t="n">
        <f aca="false">L62*$Q3</f>
        <v>0</v>
      </c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164"/>
      <c r="I63" s="13"/>
      <c r="J63" s="26"/>
      <c r="K63" s="26"/>
      <c r="L63" s="26"/>
      <c r="M63" s="26"/>
      <c r="P63" s="9" t="s">
        <v>67</v>
      </c>
      <c r="Q63" s="9"/>
      <c r="R63" s="9"/>
      <c r="S63" s="57"/>
      <c r="T63" s="57"/>
      <c r="U63" s="57"/>
      <c r="V63" s="57"/>
      <c r="W63" s="57"/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</v>
      </c>
      <c r="U64" s="57" t="n">
        <f aca="false">I64*$Q3</f>
        <v>0</v>
      </c>
      <c r="V64" s="57" t="n">
        <f aca="false">J64*$Q3</f>
        <v>0</v>
      </c>
      <c r="W64" s="57" t="n">
        <f aca="false">K64*$Q3</f>
        <v>0</v>
      </c>
      <c r="X64" s="57"/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27" t="n">
        <f aca="false">M65*$Q3</f>
        <v>0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/>
      <c r="T67" s="57" t="n">
        <f aca="false">H67*$Q3</f>
        <v>0</v>
      </c>
      <c r="U67" s="57" t="n">
        <f aca="false">I67*$Q3</f>
        <v>0</v>
      </c>
      <c r="V67" s="57"/>
      <c r="W67" s="57" t="n">
        <f aca="false">K67*$Q3</f>
        <v>0</v>
      </c>
      <c r="X67" s="57" t="n">
        <f aca="false">L67*$Q3</f>
        <v>0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165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 t="n">
        <f aca="false">I68*$Q3</f>
        <v>0</v>
      </c>
      <c r="V68" s="57" t="n">
        <f aca="false">J68*$Q3</f>
        <v>0</v>
      </c>
      <c r="W68" s="57" t="n">
        <f aca="false">K68*$Q3</f>
        <v>0</v>
      </c>
      <c r="X68" s="57" t="n">
        <f aca="false">L68*$Q3</f>
        <v>0</v>
      </c>
      <c r="Y68" s="57" t="n">
        <f aca="false">M68*$Q3</f>
        <v>0</v>
      </c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0</v>
      </c>
      <c r="U69" s="57" t="n">
        <f aca="false">I69*$Q3</f>
        <v>0</v>
      </c>
      <c r="V69" s="57" t="n">
        <f aca="false">J69*$Q3</f>
        <v>0</v>
      </c>
      <c r="W69" s="57" t="n">
        <f aca="false">K69*$Q3</f>
        <v>0</v>
      </c>
      <c r="X69" s="57" t="n">
        <f aca="false">L69*$Q3</f>
        <v>0</v>
      </c>
      <c r="Y69" s="57" t="n">
        <f aca="false">M69*$Q3</f>
        <v>0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32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N59" activeCellId="0" sqref="N59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107</v>
      </c>
      <c r="I3" s="119" t="s">
        <v>2</v>
      </c>
      <c r="J3" s="4" t="n">
        <v>45474</v>
      </c>
      <c r="K3" s="5" t="n">
        <v>45480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107</v>
      </c>
      <c r="U3" s="119" t="s">
        <v>2</v>
      </c>
      <c r="V3" s="4" t="n">
        <v>45474</v>
      </c>
      <c r="W3" s="5" t="n">
        <v>45480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92"/>
      <c r="M6" s="92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92"/>
      <c r="M7" s="92"/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Tabella52791124791618202224262830323436384042444648505254565860626468707274767880828486908892949698100102104106108110112114116118120122124126130128132134136138140142144146148150152154156158160162164166168170[[#This Row],[Colonna1]]*$Q3</f>
        <v>0</v>
      </c>
      <c r="T7" s="14" t="n">
        <f aca="false">Tabella52791124791618202224262830323436384042444648505254565860626468707274767880828486908892949698100102104106108110112114116118120122124126130128132134136138140142144146148150152154156158160162164166168170[[#This Row],[Colonna2]]*$Q3</f>
        <v>0</v>
      </c>
      <c r="U7" s="14" t="n">
        <f aca="false">Tabella52791124791618202224262830323436384042444648505254565860626468707274767880828486908892949698100102104106108110112114116118120122124126130128132134136138140142144146148150152154156158160162164166168170[[#This Row],[Colonna3]]*$Q3</f>
        <v>0</v>
      </c>
      <c r="V7" s="14" t="n">
        <f aca="false">Tabella52791124791618202224262830323436384042444648505254565860626468707274767880828486908892949698100102104106108110112114116118120122124126130128132134136138140142144146148150152154156158160162164166168170[[#This Row],[Colonna4]]*$Q3</f>
        <v>0</v>
      </c>
      <c r="W7" s="14" t="n">
        <f aca="false">Tabella52791124791618202224262830323436384042444648505254565860626468707274767880828486908892949698100102104106108110112114116118120122124126130128132134136138140142144146148150152154156158160162164166168170[[#This Row],[Colonna5]]*$Q3</f>
        <v>0</v>
      </c>
      <c r="X7" s="14" t="n">
        <f aca="false">Tabella52791124791618202224262830323436384042444648505254565860626468707274767880828486908892949698100102104106108110112114116118120122124126130128132134136138140142144146148150152154156158160162164166168170[[#This Row],[Colonna6]]*$Q3</f>
        <v>0</v>
      </c>
      <c r="Y7" s="14" t="n">
        <f aca="false">Tabella52791124791618202224262830323436384042444648505254565860626468707274767880828486908892949698100102104106108110112114116118120122124126130128132134136138140142144146148150152154156158160162164166168170[[#This Row],[Colonna7]]*$Q3</f>
        <v>0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92"/>
      <c r="M8" s="92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92"/>
      <c r="M9" s="92"/>
      <c r="P9" s="12" t="s">
        <v>16</v>
      </c>
      <c r="Q9" s="12"/>
      <c r="R9" s="12"/>
      <c r="S9" s="14"/>
      <c r="T9" s="14" t="n">
        <f aca="false">Tabella52791124791618202224262830323436384042444648505254565860626468707274767880828486908892949698100102104106108110112114116118120122124126130128132134136138140142144146148150152154156158160162164166168170[[#This Row],[Colonna2]]*$Q3</f>
        <v>0</v>
      </c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92"/>
      <c r="M10" s="92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92"/>
      <c r="M11" s="92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92"/>
      <c r="M12" s="92"/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Tabella52791124791618202224262830323436384042444648505254565860626468707274767880828486908892949698100102104106108110112114116118120122124126130128132134136138140142144146148150152154156158160162164166168170[[#This Row],[Colonna1]]*$Q3</f>
        <v>0</v>
      </c>
      <c r="T12" s="14" t="n">
        <f aca="false">Tabella52791124791618202224262830323436384042444648505254565860626468707274767880828486908892949698100102104106108110112114116118120122124126130128132134136138140142144146148150152154156158160162164166168170[[#This Row],[Colonna2]]*$Q3</f>
        <v>0</v>
      </c>
      <c r="U12" s="14" t="n">
        <f aca="false">Tabella52791124791618202224262830323436384042444648505254565860626468707274767880828486908892949698100102104106108110112114116118120122124126130128132134136138140142144146148150152154156158160162164166168170[[#This Row],[Colonna3]]*$Q3</f>
        <v>0</v>
      </c>
      <c r="V12" s="14" t="n">
        <f aca="false">Tabella52791124791618202224262830323436384042444648505254565860626468707274767880828486908892949698100102104106108110112114116118120122124126130128132134136138140142144146148150152154156158160162164166168170[[#This Row],[Colonna4]]*$Q3</f>
        <v>0</v>
      </c>
      <c r="W12" s="14" t="n">
        <f aca="false">Tabella52791124791618202224262830323436384042444648505254565860626468707274767880828486908892949698100102104106108110112114116118120122124126130128132134136138140142144146148150152154156158160162164166168170[[#This Row],[Colonna5]]*$Q3</f>
        <v>0</v>
      </c>
      <c r="X12" s="14" t="n">
        <f aca="false">Tabella52791124791618202224262830323436384042444648505254565860626468707274767880828486908892949698100102104106108110112114116118120122124126130128132134136138140142144146148150152154156158160162164166168170[[#This Row],[Colonna6]]*$Q3</f>
        <v>0</v>
      </c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92"/>
      <c r="M13" s="92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92"/>
      <c r="M14" s="92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92"/>
      <c r="M15" s="92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92"/>
      <c r="M16" s="92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92"/>
      <c r="M17" s="92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92"/>
      <c r="M18" s="92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92"/>
      <c r="M19" s="92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92"/>
      <c r="M20" s="92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92"/>
      <c r="M21" s="92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92"/>
      <c r="M22" s="92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Tabella52791124791618202224262830323436384042444648505254565860626468707274767880828486908892949698100102104106108110112114116118120122124126130128132134136138140142144146148150152154156158160162164166168170[[#This Row],[Colonna1]]*$Q3</f>
        <v>0</v>
      </c>
      <c r="T22" s="14" t="n">
        <f aca="false">Tabella52791124791618202224262830323436384042444648505254565860626468707274767880828486908892949698100102104106108110112114116118120122124126130128132134136138140142144146148150152154156158160162164166168170[[#This Row],[Colonna2]]*$Q3</f>
        <v>0</v>
      </c>
      <c r="U22" s="14" t="n">
        <f aca="false">Tabella52791124791618202224262830323436384042444648505254565860626468707274767880828486908892949698100102104106108110112114116118120122124126130128132134136138140142144146148150152154156158160162164166168170[[#This Row],[Colonna3]]*$Q3</f>
        <v>0</v>
      </c>
      <c r="V22" s="14" t="n">
        <f aca="false">Tabella52791124791618202224262830323436384042444648505254565860626468707274767880828486908892949698100102104106108110112114116118120122124126130128132134136138140142144146148150152154156158160162164166168170[[#This Row],[Colonna4]]*$Q3</f>
        <v>0</v>
      </c>
      <c r="W22" s="14" t="n">
        <f aca="false">Tabella52791124791618202224262830323436384042444648505254565860626468707274767880828486908892949698100102104106108110112114116118120122124126130128132134136138140142144146148150152154156158160162164166168170[[#This Row],[Colonna5]]*$Q3</f>
        <v>0</v>
      </c>
      <c r="X22" s="14" t="n">
        <f aca="false">Tabella52791124791618202224262830323436384042444648505254565860626468707274767880828486908892949698100102104106108110112114116118120122124126130128132134136138140142144146148150152154156158160162164166168170[[#This Row],[Colonna6]]*$Q3</f>
        <v>0</v>
      </c>
      <c r="Y22" s="14" t="n">
        <f aca="false">Tabella52791124791618202224262830323436384042444648505254565860626468707274767880828486908892949698100102104106108110112114116118120122124126130128132134136138140142144146148150152154156158160162164166168170[[#This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92"/>
      <c r="M23" s="92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92"/>
      <c r="M24" s="92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92"/>
      <c r="M25" s="92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92"/>
      <c r="M26" s="92"/>
      <c r="P26" s="12" t="s">
        <v>33</v>
      </c>
      <c r="Q26" s="12"/>
      <c r="R26" s="12"/>
      <c r="S26" s="14" t="n">
        <f aca="false">Tabella52791124791618202224262830323436384042444648505254565860626468707274767880828486908892949698100102104106108110112114116118120122124126130128132134136138140142144146148150152154156158160162164166168170[[#This Row],[Colonna1]]*$Q3</f>
        <v>0</v>
      </c>
      <c r="T26" s="14" t="n">
        <f aca="false">Tabella52791124791618202224262830323436384042444648505254565860626468707274767880828486908892949698100102104106108110112114116118120122124126130128132134136138140142144146148150152154156158160162164166168170[[#This Row],[Colonna2]]*$Q3</f>
        <v>0</v>
      </c>
      <c r="U26" s="14" t="n">
        <f aca="false">Tabella52791124791618202224262830323436384042444648505254565860626468707274767880828486908892949698100102104106108110112114116118120122124126130128132134136138140142144146148150152154156158160162164166168170[[#This Row],[Colonna3]]*$Q3</f>
        <v>0</v>
      </c>
      <c r="V26" s="14" t="n">
        <f aca="false">Tabella52791124791618202224262830323436384042444648505254565860626468707274767880828486908892949698100102104106108110112114116118120122124126130128132134136138140142144146148150152154156158160162164166168170[[#This Row],[Colonna4]]*$Q3</f>
        <v>0</v>
      </c>
      <c r="W26" s="14" t="n">
        <f aca="false">Tabella52791124791618202224262830323436384042444648505254565860626468707274767880828486908892949698100102104106108110112114116118120122124126130128132134136138140142144146148150152154156158160162164166168170[[#This Row],[Colonna5]]*$Q3</f>
        <v>0</v>
      </c>
      <c r="X26" s="14" t="n">
        <f aca="false">Tabella52791124791618202224262830323436384042444648505254565860626468707274767880828486908892949698100102104106108110112114116118120122124126130128132134136138140142144146148150152154156158160162164166168170[[#This Row],[Colonna6]]*$Q3</f>
        <v>0</v>
      </c>
      <c r="Y26" s="14" t="n">
        <f aca="false">Tabella52791124791618202224262830323436384042444648505254565860626468707274767880828486908892949698100102104106108110112114116118120122124126130128132134136138140142144146148150152154156158160162164166168170[[#This Row],[Colonna7]]*$Q3</f>
        <v>0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92"/>
      <c r="M27" s="92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92"/>
      <c r="M28" s="92"/>
      <c r="P28" s="12" t="s">
        <v>35</v>
      </c>
      <c r="Q28" s="12"/>
      <c r="R28" s="12"/>
      <c r="S28" s="14"/>
      <c r="T28" s="14"/>
      <c r="U28" s="14" t="n">
        <f aca="false">Tabella52791124791618202224262830323436384042444648505254565860626468707274767880828486908892949698100102104106108110112114116118120122124126130128132134136138140142144146148150152154156158160162164166168170[[#This Row],[Colonna3]]*$Q3</f>
        <v>0</v>
      </c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92"/>
      <c r="M29" s="92"/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Tabella52791124791618202224262830323436384042444648505254565860626468707274767880828486908892949698100102104106108110112114116118120122124126130128132134136138140142144146148150152154156158160162164166168170[[#This Row],[Colonna1]]*$Q3</f>
        <v>0</v>
      </c>
      <c r="T29" s="14" t="n">
        <f aca="false">Tabella52791124791618202224262830323436384042444648505254565860626468707274767880828486908892949698100102104106108110112114116118120122124126130128132134136138140142144146148150152154156158160162164166168170[[#This Row],[Colonna2]]*$Q3</f>
        <v>0</v>
      </c>
      <c r="U29" s="14" t="n">
        <f aca="false">Tabella52791124791618202224262830323436384042444648505254565860626468707274767880828486908892949698100102104106108110112114116118120122124126130128132134136138140142144146148150152154156158160162164166168170[[#This Row],[Colonna3]]*$Q3</f>
        <v>0</v>
      </c>
      <c r="V29" s="14" t="n">
        <f aca="false">Tabella52791124791618202224262830323436384042444648505254565860626468707274767880828486908892949698100102104106108110112114116118120122124126130128132134136138140142144146148150152154156158160162164166168170[[#This Row],[Colonna4]]*$Q3</f>
        <v>0</v>
      </c>
      <c r="W29" s="14" t="n">
        <f aca="false">Tabella52791124791618202224262830323436384042444648505254565860626468707274767880828486908892949698100102104106108110112114116118120122124126130128132134136138140142144146148150152154156158160162164166168170[[#This Row],[Colonna5]]*$Q3</f>
        <v>0</v>
      </c>
      <c r="X29" s="14" t="n">
        <f aca="false">Tabella52791124791618202224262830323436384042444648505254565860626468707274767880828486908892949698100102104106108110112114116118120122124126130128132134136138140142144146148150152154156158160162164166168170[[#This Row],[Colonna6]]*$Q3</f>
        <v>0</v>
      </c>
      <c r="Y29" s="14" t="n">
        <f aca="false">Tabella52791124791618202224262830323436384042444648505254565860626468707274767880828486908892949698100102104106108110112114116118120122124126130128132134136138140142144146148150152154156158160162164166168170[[#This Row],[Colonna7]]*$Q3</f>
        <v>0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92"/>
      <c r="M30" s="92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92"/>
      <c r="M31" s="92"/>
      <c r="P31" s="9" t="s">
        <v>38</v>
      </c>
      <c r="Q31" s="9"/>
      <c r="R31" s="9"/>
      <c r="S31" s="14"/>
      <c r="T31" s="14"/>
      <c r="U31" s="14"/>
      <c r="V31" s="14"/>
      <c r="W31" s="14" t="n">
        <f aca="false">Tabella52791124791618202224262830323436384042444648505254565860626468707274767880828486908892949698100102104106108110112114116118120122124126130128132134136138140142144146148150152154156158160162164166168170[[#This Row],[Colonna5]]*$Q3</f>
        <v>0</v>
      </c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92"/>
      <c r="M32" s="92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92"/>
      <c r="M33" s="92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92"/>
      <c r="M34" s="92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92"/>
      <c r="M35" s="92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92"/>
      <c r="M36" s="92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92"/>
      <c r="M37" s="92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92"/>
      <c r="M38" s="92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92"/>
      <c r="M39" s="92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92"/>
      <c r="M40" s="92"/>
      <c r="P40" s="12" t="s">
        <v>47</v>
      </c>
      <c r="Q40" s="12"/>
      <c r="R40" s="12"/>
      <c r="S40" s="14" t="n">
        <f aca="false">Tabella52791124791618202224262830323436384042444648505254565860626468707274767880828486908892949698100102104106108110112114116118120122124126130128132134136138140142144146148150152154156158160162164166168170[[#This Row],[Colonna1]]*$Q3</f>
        <v>0</v>
      </c>
      <c r="T40" s="14"/>
      <c r="U40" s="14" t="n">
        <f aca="false">Tabella52791124791618202224262830323436384042444648505254565860626468707274767880828486908892949698100102104106108110112114116118120122124126130128132134136138140142144146148150152154156158160162164166168170[[#This Row],[Colonna3]]*$Q3</f>
        <v>0</v>
      </c>
      <c r="V40" s="14"/>
      <c r="W40" s="14"/>
      <c r="X40" s="14" t="n">
        <f aca="false">Tabella52791124791618202224262830323436384042444648505254565860626468707274767880828486908892949698100102104106108110112114116118120122124126130128132134136138140142144146148150152154156158160162164166168170[[#This Row],[Colonna6]]*$Q3</f>
        <v>0</v>
      </c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92"/>
      <c r="M41" s="92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Tabella52791124791618202224262830323436384042444648505254565860626468707274767880828486908892949698100102104106108110112114116118120122124126130128132134136138140142144146148150152154156158160162164166168170[[#This Row],[Colonna1]]*$Q3</f>
        <v>0</v>
      </c>
      <c r="T41" s="14" t="n">
        <f aca="false">Tabella52791124791618202224262830323436384042444648505254565860626468707274767880828486908892949698100102104106108110112114116118120122124126130128132134136138140142144146148150152154156158160162164166168170[[#This Row],[Colonna2]]*$Q3</f>
        <v>0</v>
      </c>
      <c r="U41" s="14" t="n">
        <f aca="false">Tabella52791124791618202224262830323436384042444648505254565860626468707274767880828486908892949698100102104106108110112114116118120122124126130128132134136138140142144146148150152154156158160162164166168170[[#This Row],[Colonna3]]*$Q3</f>
        <v>0</v>
      </c>
      <c r="V41" s="14" t="n">
        <f aca="false">Tabella52791124791618202224262830323436384042444648505254565860626468707274767880828486908892949698100102104106108110112114116118120122124126130128132134136138140142144146148150152154156158160162164166168170[[#This Row],[Colonna4]]*$Q3</f>
        <v>0</v>
      </c>
      <c r="W41" s="14" t="n">
        <f aca="false">Tabella52791124791618202224262830323436384042444648505254565860626468707274767880828486908892949698100102104106108110112114116118120122124126130128132134136138140142144146148150152154156158160162164166168170[[#This Row],[Colonna5]]*$Q3</f>
        <v>0</v>
      </c>
      <c r="X41" s="14" t="n">
        <f aca="false">Tabella52791124791618202224262830323436384042444648505254565860626468707274767880828486908892949698100102104106108110112114116118120122124126130128132134136138140142144146148150152154156158160162164166168170[[#This Row],[Colonna6]]*$Q3</f>
        <v>0</v>
      </c>
      <c r="Y41" s="14" t="n">
        <f aca="false">Tabella52791124791618202224262830323436384042444648505254565860626468707274767880828486908892949698100102104106108110112114116118120122124126130128132134136138140142144146148150152154156158160162164166168170[[#This Row],[Colonna7]]*$Q3</f>
        <v>0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42"/>
      <c r="K42" s="13"/>
      <c r="L42" s="92"/>
      <c r="M42" s="92"/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Tabella52791124791618202224262830323436384042444648505254565860626468707274767880828486908892949698100102104106108110112114116118120122124126130128132134136138140142144146148150152154156158160162164166168170[[#This Row],[Colonna1]]*$Q3</f>
        <v>0</v>
      </c>
      <c r="T42" s="14" t="n">
        <f aca="false">Tabella52791124791618202224262830323436384042444648505254565860626468707274767880828486908892949698100102104106108110112114116118120122124126130128132134136138140142144146148150152154156158160162164166168170[[#This Row],[Colonna2]]*$Q3</f>
        <v>0</v>
      </c>
      <c r="U42" s="14" t="n">
        <f aca="false">Tabella52791124791618202224262830323436384042444648505254565860626468707274767880828486908892949698100102104106108110112114116118120122124126130128132134136138140142144146148150152154156158160162164166168170[[#This Row],[Colonna3]]*$Q3</f>
        <v>0</v>
      </c>
      <c r="V42" s="14" t="n">
        <f aca="false">Tabella52791124791618202224262830323436384042444648505254565860626468707274767880828486908892949698100102104106108110112114116118120122124126130128132134136138140142144146148150152154156158160162164166168170[[#This Row],[Colonna4]]*$Q3</f>
        <v>0</v>
      </c>
      <c r="W42" s="14"/>
      <c r="X42" s="14" t="n">
        <f aca="false">Tabella52791124791618202224262830323436384042444648505254565860626468707274767880828486908892949698100102104106108110112114116118120122124126130128132134136138140142144146148150152154156158160162164166168170[[#This Row],[Colonna6]]*$Q3</f>
        <v>0</v>
      </c>
      <c r="Y42" s="14" t="n">
        <f aca="false">Tabella52791124791618202224262830323436384042444648505254565860626468707274767880828486908892949698100102104106108110112114116118120122124126130128132134136138140142144146148150152154156158160162164166168170[[#This Row],[Colonna7]]*$Q3</f>
        <v>0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92"/>
      <c r="M43" s="92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42"/>
      <c r="L44" s="92"/>
      <c r="M44" s="167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Tabella52791124791618202224262830323436384042444648505254565860626468707274767880828486908892949698100102104106108110112114116118120122124126130128132134136138140142144146148150152154156158160162164166168170[[#This Row],[Colonna1]]*$Q3</f>
        <v>0</v>
      </c>
      <c r="T44" s="14" t="n">
        <f aca="false">Tabella52791124791618202224262830323436384042444648505254565860626468707274767880828486908892949698100102104106108110112114116118120122124126130128132134136138140142144146148150152154156158160162164166168170[[#This Row],[Colonna2]]*$Q3</f>
        <v>0</v>
      </c>
      <c r="U44" s="14" t="n">
        <f aca="false">Tabella52791124791618202224262830323436384042444648505254565860626468707274767880828486908892949698100102104106108110112114116118120122124126130128132134136138140142144146148150152154156158160162164166168170[[#This Row],[Colonna3]]*$Q3</f>
        <v>0</v>
      </c>
      <c r="V44" s="14" t="n">
        <f aca="false">Tabella52791124791618202224262830323436384042444648505254565860626468707274767880828486908892949698100102104106108110112114116118120122124126130128132134136138140142144146148150152154156158160162164166168170[[#This Row],[Colonna4]]*$Q3</f>
        <v>0</v>
      </c>
      <c r="W44" s="14" t="n">
        <f aca="false">Tabella52791124791618202224262830323436384042444648505254565860626468707274767880828486908892949698100102104106108110112114116118120122124126130128132134136138140142144146148150152154156158160162164166168170[[#This Row],[Colonna5]]*$Q3</f>
        <v>0</v>
      </c>
      <c r="X44" s="14" t="n">
        <f aca="false">Tabella52791124791618202224262830323436384042444648505254565860626468707274767880828486908892949698100102104106108110112114116118120122124126130128132134136138140142144146148150152154156158160162164166168170[[#This Row],[Colonna6]]*$Q3</f>
        <v>0</v>
      </c>
      <c r="Y44" s="14" t="n">
        <f aca="false">Tabella52791124791618202224262830323436384042444648505254565860626468707274767880828486908892949698100102104106108110112114116118120122124126130128132134136138140142144146148150152154156158160162164166168170[[#This Row],[Colonna7]]*$Q3</f>
        <v>0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92"/>
      <c r="M45" s="92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92"/>
      <c r="M46" s="92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92"/>
      <c r="M47" s="92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92"/>
      <c r="M48" s="92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/>
      <c r="I49" s="142"/>
      <c r="J49" s="142"/>
      <c r="K49" s="13"/>
      <c r="L49" s="92"/>
      <c r="M49" s="92"/>
      <c r="P49" s="18" t="s">
        <v>56</v>
      </c>
      <c r="Q49" s="18"/>
      <c r="R49" s="18"/>
      <c r="S49" s="14" t="n">
        <f aca="false">Tabella52791124791618202224262830323436384042444648505254565860626468707274767880828486908892949698100102104106108110112114116118120122124126130128132134136138140142144146148150152154156158160162164166168170[[#This Row],[Colonna1]]*$Q3</f>
        <v>0</v>
      </c>
      <c r="T49" s="14" t="n">
        <f aca="false">Tabella52791124791618202224262830323436384042444648505254565860626468707274767880828486908892949698100102104106108110112114116118120122124126130128132134136138140142144146148150152154156158160162164166168170[[#This Row],[Colonna2]]*$Q3</f>
        <v>0</v>
      </c>
      <c r="U49" s="14" t="n">
        <f aca="false">Tabella52791124791618202224262830323436384042444648505254565860626468707274767880828486908892949698100102104106108110112114116118120122124126130128132134136138140142144146148150152154156158160162164166168170[[#This Row],[Colonna3]]*$Q3</f>
        <v>0</v>
      </c>
      <c r="V49" s="14" t="n">
        <f aca="false">Tabella52791124791618202224262830323436384042444648505254565860626468707274767880828486908892949698100102104106108110112114116118120122124126130128132134136138140142144146148150152154156158160162164166168170[[#This Row],[Colonna4]]*$Q3</f>
        <v>0</v>
      </c>
      <c r="W49" s="14" t="n">
        <f aca="false">Tabella52791124791618202224262830323436384042444648505254565860626468707274767880828486908892949698100102104106108110112114116118120122124126130128132134136138140142144146148150152154156158160162164166168170[[#This Row],[Colonna5]]*$Q3</f>
        <v>0</v>
      </c>
      <c r="X49" s="14" t="n">
        <f aca="false">Tabella52791124791618202224262830323436384042444648505254565860626468707274767880828486908892949698100102104106108110112114116118120122124126130128132134136138140142144146148150152154156158160162164166168170[[#This Row],[Colonna6]]*$Q3</f>
        <v>0</v>
      </c>
      <c r="Y49" s="14" t="n">
        <f aca="false">Tabella52791124791618202224262830323436384042444648505254565860626468707274767880828486908892949698100102104106108110112114116118120122124126130128132134136138140142144146148150152154156158160162164166168170[[#This Row],[Colonna7]]*$Q3</f>
        <v>0</v>
      </c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92"/>
      <c r="M50" s="92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92"/>
      <c r="M51" s="92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92"/>
      <c r="M52" s="92"/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Tabella52791124791618202224262830323436384042444648505254565860626468707274767880828486908892949698100102104106108110112114116118120122124126130128132134136138140142144146148150152154156158160162164166168170[[#This Row],[Colonna1]]*$Q3</f>
        <v>0</v>
      </c>
      <c r="T52" s="14" t="n">
        <f aca="false">Tabella52791124791618202224262830323436384042444648505254565860626468707274767880828486908892949698100102104106108110112114116118120122124126130128132134136138140142144146148150152154156158160162164166168170[[#This Row],[Colonna2]]*$Q3</f>
        <v>0</v>
      </c>
      <c r="U52" s="14" t="n">
        <f aca="false">Tabella52791124791618202224262830323436384042444648505254565860626468707274767880828486908892949698100102104106108110112114116118120122124126130128132134136138140142144146148150152154156158160162164166168170[[#This Row],[Colonna3]]*$Q3</f>
        <v>0</v>
      </c>
      <c r="V52" s="14" t="n">
        <f aca="false">Tabella52791124791618202224262830323436384042444648505254565860626468707274767880828486908892949698100102104106108110112114116118120122124126130128132134136138140142144146148150152154156158160162164166168170[[#This Row],[Colonna4]]*$Q3</f>
        <v>0</v>
      </c>
      <c r="W52" s="14" t="n">
        <f aca="false">Tabella52791124791618202224262830323436384042444648505254565860626468707274767880828486908892949698100102104106108110112114116118120122124126130128132134136138140142144146148150152154156158160162164166168170[[#This Row],[Colonna5]]*$Q3</f>
        <v>0</v>
      </c>
      <c r="X52" s="14" t="n">
        <f aca="false">Tabella52791124791618202224262830323436384042444648505254565860626468707274767880828486908892949698100102104106108110112114116118120122124126130128132134136138140142144146148150152154156158160162164166168170[[#This Row],[Colonna6]]*$Q3</f>
        <v>0</v>
      </c>
      <c r="Y52" s="14" t="n">
        <f aca="false">Tabella52791124791618202224262830323436384042444648505254565860626468707274767880828486908892949698100102104106108110112114116118120122124126130128132134136138140142144146148150152154156158160162164166168170[[#This Row],[Colonna7]]*$Q3</f>
        <v>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94" t="n">
        <f aca="false">SUM(L6:L52)</f>
        <v>0</v>
      </c>
      <c r="M53" s="94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Tabella52791124791618202224262830323436384042444648505254565860626468707274767880828486908892949698100102104106108110112114116118120122124126130128132134136138140142144146148150152154156158160162164166168170[[#This Row],[Colonna1]]*$Q3</f>
        <v>0</v>
      </c>
      <c r="T53" s="56" t="n">
        <f aca="false">Tabella52791124791618202224262830323436384042444648505254565860626468707274767880828486908892949698100102104106108110112114116118120122124126130128132134136138140142144146148150152154156158160162164166168170[[#This Row],[Colonna2]]*$Q3</f>
        <v>0</v>
      </c>
      <c r="U53" s="56" t="n">
        <f aca="false">Tabella52791124791618202224262830323436384042444648505254565860626468707274767880828486908892949698100102104106108110112114116118120122124126130128132134136138140142144146148150152154156158160162164166168170[[#This Row],[Colonna3]]*$Q3</f>
        <v>0</v>
      </c>
      <c r="V53" s="56" t="n">
        <f aca="false">Tabella52791124791618202224262830323436384042444648505254565860626468707274767880828486908892949698100102104106108110112114116118120122124126130128132134136138140142144146148150152154156158160162164166168170[[#This Row],[Colonna4]]*$Q3</f>
        <v>0</v>
      </c>
      <c r="W53" s="56" t="n">
        <f aca="false">Tabella52791124791618202224262830323436384042444648505254565860626468707274767880828486908892949698100102104106108110112114116118120122124126130128132134136138140142144146148150152154156158160162164166168170[[#This Row],[Colonna5]]*$Q3</f>
        <v>0</v>
      </c>
      <c r="X53" s="56" t="n">
        <f aca="false">Tabella52791124791618202224262830323436384042444648505254565860626468707274767880828486908892949698100102104106108110112114116118120122124126130128132134136138140142144146148150152154156158160162164166168170[[#This Row],[Colonna6]]*$Q3</f>
        <v>0</v>
      </c>
      <c r="Y53" s="56" t="n">
        <f aca="false">Tabella52791124791618202224262830323436384042444648505254565860626468707274767880828486908892949698100102104106108110112114116118120122124126130128132134136138140142144146148150152154156158160162164166168170[[#This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/>
      <c r="H58" s="26"/>
      <c r="I58" s="26"/>
      <c r="J58" s="26"/>
      <c r="K58" s="26"/>
      <c r="L58" s="96"/>
      <c r="M58" s="9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27" t="n">
        <f aca="false">M58*$Q3</f>
        <v>0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96"/>
      <c r="M59" s="9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96"/>
      <c r="M60" s="9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96"/>
      <c r="M61" s="9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/>
      <c r="H62" s="26"/>
      <c r="I62" s="26"/>
      <c r="J62" s="26"/>
      <c r="K62" s="26"/>
      <c r="L62" s="96"/>
      <c r="M62" s="9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/>
      <c r="W62" s="57" t="n">
        <f aca="false">K62*$Q3</f>
        <v>0</v>
      </c>
      <c r="X62" s="57" t="n">
        <f aca="false">L62*$Q3</f>
        <v>0</v>
      </c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164"/>
      <c r="I63" s="13"/>
      <c r="J63" s="26"/>
      <c r="K63" s="26"/>
      <c r="L63" s="96"/>
      <c r="M63" s="96"/>
      <c r="P63" s="9" t="s">
        <v>67</v>
      </c>
      <c r="Q63" s="9"/>
      <c r="R63" s="9"/>
      <c r="S63" s="57"/>
      <c r="T63" s="57"/>
      <c r="U63" s="57"/>
      <c r="V63" s="57"/>
      <c r="W63" s="57"/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/>
      <c r="I64" s="26"/>
      <c r="J64" s="26"/>
      <c r="K64" s="26"/>
      <c r="L64" s="96"/>
      <c r="M64" s="96"/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</v>
      </c>
      <c r="U64" s="57" t="n">
        <f aca="false">I64*$Q3</f>
        <v>0</v>
      </c>
      <c r="V64" s="57" t="n">
        <f aca="false">J64*$Q3</f>
        <v>0</v>
      </c>
      <c r="W64" s="57" t="n">
        <f aca="false">K64*$Q3</f>
        <v>0</v>
      </c>
      <c r="X64" s="57"/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96"/>
      <c r="M65" s="9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27" t="n">
        <f aca="false">M65*$Q3</f>
        <v>0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96"/>
      <c r="M66" s="9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96"/>
      <c r="M67" s="96"/>
      <c r="P67" s="9" t="s">
        <v>71</v>
      </c>
      <c r="Q67" s="9"/>
      <c r="R67" s="9"/>
      <c r="S67" s="57"/>
      <c r="T67" s="57" t="n">
        <f aca="false">H67*$Q3</f>
        <v>0</v>
      </c>
      <c r="U67" s="57" t="n">
        <f aca="false">I67*$Q3</f>
        <v>0</v>
      </c>
      <c r="V67" s="57"/>
      <c r="W67" s="57" t="n">
        <f aca="false">K67*$Q3</f>
        <v>0</v>
      </c>
      <c r="X67" s="57" t="n">
        <f aca="false">L67*$Q3</f>
        <v>0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165"/>
      <c r="H68" s="30"/>
      <c r="I68" s="30"/>
      <c r="J68" s="30"/>
      <c r="K68" s="30"/>
      <c r="L68" s="99"/>
      <c r="M68" s="99"/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 t="n">
        <f aca="false">I68*$Q3</f>
        <v>0</v>
      </c>
      <c r="V68" s="57" t="n">
        <f aca="false">J68*$Q3</f>
        <v>0</v>
      </c>
      <c r="W68" s="57" t="n">
        <f aca="false">K68*$Q3</f>
        <v>0</v>
      </c>
      <c r="X68" s="57" t="n">
        <f aca="false">L68*$Q3</f>
        <v>0</v>
      </c>
      <c r="Y68" s="57" t="n">
        <f aca="false">M68*$Q3</f>
        <v>0</v>
      </c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99"/>
      <c r="M69" s="99"/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0</v>
      </c>
      <c r="U69" s="57" t="n">
        <f aca="false">I69*$Q3</f>
        <v>0</v>
      </c>
      <c r="V69" s="57" t="n">
        <f aca="false">J69*$Q3</f>
        <v>0</v>
      </c>
      <c r="W69" s="57" t="n">
        <f aca="false">K69*$Q3</f>
        <v>0</v>
      </c>
      <c r="X69" s="57" t="n">
        <f aca="false">L69*$Q3</f>
        <v>0</v>
      </c>
      <c r="Y69" s="57" t="n">
        <f aca="false">M69*$Q3</f>
        <v>0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32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C18" activeCellId="0" sqref="AC1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107</v>
      </c>
      <c r="I3" s="119" t="s">
        <v>2</v>
      </c>
      <c r="J3" s="4" t="n">
        <v>45481</v>
      </c>
      <c r="K3" s="5" t="n">
        <v>45487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107</v>
      </c>
      <c r="U3" s="119" t="s">
        <v>2</v>
      </c>
      <c r="V3" s="4" t="n">
        <v>45481</v>
      </c>
      <c r="W3" s="5" t="n">
        <v>45487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17</v>
      </c>
      <c r="H7" s="13" t="n">
        <v>5</v>
      </c>
      <c r="I7" s="13" t="n">
        <v>154</v>
      </c>
      <c r="J7" s="13" t="n">
        <v>122</v>
      </c>
      <c r="K7" s="13" t="n">
        <v>152</v>
      </c>
      <c r="L7" s="13" t="n">
        <v>76</v>
      </c>
      <c r="M7" s="13" t="n">
        <v>70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Tabella52791124791618202224262830323436384042444648505254565860626468707274767880828486908892949698100102104106108110112114116118120122124126130128132134136138140142144146148150152154156158160162164166168170172[[#This Row],[Colonna1]]*$Q3</f>
        <v>6.8</v>
      </c>
      <c r="T7" s="14" t="n">
        <f aca="false">Tabella52791124791618202224262830323436384042444648505254565860626468707274767880828486908892949698100102104106108110112114116118120122124126130128132134136138140142144146148150152154156158160162164166168170172[[#This Row],[Colonna2]]*$Q3</f>
        <v>2</v>
      </c>
      <c r="U7" s="14" t="n">
        <f aca="false">Tabella52791124791618202224262830323436384042444648505254565860626468707274767880828486908892949698100102104106108110112114116118120122124126130128132134136138140142144146148150152154156158160162164166168170172[[#This Row],[Colonna3]]*$Q3</f>
        <v>61.6</v>
      </c>
      <c r="V7" s="14" t="n">
        <f aca="false">Tabella52791124791618202224262830323436384042444648505254565860626468707274767880828486908892949698100102104106108110112114116118120122124126130128132134136138140142144146148150152154156158160162164166168170172[[#This Row],[Colonna4]]*$Q3</f>
        <v>48.8</v>
      </c>
      <c r="W7" s="14" t="n">
        <f aca="false">Tabella52791124791618202224262830323436384042444648505254565860626468707274767880828486908892949698100102104106108110112114116118120122124126130128132134136138140142144146148150152154156158160162164166168170172[[#This Row],[Colonna5]]*$Q3</f>
        <v>60.8</v>
      </c>
      <c r="X7" s="14" t="n">
        <f aca="false">Tabella52791124791618202224262830323436384042444648505254565860626468707274767880828486908892949698100102104106108110112114116118120122124126130128132134136138140142144146148150152154156158160162164166168170172[[#This Row],[Colonna6]]*$Q3</f>
        <v>30.4</v>
      </c>
      <c r="Y7" s="14" t="n">
        <f aca="false">Tabella52791124791618202224262830323436384042444648505254565860626468707274767880828486908892949698100102104106108110112114116118120122124126130128132134136138140142144146148150152154156158160162164166168170172[[#This Row],[Colonna7]]*$Q3</f>
        <v>28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2</v>
      </c>
      <c r="H12" s="13" t="n">
        <v>3</v>
      </c>
      <c r="I12" s="13" t="n">
        <v>3</v>
      </c>
      <c r="J12" s="13"/>
      <c r="K12" s="13" t="n">
        <v>3</v>
      </c>
      <c r="L12" s="13" t="n">
        <v>1</v>
      </c>
      <c r="M12" s="13"/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Tabella52791124791618202224262830323436384042444648505254565860626468707274767880828486908892949698100102104106108110112114116118120122124126130128132134136138140142144146148150152154156158160162164166168170172[[#This Row],[Colonna1]]*$Q3</f>
        <v>0.8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Tabella52791124791618202224262830323436384042444648505254565860626468707274767880828486908892949698100102104106108110112114116118120122124126130128132134136138140142144146148150152154156158160162164166168170172[[#This Row],[Colonna2]]*$Q3</f>
        <v>1.2</v>
      </c>
      <c r="U12" s="14" t="n">
        <f aca="false">Tabella52791124791618202224262830323436384042444648505254565860626468707274767880828486908892949698100102104106108110112114116118120122124126130128132134136138140142144146148150152154156158160162164166168170172[[#This Row],[Colonna3]]*$Q3</f>
        <v>1.2</v>
      </c>
      <c r="V12" s="14"/>
      <c r="W12" s="14" t="n">
        <f aca="false">Tabella52791124791618202224262830323436384042444648505254565860626468707274767880828486908892949698100102104106108110112114116118120122124126130128132134136138140142144146148150152154156158160162164166168170172[[#This Row],[Colonna5]]*$Q3</f>
        <v>1.2</v>
      </c>
      <c r="X12" s="14" t="n">
        <f aca="false">Tabella52791124791618202224262830323436384042444648505254565860626468707274767880828486908892949698100102104106108110112114116118120122124126130128132134136138140142144146148150152154156158160162164166168170172[[#This Row],[Colonna6]]*$Q3</f>
        <v>0.4</v>
      </c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 t="n">
        <v>1</v>
      </c>
      <c r="I15" s="13"/>
      <c r="J15" s="13"/>
      <c r="K15" s="13" t="n">
        <v>2</v>
      </c>
      <c r="L15" s="13"/>
      <c r="M15" s="13"/>
      <c r="P15" s="12" t="s">
        <v>22</v>
      </c>
      <c r="Q15" s="12"/>
      <c r="R15" s="12"/>
      <c r="S15" s="14"/>
      <c r="T15" s="14" t="n">
        <f aca="false">Tabella52791124791618202224262830323436384042444648505254565860626468707274767880828486908892949698100102104106108110112114116118120122124126130128132134136138140142144146148150152154156158160162164166168170172[[#This Row],[Colonna2]]*$Q3</f>
        <v>0.4</v>
      </c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 t="n">
        <v>1</v>
      </c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 t="n">
        <f aca="false">Tabella52791124791618202224262830323436384042444648505254565860626468707274767880828486908892949698100102104106108110112114116118120122124126130128132134136138140142144146148150152154156158160162164166168170172[[#This Row],[Colonna2]]*$Q3</f>
        <v>0.4</v>
      </c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8</v>
      </c>
      <c r="H22" s="13" t="n">
        <v>10</v>
      </c>
      <c r="I22" s="13" t="n">
        <v>4</v>
      </c>
      <c r="J22" s="13" t="n">
        <v>2</v>
      </c>
      <c r="K22" s="13" t="n">
        <v>2</v>
      </c>
      <c r="L22" s="13" t="n">
        <v>1</v>
      </c>
      <c r="M22" s="13" t="n">
        <v>1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Tabella52791124791618202224262830323436384042444648505254565860626468707274767880828486908892949698100102104106108110112114116118120122124126130128132134136138140142144146148150152154156158160162164166168170172[[#This Row],[Colonna1]]*$Q3</f>
        <v>3.2</v>
      </c>
      <c r="T22" s="14" t="n">
        <f aca="false">Tabella52791124791618202224262830323436384042444648505254565860626468707274767880828486908892949698100102104106108110112114116118120122124126130128132134136138140142144146148150152154156158160162164166168170172[[#This Row],[Colonna2]]*$Q3</f>
        <v>4</v>
      </c>
      <c r="U22" s="14" t="n">
        <f aca="false">Tabella52791124791618202224262830323436384042444648505254565860626468707274767880828486908892949698100102104106108110112114116118120122124126130128132134136138140142144146148150152154156158160162164166168170172[[#This Row],[Colonna3]]*$Q3</f>
        <v>1.6</v>
      </c>
      <c r="V22" s="14" t="n">
        <f aca="false">Tabella52791124791618202224262830323436384042444648505254565860626468707274767880828486908892949698100102104106108110112114116118120122124126130128132134136138140142144146148150152154156158160162164166168170172[[#This Row],[Colonna4]]*$Q3</f>
        <v>0.8</v>
      </c>
      <c r="W22" s="14" t="n">
        <f aca="false">Tabella52791124791618202224262830323436384042444648505254565860626468707274767880828486908892949698100102104106108110112114116118120122124126130128132134136138140142144146148150152154156158160162164166168170172[[#This Row],[Colonna5]]*$Q3</f>
        <v>0.8</v>
      </c>
      <c r="X22" s="14" t="n">
        <f aca="false">Tabella52791124791618202224262830323436384042444648505254565860626468707274767880828486908892949698100102104106108110112114116118120122124126130128132134136138140142144146148150152154156158160162164166168170172[[#This Row],[Colonna6]]*$Q3</f>
        <v>0.4</v>
      </c>
      <c r="Y22" s="14" t="n">
        <f aca="false">Tabella52791124791618202224262830323436384042444648505254565860626468707274767880828486908892949698100102104106108110112114116118120122124126130128132134136138140142144146148150152154156158160162164166168170172[[#This Row],[Colonna7]]*$Q3</f>
        <v>0.4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29</v>
      </c>
      <c r="H26" s="13" t="n">
        <v>39</v>
      </c>
      <c r="I26" s="13" t="n">
        <v>41</v>
      </c>
      <c r="J26" s="13" t="n">
        <v>15</v>
      </c>
      <c r="K26" s="13" t="n">
        <v>10</v>
      </c>
      <c r="L26" s="13"/>
      <c r="M26" s="13" t="n">
        <v>5</v>
      </c>
      <c r="P26" s="12" t="s">
        <v>33</v>
      </c>
      <c r="Q26" s="12"/>
      <c r="R26" s="12"/>
      <c r="S26" s="14" t="n">
        <f aca="false">Tabella52791124791618202224262830323436384042444648505254565860626468707274767880828486908892949698100102104106108110112114116118120122124126130128132134136138140142144146148150152154156158160162164166168170172[[#This Row],[Colonna1]]*$Q3</f>
        <v>11.6</v>
      </c>
      <c r="T26" s="14" t="n">
        <f aca="false">Tabella52791124791618202224262830323436384042444648505254565860626468707274767880828486908892949698100102104106108110112114116118120122124126130128132134136138140142144146148150152154156158160162164166168170172[[#This Row],[Colonna2]]*$Q3</f>
        <v>15.6</v>
      </c>
      <c r="U26" s="14" t="n">
        <f aca="false">Tabella52791124791618202224262830323436384042444648505254565860626468707274767880828486908892949698100102104106108110112114116118120122124126130128132134136138140142144146148150152154156158160162164166168170172[[#This Row],[Colonna3]]*$Q3</f>
        <v>16.4</v>
      </c>
      <c r="V26" s="14" t="n">
        <f aca="false">Tabella52791124791618202224262830323436384042444648505254565860626468707274767880828486908892949698100102104106108110112114116118120122124126130128132134136138140142144146148150152154156158160162164166168170172[[#This Row],[Colonna4]]*$Q3</f>
        <v>6</v>
      </c>
      <c r="W26" s="14" t="n">
        <f aca="false">Tabella52791124791618202224262830323436384042444648505254565860626468707274767880828486908892949698100102104106108110112114116118120122124126130128132134136138140142144146148150152154156158160162164166168170172[[#This Row],[Colonna5]]*$Q3</f>
        <v>4</v>
      </c>
      <c r="X26" s="14"/>
      <c r="Y26" s="14" t="n">
        <f aca="false">Tabella52791124791618202224262830323436384042444648505254565860626468707274767880828486908892949698100102104106108110112114116118120122124126130128132134136138140142144146148150152154156158160162164166168170172[[#This Row],[Colonna7]]*$Q3</f>
        <v>2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77</v>
      </c>
      <c r="H29" s="13" t="n">
        <v>64</v>
      </c>
      <c r="I29" s="13" t="n">
        <v>85</v>
      </c>
      <c r="J29" s="13" t="n">
        <v>15</v>
      </c>
      <c r="K29" s="13" t="n">
        <v>84</v>
      </c>
      <c r="L29" s="13" t="n">
        <v>10</v>
      </c>
      <c r="M29" s="13" t="n">
        <v>15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Tabella52791124791618202224262830323436384042444648505254565860626468707274767880828486908892949698100102104106108110112114116118120122124126130128132134136138140142144146148150152154156158160162164166168170172[[#This Row],[Colonna1]]*$Q3</f>
        <v>30.8</v>
      </c>
      <c r="T29" s="14" t="n">
        <f aca="false">Tabella52791124791618202224262830323436384042444648505254565860626468707274767880828486908892949698100102104106108110112114116118120122124126130128132134136138140142144146148150152154156158160162164166168170172[[#This Row],[Colonna2]]*$Q3</f>
        <v>25.6</v>
      </c>
      <c r="U29" s="14" t="n">
        <f aca="false">Tabella52791124791618202224262830323436384042444648505254565860626468707274767880828486908892949698100102104106108110112114116118120122124126130128132134136138140142144146148150152154156158160162164166168170172[[#This Row],[Colonna3]]*$Q3</f>
        <v>34</v>
      </c>
      <c r="V29" s="14" t="n">
        <f aca="false">Tabella52791124791618202224262830323436384042444648505254565860626468707274767880828486908892949698100102104106108110112114116118120122124126130128132134136138140142144146148150152154156158160162164166168170172[[#This Row],[Colonna4]]*$Q3</f>
        <v>6</v>
      </c>
      <c r="W29" s="14" t="n">
        <f aca="false">Tabella52791124791618202224262830323436384042444648505254565860626468707274767880828486908892949698100102104106108110112114116118120122124126130128132134136138140142144146148150152154156158160162164166168170172[[#This Row],[Colonna5]]*$Q3</f>
        <v>33.6</v>
      </c>
      <c r="X29" s="14" t="n">
        <f aca="false">Tabella52791124791618202224262830323436384042444648505254565860626468707274767880828486908892949698100102104106108110112114116118120122124126130128132134136138140142144146148150152154156158160162164166168170172[[#This Row],[Colonna6]]*$Q3</f>
        <v>4</v>
      </c>
      <c r="Y29" s="14" t="n">
        <f aca="false">Tabella52791124791618202224262830323436384042444648505254565860626468707274767880828486908892949698100102104106108110112114116118120122124126130128132134136138140142144146148150152154156158160162164166168170172[[#This Row],[Colonna7]]*$Q3</f>
        <v>6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 t="n">
        <v>4</v>
      </c>
      <c r="J38" s="13"/>
      <c r="K38" s="13" t="n">
        <v>2</v>
      </c>
      <c r="L38" s="13"/>
      <c r="M38" s="13"/>
      <c r="P38" s="16" t="s">
        <v>45</v>
      </c>
      <c r="Q38" s="16"/>
      <c r="R38" s="16"/>
      <c r="S38" s="14"/>
      <c r="T38" s="14"/>
      <c r="U38" s="14" t="n">
        <f aca="false">Tabella52791124791618202224262830323436384042444648505254565860626468707274767880828486908892949698100102104106108110112114116118120122124126130128132134136138140142144146148150152154156158160162164166168170172[[#This Row],[Colonna3]]*$Q3</f>
        <v>1.6</v>
      </c>
      <c r="V38" s="14"/>
      <c r="W38" s="14" t="n">
        <f aca="false">Tabella52791124791618202224262830323436384042444648505254565860626468707274767880828486908892949698100102104106108110112114116118120122124126130128132134136138140142144146148150152154156158160162164166168170172[[#This Row],[Colonna5]]*$Q3</f>
        <v>0.8</v>
      </c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13" t="n">
        <v>3</v>
      </c>
      <c r="I41" s="13" t="n">
        <v>5</v>
      </c>
      <c r="J41" s="13" t="n">
        <v>1</v>
      </c>
      <c r="K41" s="13" t="n">
        <v>5</v>
      </c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Tabella52791124791618202224262830323436384042444648505254565860626468707274767880828486908892949698100102104106108110112114116118120122124126130128132134136138140142144146148150152154156158160162164166168170172[[#This Row],[Colonna1]]*$Q3</f>
        <v>0.4</v>
      </c>
      <c r="T41" s="14" t="n">
        <f aca="false">Tabella52791124791618202224262830323436384042444648505254565860626468707274767880828486908892949698100102104106108110112114116118120122124126130128132134136138140142144146148150152154156158160162164166168170172[[#This Row],[Colonna2]]*$Q3</f>
        <v>1.2</v>
      </c>
      <c r="U41" s="14" t="n">
        <f aca="false">Tabella52791124791618202224262830323436384042444648505254565860626468707274767880828486908892949698100102104106108110112114116118120122124126130128132134136138140142144146148150152154156158160162164166168170172[[#This Row],[Colonna3]]*$Q3</f>
        <v>2</v>
      </c>
      <c r="V41" s="14" t="n">
        <f aca="false">Tabella52791124791618202224262830323436384042444648505254565860626468707274767880828486908892949698100102104106108110112114116118120122124126130128132134136138140142144146148150152154156158160162164166168170172[[#This Row],[Colonna4]]*$Q3</f>
        <v>0.4</v>
      </c>
      <c r="W41" s="14" t="n">
        <f aca="false">Tabella52791124791618202224262830323436384042444648505254565860626468707274767880828486908892949698100102104106108110112114116118120122124126130128132134136138140142144146148150152154156158160162164166168170172[[#This Row],[Colonna5]]*$Q3</f>
        <v>2</v>
      </c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3</v>
      </c>
      <c r="H42" s="13" t="n">
        <v>10</v>
      </c>
      <c r="I42" s="13" t="n">
        <v>10</v>
      </c>
      <c r="J42" s="142" t="n">
        <v>3</v>
      </c>
      <c r="K42" s="13" t="n">
        <v>15</v>
      </c>
      <c r="L42" s="13" t="n">
        <v>3</v>
      </c>
      <c r="M42" s="13" t="n">
        <v>4</v>
      </c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Tabella52791124791618202224262830323436384042444648505254565860626468707274767880828486908892949698100102104106108110112114116118120122124126130128132134136138140142144146148150152154156158160162164166168170172[[#This Row],[Colonna1]]*$Q3</f>
        <v>1.2</v>
      </c>
      <c r="T42" s="14" t="n">
        <f aca="false">Tabella52791124791618202224262830323436384042444648505254565860626468707274767880828486908892949698100102104106108110112114116118120122124126130128132134136138140142144146148150152154156158160162164166168170172[[#This Row],[Colonna2]]*$Q3</f>
        <v>4</v>
      </c>
      <c r="U42" s="14" t="n">
        <f aca="false">Tabella52791124791618202224262830323436384042444648505254565860626468707274767880828486908892949698100102104106108110112114116118120122124126130128132134136138140142144146148150152154156158160162164166168170172[[#This Row],[Colonna3]]*$Q3</f>
        <v>4</v>
      </c>
      <c r="V42" s="14" t="n">
        <f aca="false">Tabella52791124791618202224262830323436384042444648505254565860626468707274767880828486908892949698100102104106108110112114116118120122124126130128132134136138140142144146148150152154156158160162164166168170172[[#This Row],[Colonna4]]*$Q3</f>
        <v>1.2</v>
      </c>
      <c r="W42" s="14"/>
      <c r="X42" s="14" t="n">
        <f aca="false">Tabella52791124791618202224262830323436384042444648505254565860626468707274767880828486908892949698100102104106108110112114116118120122124126130128132134136138140142144146148150152154156158160162164166168170172[[#This Row],[Colonna6]]*$Q3</f>
        <v>1.2</v>
      </c>
      <c r="Y42" s="14" t="n">
        <f aca="false">Tabella52791124791618202224262830323436384042444648505254565860626468707274767880828486908892949698100102104106108110112114116118120122124126130128132134136138140142144146148150152154156158160162164166168170172[[#This Row],[Colonna7]]*$Q3</f>
        <v>1.6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25</v>
      </c>
      <c r="H44" s="13" t="n">
        <v>16</v>
      </c>
      <c r="I44" s="13" t="n">
        <v>22</v>
      </c>
      <c r="J44" s="13" t="n">
        <v>6</v>
      </c>
      <c r="K44" s="142" t="n">
        <v>15</v>
      </c>
      <c r="L44" s="13" t="n">
        <v>1</v>
      </c>
      <c r="M44" s="142" t="n">
        <v>3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Tabella52791124791618202224262830323436384042444648505254565860626468707274767880828486908892949698100102104106108110112114116118120122124126130128132134136138140142144146148150152154156158160162164166168170172[[#This Row],[Colonna1]]*$Q3</f>
        <v>10</v>
      </c>
      <c r="T44" s="14" t="n">
        <f aca="false">Tabella52791124791618202224262830323436384042444648505254565860626468707274767880828486908892949698100102104106108110112114116118120122124126130128132134136138140142144146148150152154156158160162164166168170172[[#This Row],[Colonna2]]*$Q3</f>
        <v>6.4</v>
      </c>
      <c r="U44" s="14" t="n">
        <f aca="false">Tabella52791124791618202224262830323436384042444648505254565860626468707274767880828486908892949698100102104106108110112114116118120122124126130128132134136138140142144146148150152154156158160162164166168170172[[#This Row],[Colonna3]]*$Q3</f>
        <v>8.8</v>
      </c>
      <c r="V44" s="14" t="n">
        <f aca="false">Tabella52791124791618202224262830323436384042444648505254565860626468707274767880828486908892949698100102104106108110112114116118120122124126130128132134136138140142144146148150152154156158160162164166168170172[[#This Row],[Colonna4]]*$Q3</f>
        <v>2.4</v>
      </c>
      <c r="W44" s="14" t="n">
        <f aca="false">Tabella52791124791618202224262830323436384042444648505254565860626468707274767880828486908892949698100102104106108110112114116118120122124126130128132134136138140142144146148150152154156158160162164166168170172[[#This Row],[Colonna5]]*$Q3</f>
        <v>6</v>
      </c>
      <c r="X44" s="14" t="n">
        <f aca="false">Tabella52791124791618202224262830323436384042444648505254565860626468707274767880828486908892949698100102104106108110112114116118120122124126130128132134136138140142144146148150152154156158160162164166168170172[[#This Row],[Colonna6]]*$Q3</f>
        <v>0.4</v>
      </c>
      <c r="Y44" s="14" t="n">
        <f aca="false">Tabella52791124791618202224262830323436384042444648505254565860626468707274767880828486908892949698100102104106108110112114116118120122124126130128132134136138140142144146148150152154156158160162164166168170172[[#This Row],[Colonna7]]*$Q3</f>
        <v>1.2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 t="n">
        <v>2</v>
      </c>
      <c r="I49" s="142"/>
      <c r="J49" s="142"/>
      <c r="K49" s="13" t="n">
        <v>4</v>
      </c>
      <c r="L49" s="13"/>
      <c r="M49" s="13" t="n">
        <v>1</v>
      </c>
      <c r="P49" s="18" t="s">
        <v>56</v>
      </c>
      <c r="Q49" s="18"/>
      <c r="R49" s="18"/>
      <c r="S49" s="14"/>
      <c r="T49" s="14" t="n">
        <f aca="false">Tabella52791124791618202224262830323436384042444648505254565860626468707274767880828486908892949698100102104106108110112114116118120122124126130128132134136138140142144146148150152154156158160162164166168170172[[#This Row],[Colonna2]]*$Q3</f>
        <v>0.8</v>
      </c>
      <c r="U49" s="14"/>
      <c r="V49" s="14"/>
      <c r="W49" s="14" t="n">
        <f aca="false">Tabella52791124791618202224262830323436384042444648505254565860626468707274767880828486908892949698100102104106108110112114116118120122124126130128132134136138140142144146148150152154156158160162164166168170172[[#This Row],[Colonna5]]*$Q3</f>
        <v>1.6</v>
      </c>
      <c r="X49" s="14"/>
      <c r="Y49" s="14" t="n">
        <f aca="false">Tabella52791124791618202224262830323436384042444648505254565860626468707274767880828486908892949698100102104106108110112114116118120122124126130128132134136138140142144146148150152154156158160162164166168170172[[#This Row],[Colonna7]]*$Q3</f>
        <v>0.4</v>
      </c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24</v>
      </c>
      <c r="H52" s="13" t="n">
        <v>42</v>
      </c>
      <c r="I52" s="13" t="n">
        <v>40</v>
      </c>
      <c r="J52" s="13" t="n">
        <v>16</v>
      </c>
      <c r="K52" s="13" t="n">
        <v>21</v>
      </c>
      <c r="L52" s="13" t="n">
        <v>3</v>
      </c>
      <c r="M52" s="13" t="n">
        <v>3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Tabella52791124791618202224262830323436384042444648505254565860626468707274767880828486908892949698100102104106108110112114116118120122124126130128132134136138140142144146148150152154156158160162164166168170172[[#This Row],[Colonna1]]*$Q3</f>
        <v>9.6</v>
      </c>
      <c r="T52" s="14" t="n">
        <f aca="false">Tabella52791124791618202224262830323436384042444648505254565860626468707274767880828486908892949698100102104106108110112114116118120122124126130128132134136138140142144146148150152154156158160162164166168170172[[#This Row],[Colonna2]]*$Q3</f>
        <v>16.8</v>
      </c>
      <c r="U52" s="14" t="n">
        <f aca="false">Tabella52791124791618202224262830323436384042444648505254565860626468707274767880828486908892949698100102104106108110112114116118120122124126130128132134136138140142144146148150152154156158160162164166168170172[[#This Row],[Colonna3]]*$Q3</f>
        <v>16</v>
      </c>
      <c r="V52" s="14" t="n">
        <f aca="false">Tabella52791124791618202224262830323436384042444648505254565860626468707274767880828486908892949698100102104106108110112114116118120122124126130128132134136138140142144146148150152154156158160162164166168170172[[#This Row],[Colonna4]]*$Q3</f>
        <v>6.4</v>
      </c>
      <c r="W52" s="14" t="n">
        <f aca="false">Tabella52791124791618202224262830323436384042444648505254565860626468707274767880828486908892949698100102104106108110112114116118120122124126130128132134136138140142144146148150152154156158160162164166168170172[[#This Row],[Colonna5]]*$Q3</f>
        <v>8.4</v>
      </c>
      <c r="X52" s="14" t="n">
        <f aca="false">Tabella52791124791618202224262830323436384042444648505254565860626468707274767880828486908892949698100102104106108110112114116118120122124126130128132134136138140142144146148150152154156158160162164166168170172[[#This Row],[Colonna6]]*$Q3</f>
        <v>1.2</v>
      </c>
      <c r="Y52" s="14" t="n">
        <f aca="false">Tabella52791124791618202224262830323436384042444648505254565860626468707274767880828486908892949698100102104106108110112114116118120122124126130128132134136138140142144146148150152154156158160162164166168170172[[#This Row],[Colonna7]]*$Q3</f>
        <v>1.2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186</v>
      </c>
      <c r="H53" s="55" t="n">
        <f aca="false">SUM(H6:H52)</f>
        <v>196</v>
      </c>
      <c r="I53" s="55" t="n">
        <f aca="false">SUM(I6:I52)</f>
        <v>368</v>
      </c>
      <c r="J53" s="55" t="n">
        <f aca="false">SUM(J6:J52)</f>
        <v>180</v>
      </c>
      <c r="K53" s="55" t="n">
        <f aca="false">SUM(K6:K52)</f>
        <v>315</v>
      </c>
      <c r="L53" s="55" t="n">
        <f aca="false">SUM(L6:L52)</f>
        <v>95</v>
      </c>
      <c r="M53" s="55" t="n">
        <f aca="false">SUM(M6:M52)</f>
        <v>102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Tabella52791124791618202224262830323436384042444648505254565860626468707274767880828486908892949698100102104106108110112114116118120122124126130128132134136138140142144146148150152154156158160162164166168170172[[#This Row],[Colonna1]]*$Q3</f>
        <v>74.4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Tabella52791124791618202224262830323436384042444648505254565860626468707274767880828486908892949698100102104106108110112114116118120122124126130128132134136138140142144146148150152154156158160162164166168170172[[#This Row],[Colonna2]]*$Q3</f>
        <v>78.4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Tabella52791124791618202224262830323436384042444648505254565860626468707274767880828486908892949698100102104106108110112114116118120122124126130128132134136138140142144146148150152154156158160162164166168170172[[#This Row],[Colonna3]]*$Q3</f>
        <v>147.2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Tabella52791124791618202224262830323436384042444648505254565860626468707274767880828486908892949698100102104106108110112114116118120122124126130128132134136138140142144146148150152154156158160162164166168170172[[#This Row],[Colonna4]]*$Q3</f>
        <v>72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Tabella52791124791618202224262830323436384042444648505254565860626468707274767880828486908892949698100102104106108110112114116118120122124126130128132134136138140142144146148150152154156158160162164166168170172[[#This Row],[Colonna5]]*$Q3</f>
        <v>126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Tabella52791124791618202224262830323436384042444648505254565860626468707274767880828486908892949698100102104106108110112114116118120122124126130128132134136138140142144146148150152154156158160162164166168170172[[#This Row],[Colonna6]]*$Q3</f>
        <v>38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Tabella52791124791618202224262830323436384042444648505254565860626468707274767880828486908892949698100102104106108110112114116118120122124126130128132134136138140142144146148150152154156158160162164166168170172[[#This Row],[Colonna7]]*$Q3</f>
        <v>40.8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550</v>
      </c>
      <c r="H58" s="26" t="n">
        <v>750</v>
      </c>
      <c r="I58" s="26" t="n">
        <v>698</v>
      </c>
      <c r="J58" s="26" t="n">
        <v>212</v>
      </c>
      <c r="K58" s="26" t="n">
        <v>365</v>
      </c>
      <c r="L58" s="26" t="n">
        <v>140</v>
      </c>
      <c r="M58" s="26" t="n">
        <v>58</v>
      </c>
      <c r="P58" s="23" t="s">
        <v>62</v>
      </c>
      <c r="Q58" s="23"/>
      <c r="R58" s="23"/>
      <c r="S58" s="57" t="n">
        <f aca="false">G58*$Q3</f>
        <v>220</v>
      </c>
      <c r="T58" s="57" t="n">
        <f aca="false">H58*$Q3</f>
        <v>300</v>
      </c>
      <c r="U58" s="57" t="n">
        <f aca="false">I58*$Q3</f>
        <v>279.2</v>
      </c>
      <c r="V58" s="57" t="n">
        <f aca="false">J58*$Q3</f>
        <v>84.8</v>
      </c>
      <c r="W58" s="57" t="n">
        <f aca="false">K58*$Q3</f>
        <v>146</v>
      </c>
      <c r="X58" s="57" t="n">
        <f aca="false">L58*$Q3</f>
        <v>56</v>
      </c>
      <c r="Y58" s="27" t="n">
        <f aca="false">M58*$Q3</f>
        <v>23.2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65</v>
      </c>
      <c r="H62" s="26" t="n">
        <v>54</v>
      </c>
      <c r="I62" s="26" t="n">
        <v>79</v>
      </c>
      <c r="J62" s="26" t="n">
        <v>15</v>
      </c>
      <c r="K62" s="26" t="n">
        <v>40</v>
      </c>
      <c r="L62" s="26" t="n">
        <v>20</v>
      </c>
      <c r="M62" s="26" t="n">
        <v>2</v>
      </c>
      <c r="P62" s="9" t="s">
        <v>66</v>
      </c>
      <c r="Q62" s="9"/>
      <c r="R62" s="9"/>
      <c r="S62" s="57" t="n">
        <f aca="false">G62*$Q3</f>
        <v>26</v>
      </c>
      <c r="T62" s="57" t="n">
        <f aca="false">H62*$Q3</f>
        <v>21.6</v>
      </c>
      <c r="U62" s="57" t="n">
        <f aca="false">I62*$Q3</f>
        <v>31.6</v>
      </c>
      <c r="V62" s="57"/>
      <c r="W62" s="57" t="n">
        <f aca="false">K62*$Q3</f>
        <v>16</v>
      </c>
      <c r="X62" s="57" t="n">
        <f aca="false">L62*$Q3</f>
        <v>8</v>
      </c>
      <c r="Y62" s="57" t="n">
        <f aca="false">M62*$Q3</f>
        <v>0.8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6</v>
      </c>
      <c r="H63" s="164" t="n">
        <v>7</v>
      </c>
      <c r="I63" s="13" t="n">
        <v>9</v>
      </c>
      <c r="J63" s="26" t="n">
        <v>3</v>
      </c>
      <c r="K63" s="26" t="n">
        <v>5</v>
      </c>
      <c r="L63" s="26"/>
      <c r="M63" s="26"/>
      <c r="P63" s="9" t="s">
        <v>67</v>
      </c>
      <c r="Q63" s="9"/>
      <c r="R63" s="9"/>
      <c r="S63" s="57" t="n">
        <f aca="false">G63*$Q3</f>
        <v>2.4</v>
      </c>
      <c r="T63" s="57" t="n">
        <f aca="false">H63*$Q3</f>
        <v>2.8</v>
      </c>
      <c r="U63" s="57" t="n">
        <f aca="false">I63*$Q3</f>
        <v>3.6</v>
      </c>
      <c r="V63" s="57" t="n">
        <f aca="false">J63*$Q3</f>
        <v>1.2</v>
      </c>
      <c r="W63" s="57" t="n">
        <f aca="false">K63*$Q3</f>
        <v>2</v>
      </c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6</v>
      </c>
      <c r="H64" s="26" t="n">
        <v>31</v>
      </c>
      <c r="I64" s="26" t="n">
        <v>31</v>
      </c>
      <c r="J64" s="26" t="n">
        <v>15</v>
      </c>
      <c r="K64" s="26" t="n">
        <v>21</v>
      </c>
      <c r="L64" s="26" t="n">
        <v>8</v>
      </c>
      <c r="M64" s="26" t="n">
        <v>5</v>
      </c>
      <c r="P64" s="9" t="s">
        <v>68</v>
      </c>
      <c r="Q64" s="9"/>
      <c r="R64" s="9"/>
      <c r="S64" s="57" t="n">
        <f aca="false">G64*$Q3</f>
        <v>2.4</v>
      </c>
      <c r="T64" s="57" t="n">
        <f aca="false">H64*$Q3</f>
        <v>12.4</v>
      </c>
      <c r="U64" s="57" t="n">
        <f aca="false">I64*$Q3</f>
        <v>12.4</v>
      </c>
      <c r="V64" s="57" t="n">
        <f aca="false">J64*$Q3</f>
        <v>6</v>
      </c>
      <c r="W64" s="57" t="n">
        <f aca="false">K64*$Q3</f>
        <v>8.4</v>
      </c>
      <c r="X64" s="57" t="n">
        <f aca="false">L64*$Q3</f>
        <v>3.2</v>
      </c>
      <c r="Y64" s="57" t="n">
        <f aca="false">M64*$Q3</f>
        <v>2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 t="n">
        <v>1</v>
      </c>
      <c r="L65" s="26"/>
      <c r="M65" s="26" t="n">
        <v>2</v>
      </c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27" t="n">
        <f aca="false">M65*$Q3</f>
        <v>0.8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5</v>
      </c>
      <c r="H67" s="139" t="n">
        <v>10</v>
      </c>
      <c r="I67" s="139" t="n">
        <v>18</v>
      </c>
      <c r="J67" s="26" t="n">
        <v>2</v>
      </c>
      <c r="K67" s="26" t="n">
        <v>8</v>
      </c>
      <c r="L67" s="26" t="n">
        <v>4</v>
      </c>
      <c r="M67" s="26" t="n">
        <v>2</v>
      </c>
      <c r="P67" s="9" t="s">
        <v>71</v>
      </c>
      <c r="Q67" s="9"/>
      <c r="R67" s="9"/>
      <c r="S67" s="57" t="n">
        <f aca="false">G67*$Q3</f>
        <v>2</v>
      </c>
      <c r="T67" s="57" t="n">
        <f aca="false">H67*$Q3</f>
        <v>4</v>
      </c>
      <c r="U67" s="57" t="n">
        <f aca="false">I67*$Q3</f>
        <v>7.2</v>
      </c>
      <c r="V67" s="57" t="n">
        <f aca="false">J67*$Q3</f>
        <v>0.8</v>
      </c>
      <c r="W67" s="57" t="n">
        <f aca="false">K67*$Q3</f>
        <v>3.2</v>
      </c>
      <c r="X67" s="57" t="n">
        <f aca="false">L67*$Q3</f>
        <v>1.6</v>
      </c>
      <c r="Y67" s="57" t="n">
        <f aca="false">M67*$Q3</f>
        <v>0.8</v>
      </c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2</v>
      </c>
      <c r="H68" s="30" t="n">
        <v>4</v>
      </c>
      <c r="I68" s="30" t="n">
        <v>2</v>
      </c>
      <c r="J68" s="30" t="n">
        <v>2</v>
      </c>
      <c r="K68" s="30" t="n">
        <v>2</v>
      </c>
      <c r="L68" s="30" t="n">
        <v>3</v>
      </c>
      <c r="M68" s="30" t="n">
        <v>1</v>
      </c>
      <c r="P68" s="9" t="s">
        <v>72</v>
      </c>
      <c r="Q68" s="9"/>
      <c r="R68" s="9"/>
      <c r="S68" s="57" t="n">
        <f aca="false">G68*$Q3</f>
        <v>0.8</v>
      </c>
      <c r="T68" s="57" t="n">
        <f aca="false">H68*$Q3</f>
        <v>1.6</v>
      </c>
      <c r="U68" s="57" t="n">
        <f aca="false">I68*$Q3</f>
        <v>0.8</v>
      </c>
      <c r="V68" s="57" t="n">
        <f aca="false">J68*$Q3</f>
        <v>0.8</v>
      </c>
      <c r="W68" s="57" t="n">
        <f aca="false">K68*$Q3</f>
        <v>0.8</v>
      </c>
      <c r="X68" s="57" t="n">
        <f aca="false">L68*$Q3</f>
        <v>1.2</v>
      </c>
      <c r="Y68" s="57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151</v>
      </c>
      <c r="H69" s="30" t="n">
        <v>132</v>
      </c>
      <c r="I69" s="30" t="n">
        <v>160</v>
      </c>
      <c r="J69" s="30" t="n">
        <v>124</v>
      </c>
      <c r="K69" s="30" t="n">
        <v>145</v>
      </c>
      <c r="L69" s="30" t="n">
        <v>54</v>
      </c>
      <c r="M69" s="30" t="n">
        <v>48</v>
      </c>
      <c r="P69" s="9" t="s">
        <v>73</v>
      </c>
      <c r="Q69" s="9"/>
      <c r="R69" s="9"/>
      <c r="S69" s="57" t="n">
        <f aca="false">G69*$Q3</f>
        <v>60.4</v>
      </c>
      <c r="T69" s="57" t="n">
        <f aca="false">H69*$Q3</f>
        <v>52.8</v>
      </c>
      <c r="U69" s="57" t="n">
        <f aca="false">I69*$Q3</f>
        <v>64</v>
      </c>
      <c r="V69" s="57" t="n">
        <f aca="false">J69*$Q3</f>
        <v>49.6</v>
      </c>
      <c r="W69" s="57" t="n">
        <f aca="false">K69*$Q3</f>
        <v>58</v>
      </c>
      <c r="X69" s="57" t="n">
        <f aca="false">L69*$Q3</f>
        <v>21.6</v>
      </c>
      <c r="Y69" s="57" t="n">
        <f aca="false">M69*$Q3</f>
        <v>19.2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785</v>
      </c>
      <c r="H70" s="60" t="n">
        <f aca="false">SUM(H58:H69)</f>
        <v>988</v>
      </c>
      <c r="I70" s="60" t="n">
        <f aca="false">SUM(I58:I69)</f>
        <v>997</v>
      </c>
      <c r="J70" s="60" t="n">
        <f aca="false">SUM(J58:J69)</f>
        <v>373</v>
      </c>
      <c r="K70" s="60" t="n">
        <f aca="false">SUM(K58:K69)</f>
        <v>587</v>
      </c>
      <c r="L70" s="60" t="n">
        <f aca="false">SUM(L58:L69)</f>
        <v>229</v>
      </c>
      <c r="M70" s="60" t="n">
        <f aca="false">SUM(M58:M69)</f>
        <v>118</v>
      </c>
      <c r="P70" s="9" t="s">
        <v>60</v>
      </c>
      <c r="Q70" s="9"/>
      <c r="R70" s="9"/>
      <c r="S70" s="61" t="n">
        <f aca="false">G70*$Q3</f>
        <v>314</v>
      </c>
      <c r="T70" s="61" t="n">
        <f aca="false">H70*$Q3</f>
        <v>395.2</v>
      </c>
      <c r="U70" s="61" t="n">
        <f aca="false">I70*$Q3</f>
        <v>398.8</v>
      </c>
      <c r="V70" s="61" t="n">
        <f aca="false">J70*$Q3</f>
        <v>149.2</v>
      </c>
      <c r="W70" s="61" t="n">
        <f aca="false">K70*$Q3</f>
        <v>234.8</v>
      </c>
      <c r="X70" s="61" t="n">
        <f aca="false">L70*$Q3</f>
        <v>91.6</v>
      </c>
      <c r="Y70" s="32" t="n">
        <f aca="false">M70*$Q3</f>
        <v>47.2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A80" activeCellId="0" sqref="AA80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107</v>
      </c>
      <c r="I3" s="119" t="s">
        <v>2</v>
      </c>
      <c r="J3" s="4" t="n">
        <v>45488</v>
      </c>
      <c r="K3" s="5" t="n">
        <v>45494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107</v>
      </c>
      <c r="U3" s="119" t="s">
        <v>2</v>
      </c>
      <c r="V3" s="4" t="n">
        <v>45488</v>
      </c>
      <c r="W3" s="5" t="n">
        <v>45494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50</v>
      </c>
      <c r="H7" s="13" t="n">
        <v>140</v>
      </c>
      <c r="I7" s="13" t="n">
        <v>72</v>
      </c>
      <c r="J7" s="13" t="n">
        <v>72</v>
      </c>
      <c r="K7" s="13" t="n">
        <v>46</v>
      </c>
      <c r="L7" s="13" t="n">
        <v>16</v>
      </c>
      <c r="M7" s="13" t="n">
        <v>26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Tabella52791124791618202224262830323436384042444648505254565860626468707274767880828486908892949698100102104106108110112114116118120122124126130128132134136138140142144146148150152154156158160162164166168170172174[[#This Row],[Colonna1]]*$Q3</f>
        <v>20</v>
      </c>
      <c r="T7" s="14" t="n">
        <f aca="false">Tabella52791124791618202224262830323436384042444648505254565860626468707274767880828486908892949698100102104106108110112114116118120122124126130128132134136138140142144146148150152154156158160162164166168170172174[[#This Row],[Colonna2]]*$Q3</f>
        <v>56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Tabella52791124791618202224262830323436384042444648505254565860626468707274767880828486908892949698100102104106108110112114116118120122124126130128132134136138140142144146148150152154156158160162164166168170172174[[#This Row],[Colonna3]]*$Q3</f>
        <v>28.8</v>
      </c>
      <c r="V7" s="14" t="n">
        <f aca="false">Tabella52791124791618202224262830323436384042444648505254565860626468707274767880828486908892949698100102104106108110112114116118120122124126130128132134136138140142144146148150152154156158160162164166168170172174[[#This Row],[Colonna4]]*$Q3</f>
        <v>28.8</v>
      </c>
      <c r="W7" s="14" t="n">
        <f aca="false">Tabella52791124791618202224262830323436384042444648505254565860626468707274767880828486908892949698100102104106108110112114116118120122124126130128132134136138140142144146148150152154156158160162164166168170172174[[#This Row],[Colonna5]]*$Q3</f>
        <v>18.4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Tabella52791124791618202224262830323436384042444648505254565860626468707274767880828486908892949698100102104106108110112114116118120122124126130128132134136138140142144146148150152154156158160162164166168170172174[[#This Row],[Colonna6]]*$Q3</f>
        <v>6.4</v>
      </c>
      <c r="Y7" s="14" t="n">
        <f aca="false">Tabella52791124791618202224262830323436384042444648505254565860626468707274767880828486908892949698100102104106108110112114116118120122124126130128132134136138140142144146148150152154156158160162164166168170172174[[#This Row],[Colonna7]]*$Q3</f>
        <v>10.4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6</v>
      </c>
      <c r="H12" s="13" t="n">
        <v>4</v>
      </c>
      <c r="I12" s="13" t="n">
        <v>3</v>
      </c>
      <c r="J12" s="13" t="n">
        <v>8</v>
      </c>
      <c r="K12" s="13" t="n">
        <v>2</v>
      </c>
      <c r="L12" s="13"/>
      <c r="M12" s="13" t="n">
        <v>3</v>
      </c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Tabella52791124791618202224262830323436384042444648505254565860626468707274767880828486908892949698100102104106108110112114116118120122124126130128132134136138140142144146148150152154156158160162164166168170172174[[#This Row],[Colonna1]]*$Q3</f>
        <v>2.4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Tabella52791124791618202224262830323436384042444648505254565860626468707274767880828486908892949698100102104106108110112114116118120122124126130128132134136138140142144146148150152154156158160162164166168170172174[[#This Row],[Colonna2]]*$Q3</f>
        <v>1.6</v>
      </c>
      <c r="U12" s="14" t="n">
        <f aca="false">Tabella52791124791618202224262830323436384042444648505254565860626468707274767880828486908892949698100102104106108110112114116118120122124126130128132134136138140142144146148150152154156158160162164166168170172174[[#This Row],[Colonna3]]*$Q3</f>
        <v>1.2</v>
      </c>
      <c r="V12" s="14" t="n">
        <f aca="false">Tabella52791124791618202224262830323436384042444648505254565860626468707274767880828486908892949698100102104106108110112114116118120122124126130128132134136138140142144146148150152154156158160162164166168170172174[[#This Row],[Colonna4]]*$Q3</f>
        <v>3.2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Tabella52791124791618202224262830323436384042444648505254565860626468707274767880828486908892949698100102104106108110112114116118120122124126130128132134136138140142144146148150152154156158160162164166168170172174[[#This Row],[Colonna5]]*$Q3</f>
        <v>0.8</v>
      </c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 t="n">
        <v>1</v>
      </c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 t="n">
        <f aca="false">Tabella52791124791618202224262830323436384042444648505254565860626468707274767880828486908892949698100102104106108110112114116118120122124126130128132134136138140142144146148150152154156158160162164166168170172174[[#This Row],[Colonna5]]*$Q3</f>
        <v>0.4</v>
      </c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8</v>
      </c>
      <c r="H22" s="13" t="n">
        <v>2</v>
      </c>
      <c r="I22" s="13" t="n">
        <v>3</v>
      </c>
      <c r="J22" s="13" t="n">
        <v>3</v>
      </c>
      <c r="K22" s="13" t="n">
        <v>1</v>
      </c>
      <c r="L22" s="13" t="n">
        <v>2</v>
      </c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Tabella52791124791618202224262830323436384042444648505254565860626468707274767880828486908892949698100102104106108110112114116118120122124126130128132134136138140142144146148150152154156158160162164166168170172174[[#This Row],[Colonna1]]*$Q3</f>
        <v>3.2</v>
      </c>
      <c r="T22" s="14" t="n">
        <f aca="false">Tabella52791124791618202224262830323436384042444648505254565860626468707274767880828486908892949698100102104106108110112114116118120122124126130128132134136138140142144146148150152154156158160162164166168170172174[[#This Row],[Colonna2]]*$Q3</f>
        <v>0.8</v>
      </c>
      <c r="U22" s="14" t="n">
        <f aca="false">Tabella52791124791618202224262830323436384042444648505254565860626468707274767880828486908892949698100102104106108110112114116118120122124126130128132134136138140142144146148150152154156158160162164166168170172174[[#This Row],[Colonna3]]*$Q3</f>
        <v>1.2</v>
      </c>
      <c r="V22" s="14" t="n">
        <f aca="false">Tabella52791124791618202224262830323436384042444648505254565860626468707274767880828486908892949698100102104106108110112114116118120122124126130128132134136138140142144146148150152154156158160162164166168170172174[[#This Row],[Colonna4]]*$Q3</f>
        <v>1.2</v>
      </c>
      <c r="W22" s="14" t="n">
        <f aca="false">Tabella52791124791618202224262830323436384042444648505254565860626468707274767880828486908892949698100102104106108110112114116118120122124126130128132134136138140142144146148150152154156158160162164166168170172174[[#This Row],[Colonna5]]*$Q3</f>
        <v>0.4</v>
      </c>
      <c r="X22" s="14" t="n">
        <f aca="false">Tabella52791124791618202224262830323436384042444648505254565860626468707274767880828486908892949698100102104106108110112114116118120122124126130128132134136138140142144146148150152154156158160162164166168170172174[[#This Row],[Colonna6]]*$Q3</f>
        <v>0.8</v>
      </c>
      <c r="Y22" s="14" t="n">
        <f aca="false">Tabella52791124791618202224262830323436384042444648505254565860626468707274767880828486908892949698100102104106108110112114116118120122124126130128132134136138140142144146148150152154156158160162164166168170172174[[#This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3</v>
      </c>
      <c r="H26" s="13" t="n">
        <v>1</v>
      </c>
      <c r="I26" s="13" t="n">
        <v>3</v>
      </c>
      <c r="J26" s="13" t="n">
        <v>4</v>
      </c>
      <c r="K26" s="13" t="n">
        <v>1</v>
      </c>
      <c r="L26" s="13" t="n">
        <v>1</v>
      </c>
      <c r="M26" s="13" t="n">
        <v>13</v>
      </c>
      <c r="P26" s="12" t="s">
        <v>33</v>
      </c>
      <c r="Q26" s="12"/>
      <c r="R26" s="12"/>
      <c r="S26" s="14" t="n">
        <f aca="false">Tabella52791124791618202224262830323436384042444648505254565860626468707274767880828486908892949698100102104106108110112114116118120122124126130128132134136138140142144146148150152154156158160162164166168170172174[[#This Row],[Colonna1]]*$Q3</f>
        <v>1.2</v>
      </c>
      <c r="T26" s="14" t="n">
        <f aca="false">Tabella52791124791618202224262830323436384042444648505254565860626468707274767880828486908892949698100102104106108110112114116118120122124126130128132134136138140142144146148150152154156158160162164166168170172174[[#This Row],[Colonna2]]*$Q3</f>
        <v>0.4</v>
      </c>
      <c r="U26" s="14" t="n">
        <f aca="false">Tabella52791124791618202224262830323436384042444648505254565860626468707274767880828486908892949698100102104106108110112114116118120122124126130128132134136138140142144146148150152154156158160162164166168170172174[[#This Row],[Colonna3]]*$Q3</f>
        <v>1.2</v>
      </c>
      <c r="V26" s="14" t="n">
        <f aca="false">Tabella52791124791618202224262830323436384042444648505254565860626468707274767880828486908892949698100102104106108110112114116118120122124126130128132134136138140142144146148150152154156158160162164166168170172174[[#This Row],[Colonna4]]*$Q3</f>
        <v>1.6</v>
      </c>
      <c r="W26" s="14" t="n">
        <f aca="false">Tabella52791124791618202224262830323436384042444648505254565860626468707274767880828486908892949698100102104106108110112114116118120122124126130128132134136138140142144146148150152154156158160162164166168170172174[[#This Row],[Colonna5]]*$Q3</f>
        <v>0.4</v>
      </c>
      <c r="X26" s="14" t="n">
        <f aca="false">Tabella52791124791618202224262830323436384042444648505254565860626468707274767880828486908892949698100102104106108110112114116118120122124126130128132134136138140142144146148150152154156158160162164166168170172174[[#This Row],[Colonna6]]*$Q3</f>
        <v>0.4</v>
      </c>
      <c r="Y26" s="14" t="n">
        <f aca="false">Tabella52791124791618202224262830323436384042444648505254565860626468707274767880828486908892949698100102104106108110112114116118120122124126130128132134136138140142144146148150152154156158160162164166168170172174[[#This Row],[Colonna7]]*$Q3</f>
        <v>5.2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52</v>
      </c>
      <c r="H29" s="13" t="n">
        <v>51</v>
      </c>
      <c r="I29" s="13" t="n">
        <v>43</v>
      </c>
      <c r="J29" s="13" t="n">
        <v>42</v>
      </c>
      <c r="K29" s="13" t="n">
        <v>12</v>
      </c>
      <c r="L29" s="13" t="n">
        <v>17</v>
      </c>
      <c r="M29" s="13" t="n">
        <v>11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Tabella52791124791618202224262830323436384042444648505254565860626468707274767880828486908892949698100102104106108110112114116118120122124126130128132134136138140142144146148150152154156158160162164166168170172174[[#This Row],[Colonna1]]*$Q3</f>
        <v>20.8</v>
      </c>
      <c r="T29" s="14" t="n">
        <f aca="false">Tabella52791124791618202224262830323436384042444648505254565860626468707274767880828486908892949698100102104106108110112114116118120122124126130128132134136138140142144146148150152154156158160162164166168170172174[[#This Row],[Colonna2]]*$Q3</f>
        <v>20.4</v>
      </c>
      <c r="U29" s="14" t="n">
        <f aca="false">Tabella52791124791618202224262830323436384042444648505254565860626468707274767880828486908892949698100102104106108110112114116118120122124126130128132134136138140142144146148150152154156158160162164166168170172174[[#This Row],[Colonna3]]*$Q3</f>
        <v>17.2</v>
      </c>
      <c r="V29" s="14" t="n">
        <f aca="false">Tabella52791124791618202224262830323436384042444648505254565860626468707274767880828486908892949698100102104106108110112114116118120122124126130128132134136138140142144146148150152154156158160162164166168170172174[[#This Row],[Colonna4]]*$Q3</f>
        <v>16.8</v>
      </c>
      <c r="W29" s="14" t="n">
        <f aca="false">Tabella52791124791618202224262830323436384042444648505254565860626468707274767880828486908892949698100102104106108110112114116118120122124126130128132134136138140142144146148150152154156158160162164166168170172174[[#This Row],[Colonna5]]*$Q3</f>
        <v>4.8</v>
      </c>
      <c r="X29" s="14" t="n">
        <f aca="false">Tabella52791124791618202224262830323436384042444648505254565860626468707274767880828486908892949698100102104106108110112114116118120122124126130128132134136138140142144146148150152154156158160162164166168170172174[[#This Row],[Colonna6]]*$Q3</f>
        <v>6.8</v>
      </c>
      <c r="Y29" s="14" t="n">
        <f aca="false">Tabella52791124791618202224262830323436384042444648505254565860626468707274767880828486908892949698100102104106108110112114116118120122124126130128132134136138140142144146148150152154156158160162164166168170172174[[#This Row],[Colonna7]]*$Q3</f>
        <v>4.4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 t="n">
        <v>1</v>
      </c>
      <c r="J40" s="13" t="n">
        <v>1</v>
      </c>
      <c r="K40" s="13"/>
      <c r="L40" s="13"/>
      <c r="M40" s="13"/>
      <c r="P40" s="12" t="s">
        <v>47</v>
      </c>
      <c r="Q40" s="12"/>
      <c r="R40" s="12"/>
      <c r="S40" s="14"/>
      <c r="T40" s="14"/>
      <c r="U40" s="14" t="n">
        <f aca="false">Tabella52791124791618202224262830323436384042444648505254565860626468707274767880828486908892949698100102104106108110112114116118120122124126130128132134136138140142144146148150152154156158160162164166168170172174[[#This Row],[Colonna3]]*$Q3</f>
        <v>0.4</v>
      </c>
      <c r="V40" s="14" t="n">
        <f aca="false">Tabella52791124791618202224262830323436384042444648505254565860626468707274767880828486908892949698100102104106108110112114116118120122124126130128132134136138140142144146148150152154156158160162164166168170172174[[#This Row],[Colonna4]]*$Q3</f>
        <v>0.4</v>
      </c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2</v>
      </c>
      <c r="H41" s="13" t="n">
        <v>7</v>
      </c>
      <c r="I41" s="13" t="n">
        <v>2</v>
      </c>
      <c r="J41" s="13" t="n">
        <v>2</v>
      </c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Tabella52791124791618202224262830323436384042444648505254565860626468707274767880828486908892949698100102104106108110112114116118120122124126130128132134136138140142144146148150152154156158160162164166168170172174[[#This Row],[Colonna1]]*$Q3</f>
        <v>0.8</v>
      </c>
      <c r="T41" s="14" t="n">
        <f aca="false">Tabella52791124791618202224262830323436384042444648505254565860626468707274767880828486908892949698100102104106108110112114116118120122124126130128132134136138140142144146148150152154156158160162164166168170172174[[#This Row],[Colonna2]]*$Q3</f>
        <v>2.8</v>
      </c>
      <c r="U41" s="14" t="n">
        <f aca="false">Tabella52791124791618202224262830323436384042444648505254565860626468707274767880828486908892949698100102104106108110112114116118120122124126130128132134136138140142144146148150152154156158160162164166168170172174[[#This Row],[Colonna3]]*$Q3</f>
        <v>0.8</v>
      </c>
      <c r="V41" s="14" t="n">
        <f aca="false">Tabella52791124791618202224262830323436384042444648505254565860626468707274767880828486908892949698100102104106108110112114116118120122124126130128132134136138140142144146148150152154156158160162164166168170172174[[#This Row],[Colonna4]]*$Q3</f>
        <v>0.8</v>
      </c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7</v>
      </c>
      <c r="H42" s="13" t="n">
        <v>10</v>
      </c>
      <c r="I42" s="13" t="n">
        <v>5</v>
      </c>
      <c r="J42" s="142" t="n">
        <v>10</v>
      </c>
      <c r="K42" s="13" t="n">
        <v>5</v>
      </c>
      <c r="L42" s="13" t="n">
        <v>8</v>
      </c>
      <c r="M42" s="13" t="n">
        <v>3</v>
      </c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Tabella52791124791618202224262830323436384042444648505254565860626468707274767880828486908892949698100102104106108110112114116118120122124126130128132134136138140142144146148150152154156158160162164166168170172174[[#This Row],[Colonna1]]*$Q3</f>
        <v>2.8</v>
      </c>
      <c r="T42" s="14" t="n">
        <f aca="false">Tabella52791124791618202224262830323436384042444648505254565860626468707274767880828486908892949698100102104106108110112114116118120122124126130128132134136138140142144146148150152154156158160162164166168170172174[[#This Row],[Colonna2]]*$Q3</f>
        <v>4</v>
      </c>
      <c r="U42" s="14" t="n">
        <f aca="false">Tabella52791124791618202224262830323436384042444648505254565860626468707274767880828486908892949698100102104106108110112114116118120122124126130128132134136138140142144146148150152154156158160162164166168170172174[[#This Row],[Colonna3]]*$Q3</f>
        <v>2</v>
      </c>
      <c r="V42" s="14" t="n">
        <f aca="false">Tabella52791124791618202224262830323436384042444648505254565860626468707274767880828486908892949698100102104106108110112114116118120122124126130128132134136138140142144146148150152154156158160162164166168170172174[[#This Row],[Colonna4]]*$Q3</f>
        <v>4</v>
      </c>
      <c r="W42" s="14" t="n">
        <f aca="false">Tabella52791124791618202224262830323436384042444648505254565860626468707274767880828486908892949698100102104106108110112114116118120122124126130128132134136138140142144146148150152154156158160162164166168170172174[[#This Row],[Colonna5]]*$Q3</f>
        <v>2</v>
      </c>
      <c r="X42" s="14" t="n">
        <f aca="false">Tabella52791124791618202224262830323436384042444648505254565860626468707274767880828486908892949698100102104106108110112114116118120122124126130128132134136138140142144146148150152154156158160162164166168170172174[[#This Row],[Colonna6]]*$Q3</f>
        <v>3.2</v>
      </c>
      <c r="Y42" s="14" t="n">
        <f aca="false">Tabella52791124791618202224262830323436384042444648505254565860626468707274767880828486908892949698100102104106108110112114116118120122124126130128132134136138140142144146148150152154156158160162164166168170172174[[#This Row],[Colonna7]]*$Q3</f>
        <v>1.2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 t="n">
        <v>1</v>
      </c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12</v>
      </c>
      <c r="H44" s="13" t="n">
        <v>13</v>
      </c>
      <c r="I44" s="13" t="n">
        <v>8</v>
      </c>
      <c r="J44" s="13" t="n">
        <v>20</v>
      </c>
      <c r="K44" s="142" t="n">
        <v>3</v>
      </c>
      <c r="L44" s="13" t="n">
        <v>2</v>
      </c>
      <c r="M44" s="142" t="n">
        <v>1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Tabella52791124791618202224262830323436384042444648505254565860626468707274767880828486908892949698100102104106108110112114116118120122124126130128132134136138140142144146148150152154156158160162164166168170172174[[#This Row],[Colonna1]]*$Q3</f>
        <v>4.8</v>
      </c>
      <c r="T44" s="14" t="n">
        <f aca="false">Tabella52791124791618202224262830323436384042444648505254565860626468707274767880828486908892949698100102104106108110112114116118120122124126130128132134136138140142144146148150152154156158160162164166168170172174[[#This Row],[Colonna2]]*$Q3</f>
        <v>5.2</v>
      </c>
      <c r="U44" s="14" t="n">
        <f aca="false">Tabella52791124791618202224262830323436384042444648505254565860626468707274767880828486908892949698100102104106108110112114116118120122124126130128132134136138140142144146148150152154156158160162164166168170172174[[#This Row],[Colonna3]]*$Q3</f>
        <v>3.2</v>
      </c>
      <c r="V44" s="14" t="n">
        <f aca="false">Tabella52791124791618202224262830323436384042444648505254565860626468707274767880828486908892949698100102104106108110112114116118120122124126130128132134136138140142144146148150152154156158160162164166168170172174[[#This Row],[Colonna4]]*$Q3</f>
        <v>8</v>
      </c>
      <c r="W44" s="14" t="n">
        <f aca="false">Tabella52791124791618202224262830323436384042444648505254565860626468707274767880828486908892949698100102104106108110112114116118120122124126130128132134136138140142144146148150152154156158160162164166168170172174[[#This Row],[Colonna5]]*$Q3</f>
        <v>1.2</v>
      </c>
      <c r="X44" s="14" t="n">
        <f aca="false">Tabella52791124791618202224262830323436384042444648505254565860626468707274767880828486908892949698100102104106108110112114116118120122124126130128132134136138140142144146148150152154156158160162164166168170172174[[#This Row],[Colonna6]]*$Q3</f>
        <v>0.8</v>
      </c>
      <c r="Y44" s="14" t="n">
        <f aca="false">Tabella52791124791618202224262830323436384042444648505254565860626468707274767880828486908892949698100102104106108110112114116118120122124126130128132134136138140142144146148150152154156158160162164166168170172174[[#This Row],[Colonna7]]*$Q3</f>
        <v>0.4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/>
      <c r="I49" s="142" t="n">
        <v>1</v>
      </c>
      <c r="J49" s="142" t="n">
        <v>2</v>
      </c>
      <c r="K49" s="13"/>
      <c r="L49" s="13" t="n">
        <v>2</v>
      </c>
      <c r="M49" s="13" t="n">
        <v>1</v>
      </c>
      <c r="P49" s="18" t="s">
        <v>56</v>
      </c>
      <c r="Q49" s="18"/>
      <c r="R49" s="18"/>
      <c r="S49" s="14"/>
      <c r="T49" s="14"/>
      <c r="U49" s="14" t="n">
        <f aca="false">Tabella52791124791618202224262830323436384042444648505254565860626468707274767880828486908892949698100102104106108110112114116118120122124126130128132134136138140142144146148150152154156158160162164166168170172174[[#This Row],[Colonna3]]*$Q3</f>
        <v>0.4</v>
      </c>
      <c r="V49" s="14" t="n">
        <f aca="false">Tabella52791124791618202224262830323436384042444648505254565860626468707274767880828486908892949698100102104106108110112114116118120122124126130128132134136138140142144146148150152154156158160162164166168170172174[[#This Row],[Colonna4]]*$Q3</f>
        <v>0.8</v>
      </c>
      <c r="W49" s="14"/>
      <c r="X49" s="14" t="n">
        <f aca="false">Tabella52791124791618202224262830323436384042444648505254565860626468707274767880828486908892949698100102104106108110112114116118120122124126130128132134136138140142144146148150152154156158160162164166168170172174[[#This Row],[Colonna6]]*$Q3</f>
        <v>0.8</v>
      </c>
      <c r="Y49" s="14" t="n">
        <f aca="false">Tabella52791124791618202224262830323436384042444648505254565860626468707274767880828486908892949698100102104106108110112114116118120122124126130128132134136138140142144146148150152154156158160162164166168170172174[[#This Row],[Colonna7]]*$Q3</f>
        <v>0.4</v>
      </c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20</v>
      </c>
      <c r="H52" s="13" t="n">
        <v>9</v>
      </c>
      <c r="I52" s="13" t="n">
        <v>17</v>
      </c>
      <c r="J52" s="13" t="n">
        <v>17</v>
      </c>
      <c r="K52" s="13" t="n">
        <v>4</v>
      </c>
      <c r="L52" s="13" t="n">
        <v>7</v>
      </c>
      <c r="M52" s="13" t="n">
        <v>8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Tabella52791124791618202224262830323436384042444648505254565860626468707274767880828486908892949698100102104106108110112114116118120122124126130128132134136138140142144146148150152154156158160162164166168170172174[[#This Row],[Colonna1]]*$Q3</f>
        <v>8</v>
      </c>
      <c r="T52" s="14" t="n">
        <f aca="false">Tabella52791124791618202224262830323436384042444648505254565860626468707274767880828486908892949698100102104106108110112114116118120122124126130128132134136138140142144146148150152154156158160162164166168170172174[[#This Row],[Colonna2]]*$Q3</f>
        <v>3.6</v>
      </c>
      <c r="U52" s="14" t="n">
        <f aca="false">Tabella52791124791618202224262830323436384042444648505254565860626468707274767880828486908892949698100102104106108110112114116118120122124126130128132134136138140142144146148150152154156158160162164166168170172174[[#This Row],[Colonna3]]*$Q3</f>
        <v>6.8</v>
      </c>
      <c r="V52" s="14" t="n">
        <f aca="false">Tabella52791124791618202224262830323436384042444648505254565860626468707274767880828486908892949698100102104106108110112114116118120122124126130128132134136138140142144146148150152154156158160162164166168170172174[[#This Row],[Colonna4]]*$Q3</f>
        <v>6.8</v>
      </c>
      <c r="W52" s="14" t="n">
        <f aca="false">Tabella52791124791618202224262830323436384042444648505254565860626468707274767880828486908892949698100102104106108110112114116118120122124126130128132134136138140142144146148150152154156158160162164166168170172174[[#This Row],[Colonna5]]*$Q3</f>
        <v>1.6</v>
      </c>
      <c r="X52" s="14" t="n">
        <f aca="false">Tabella52791124791618202224262830323436384042444648505254565860626468707274767880828486908892949698100102104106108110112114116118120122124126130128132134136138140142144146148150152154156158160162164166168170172174[[#This Row],[Colonna6]]*$Q3</f>
        <v>2.8</v>
      </c>
      <c r="Y52" s="14" t="n">
        <f aca="false">Tabella52791124791618202224262830323436384042444648505254565860626468707274767880828486908892949698100102104106108110112114116118120122124126130128132134136138140142144146148150152154156158160162164166168170172174[[#This Row],[Colonna7]]*$Q3</f>
        <v>3.2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160</v>
      </c>
      <c r="H53" s="55" t="n">
        <f aca="false">SUM(H6:H52)</f>
        <v>237</v>
      </c>
      <c r="I53" s="55" t="n">
        <f aca="false">SUM(I6:I52)</f>
        <v>158</v>
      </c>
      <c r="J53" s="55" t="n">
        <f aca="false">SUM(J6:J52)</f>
        <v>181</v>
      </c>
      <c r="K53" s="55" t="n">
        <f aca="false">SUM(K6:K52)</f>
        <v>75</v>
      </c>
      <c r="L53" s="55" t="n">
        <f aca="false">SUM(L6:L52)</f>
        <v>55</v>
      </c>
      <c r="M53" s="55" t="n">
        <f aca="false">SUM(M6:M52)</f>
        <v>67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Tabella52791124791618202224262830323436384042444648505254565860626468707274767880828486908892949698100102104106108110112114116118120122124126130128132134136138140142144146148150152154156158160162164166168170172174[[#This Row],[Colonna1]]*$Q3</f>
        <v>64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Tabella52791124791618202224262830323436384042444648505254565860626468707274767880828486908892949698100102104106108110112114116118120122124126130128132134136138140142144146148150152154156158160162164166168170172174[[#This Row],[Colonna2]]*$Q3</f>
        <v>94.8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Tabella52791124791618202224262830323436384042444648505254565860626468707274767880828486908892949698100102104106108110112114116118120122124126130128132134136138140142144146148150152154156158160162164166168170172174[[#This Row],[Colonna3]]*$Q3</f>
        <v>63.2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Tabella52791124791618202224262830323436384042444648505254565860626468707274767880828486908892949698100102104106108110112114116118120122124126130128132134136138140142144146148150152154156158160162164166168170172174[[#This Row],[Colonna4]]*$Q3</f>
        <v>72.4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Tabella52791124791618202224262830323436384042444648505254565860626468707274767880828486908892949698100102104106108110112114116118120122124126130128132134136138140142144146148150152154156158160162164166168170172174[[#This Row],[Colonna5]]*$Q3</f>
        <v>30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Tabella52791124791618202224262830323436384042444648505254565860626468707274767880828486908892949698100102104106108110112114116118120122124126130128132134136138140142144146148150152154156158160162164166168170172174[[#This Row],[Colonna6]]*$Q3</f>
        <v>22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Tabella52791124791618202224262830323436384042444648505254565860626468707274767880828486908892949698100102104106108110112114116118120122124126130128132134136138140142144146148150152154156158160162164166168170172174[[#This Row],[Colonna7]]*$Q3</f>
        <v>26.8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235</v>
      </c>
      <c r="H58" s="26" t="n">
        <v>95</v>
      </c>
      <c r="I58" s="26" t="n">
        <v>136</v>
      </c>
      <c r="J58" s="26" t="n">
        <v>140</v>
      </c>
      <c r="K58" s="26" t="n">
        <v>146</v>
      </c>
      <c r="L58" s="26" t="n">
        <v>34</v>
      </c>
      <c r="M58" s="26" t="n">
        <v>100</v>
      </c>
      <c r="P58" s="23" t="s">
        <v>62</v>
      </c>
      <c r="Q58" s="23"/>
      <c r="R58" s="23"/>
      <c r="S58" s="57" t="n">
        <f aca="false">G58*$Q3</f>
        <v>94</v>
      </c>
      <c r="T58" s="57" t="n">
        <f aca="false">H58*$Q3</f>
        <v>38</v>
      </c>
      <c r="U58" s="57" t="n">
        <f aca="false">I58*$Q3</f>
        <v>54.4</v>
      </c>
      <c r="V58" s="57" t="n">
        <f aca="false">J58*$Q3</f>
        <v>56</v>
      </c>
      <c r="W58" s="57" t="n">
        <f aca="false">K58*$Q3</f>
        <v>58.4</v>
      </c>
      <c r="X58" s="57" t="n">
        <f aca="false">L58*$Q3</f>
        <v>13.6</v>
      </c>
      <c r="Y58" s="27" t="n">
        <f aca="false">M58*$Q3</f>
        <v>40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32</v>
      </c>
      <c r="H62" s="26" t="n">
        <v>17</v>
      </c>
      <c r="I62" s="26" t="n">
        <v>12</v>
      </c>
      <c r="J62" s="26" t="n">
        <v>17</v>
      </c>
      <c r="K62" s="26" t="n">
        <v>21</v>
      </c>
      <c r="L62" s="26" t="n">
        <v>7</v>
      </c>
      <c r="M62" s="26" t="n">
        <v>11</v>
      </c>
      <c r="P62" s="9" t="s">
        <v>66</v>
      </c>
      <c r="Q62" s="9"/>
      <c r="R62" s="9"/>
      <c r="S62" s="57" t="n">
        <f aca="false">G62*$Q3</f>
        <v>12.8</v>
      </c>
      <c r="T62" s="57" t="n">
        <f aca="false">H62*$Q3</f>
        <v>6.8</v>
      </c>
      <c r="U62" s="57" t="n">
        <f aca="false">I62*$Q3</f>
        <v>4.8</v>
      </c>
      <c r="V62" s="57" t="n">
        <f aca="false">J62*$Q3</f>
        <v>6.8</v>
      </c>
      <c r="W62" s="57" t="n">
        <f aca="false">K62*$Q3</f>
        <v>8.4</v>
      </c>
      <c r="X62" s="57" t="n">
        <f aca="false">L62*$Q3</f>
        <v>2.8</v>
      </c>
      <c r="Y62" s="57" t="n">
        <f aca="false">M62*$Q3</f>
        <v>4.4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3</v>
      </c>
      <c r="H63" s="164" t="n">
        <v>1</v>
      </c>
      <c r="I63" s="13" t="n">
        <v>4</v>
      </c>
      <c r="J63" s="26" t="n">
        <v>3</v>
      </c>
      <c r="K63" s="26" t="n">
        <v>7</v>
      </c>
      <c r="L63" s="26" t="n">
        <v>2</v>
      </c>
      <c r="M63" s="26" t="n">
        <v>7</v>
      </c>
      <c r="P63" s="9" t="s">
        <v>67</v>
      </c>
      <c r="Q63" s="9"/>
      <c r="R63" s="9"/>
      <c r="S63" s="57" t="n">
        <f aca="false">G63*$Q3</f>
        <v>1.2</v>
      </c>
      <c r="T63" s="57" t="n">
        <f aca="false">H63*$Q3</f>
        <v>0.4</v>
      </c>
      <c r="U63" s="57" t="n">
        <f aca="false">I63*$Q3</f>
        <v>1.6</v>
      </c>
      <c r="V63" s="57" t="n">
        <f aca="false">J63*$Q3</f>
        <v>1.2</v>
      </c>
      <c r="W63" s="57" t="n">
        <f aca="false">K63*$Q3</f>
        <v>2.8</v>
      </c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17</v>
      </c>
      <c r="H64" s="26" t="n">
        <v>12</v>
      </c>
      <c r="I64" s="26" t="n">
        <v>17</v>
      </c>
      <c r="J64" s="26" t="n">
        <v>22</v>
      </c>
      <c r="K64" s="26" t="n">
        <v>11</v>
      </c>
      <c r="L64" s="26" t="n">
        <v>18</v>
      </c>
      <c r="M64" s="26" t="n">
        <v>5</v>
      </c>
      <c r="P64" s="9" t="s">
        <v>68</v>
      </c>
      <c r="Q64" s="9"/>
      <c r="R64" s="9"/>
      <c r="S64" s="57" t="n">
        <f aca="false">G64*$Q3</f>
        <v>6.8</v>
      </c>
      <c r="T64" s="57" t="n">
        <f aca="false">H64*$Q3</f>
        <v>4.8</v>
      </c>
      <c r="U64" s="57" t="n">
        <f aca="false">I64*$Q3</f>
        <v>6.8</v>
      </c>
      <c r="V64" s="57" t="n">
        <f aca="false">J64*$Q3</f>
        <v>8.8</v>
      </c>
      <c r="W64" s="57" t="n">
        <f aca="false">K64*$Q3</f>
        <v>4.4</v>
      </c>
      <c r="X64" s="57" t="n">
        <f aca="false">L64*$Q3</f>
        <v>7.2</v>
      </c>
      <c r="Y64" s="57" t="n">
        <f aca="false">M64*$Q3</f>
        <v>2</v>
      </c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2</v>
      </c>
      <c r="H65" s="30"/>
      <c r="I65" s="30"/>
      <c r="J65" s="26"/>
      <c r="K65" s="26" t="n">
        <v>1</v>
      </c>
      <c r="L65" s="26" t="n">
        <v>10</v>
      </c>
      <c r="M65" s="26" t="n">
        <v>1</v>
      </c>
      <c r="P65" s="9" t="s">
        <v>69</v>
      </c>
      <c r="Q65" s="9"/>
      <c r="R65" s="9"/>
      <c r="S65" s="57"/>
      <c r="T65" s="57"/>
      <c r="U65" s="57"/>
      <c r="V65" s="57"/>
      <c r="W65" s="27" t="n">
        <f aca="false">K65*$Q3</f>
        <v>0.4</v>
      </c>
      <c r="X65" s="27" t="n">
        <f aca="false">L65*$Q3</f>
        <v>4</v>
      </c>
      <c r="Y65" s="27" t="n">
        <f aca="false">M65*$Q3</f>
        <v>0.4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3</v>
      </c>
      <c r="H67" s="139" t="n">
        <v>5</v>
      </c>
      <c r="I67" s="139" t="n">
        <v>6</v>
      </c>
      <c r="J67" s="26" t="n">
        <v>4</v>
      </c>
      <c r="K67" s="26" t="n">
        <v>2</v>
      </c>
      <c r="L67" s="26" t="n">
        <v>3</v>
      </c>
      <c r="M67" s="26" t="n">
        <v>8</v>
      </c>
      <c r="P67" s="9" t="s">
        <v>71</v>
      </c>
      <c r="Q67" s="9"/>
      <c r="R67" s="9"/>
      <c r="S67" s="57" t="n">
        <f aca="false">G67*$Q3</f>
        <v>1.2</v>
      </c>
      <c r="T67" s="57" t="n">
        <f aca="false">H67*$Q3</f>
        <v>2</v>
      </c>
      <c r="U67" s="57" t="n">
        <f aca="false">I67*$Q3</f>
        <v>2.4</v>
      </c>
      <c r="V67" s="57" t="n">
        <f aca="false">J67*$Q3</f>
        <v>1.6</v>
      </c>
      <c r="W67" s="57" t="n">
        <f aca="false">K67*$Q3</f>
        <v>0.8</v>
      </c>
      <c r="X67" s="57" t="n">
        <f aca="false">L67*$Q3</f>
        <v>1.2</v>
      </c>
      <c r="Y67" s="57" t="n">
        <f aca="false">M67*$Q3</f>
        <v>3.2</v>
      </c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6</v>
      </c>
      <c r="H68" s="30" t="n">
        <v>4</v>
      </c>
      <c r="I68" s="30" t="n">
        <v>2</v>
      </c>
      <c r="J68" s="30" t="n">
        <v>4</v>
      </c>
      <c r="K68" s="30"/>
      <c r="L68" s="30" t="n">
        <v>1</v>
      </c>
      <c r="M68" s="30"/>
      <c r="P68" s="9" t="s">
        <v>72</v>
      </c>
      <c r="Q68" s="9"/>
      <c r="R68" s="9"/>
      <c r="S68" s="57" t="n">
        <f aca="false">G68*$Q3</f>
        <v>2.4</v>
      </c>
      <c r="T68" s="57" t="n">
        <f aca="false">H68*$Q3</f>
        <v>1.6</v>
      </c>
      <c r="U68" s="57" t="n">
        <f aca="false">I68*$Q3</f>
        <v>0.8</v>
      </c>
      <c r="V68" s="57" t="n">
        <f aca="false">J68*$Q3</f>
        <v>1.6</v>
      </c>
      <c r="W68" s="57"/>
      <c r="X68" s="57" t="n">
        <f aca="false">L68*$Q3</f>
        <v>0.4</v>
      </c>
      <c r="Y68" s="57" t="n">
        <f aca="false">M68*$Q3</f>
        <v>0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135</v>
      </c>
      <c r="H69" s="30" t="n">
        <v>124</v>
      </c>
      <c r="I69" s="30" t="n">
        <v>99</v>
      </c>
      <c r="J69" s="30" t="n">
        <v>74</v>
      </c>
      <c r="K69" s="30" t="n">
        <v>61</v>
      </c>
      <c r="L69" s="30" t="n">
        <v>24</v>
      </c>
      <c r="M69" s="30" t="n">
        <v>12</v>
      </c>
      <c r="P69" s="9" t="s">
        <v>73</v>
      </c>
      <c r="Q69" s="9"/>
      <c r="R69" s="9"/>
      <c r="S69" s="57" t="n">
        <f aca="false">G69*$Q3</f>
        <v>54</v>
      </c>
      <c r="T69" s="57" t="n">
        <f aca="false">H69*$Q3</f>
        <v>49.6</v>
      </c>
      <c r="U69" s="57" t="n">
        <f aca="false">I69*$Q3</f>
        <v>39.6</v>
      </c>
      <c r="V69" s="57" t="n">
        <f aca="false">J69*$Q3</f>
        <v>29.6</v>
      </c>
      <c r="W69" s="57" t="n">
        <f aca="false">K69*$Q3</f>
        <v>24.4</v>
      </c>
      <c r="X69" s="57" t="n">
        <f aca="false">L69*$Q3</f>
        <v>9.6</v>
      </c>
      <c r="Y69" s="57" t="n">
        <f aca="false">M69*$Q3</f>
        <v>4.8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433</v>
      </c>
      <c r="H70" s="60" t="n">
        <f aca="false">SUM(H58:H69)</f>
        <v>258</v>
      </c>
      <c r="I70" s="60" t="n">
        <f aca="false">SUM(I58:I69)</f>
        <v>276</v>
      </c>
      <c r="J70" s="60" t="n">
        <f aca="false">SUM(J58:J69)</f>
        <v>264</v>
      </c>
      <c r="K70" s="60" t="n">
        <f aca="false">SUM(K58:K69)</f>
        <v>249</v>
      </c>
      <c r="L70" s="60" t="n">
        <f aca="false">SUM(L58:L69)</f>
        <v>99</v>
      </c>
      <c r="M70" s="60" t="n">
        <f aca="false">SUM(M58:M69)</f>
        <v>144</v>
      </c>
      <c r="P70" s="9" t="s">
        <v>60</v>
      </c>
      <c r="Q70" s="9"/>
      <c r="R70" s="9"/>
      <c r="S70" s="61" t="n">
        <f aca="false">G70*$Q3</f>
        <v>173.2</v>
      </c>
      <c r="T70" s="61" t="n">
        <f aca="false">H70*$Q3</f>
        <v>103.2</v>
      </c>
      <c r="U70" s="61" t="n">
        <f aca="false">I70*$Q3</f>
        <v>110.4</v>
      </c>
      <c r="V70" s="61" t="n">
        <f aca="false">J70*$Q3</f>
        <v>105.6</v>
      </c>
      <c r="W70" s="61" t="n">
        <f aca="false">K70*$Q3</f>
        <v>99.6</v>
      </c>
      <c r="X70" s="61" t="n">
        <f aca="false">L70*$Q3</f>
        <v>39.6</v>
      </c>
      <c r="Y70" s="32" t="n">
        <f aca="false">M70*$Q3</f>
        <v>57.6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N1" colorId="64" zoomScale="100" zoomScaleNormal="100" zoomScalePageLayoutView="100" workbookViewId="0">
      <selection pane="topLeft" activeCell="Z1" activeCellId="0" sqref="Z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107</v>
      </c>
      <c r="I3" s="119" t="s">
        <v>2</v>
      </c>
      <c r="J3" s="4" t="n">
        <v>45495</v>
      </c>
      <c r="K3" s="5" t="n">
        <v>45532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107</v>
      </c>
      <c r="U3" s="119" t="s">
        <v>2</v>
      </c>
      <c r="V3" s="4" t="n">
        <v>45495</v>
      </c>
      <c r="W3" s="5" t="n">
        <v>45532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4</v>
      </c>
      <c r="H7" s="13" t="n">
        <v>9</v>
      </c>
      <c r="I7" s="13" t="n">
        <v>14</v>
      </c>
      <c r="J7" s="13" t="n">
        <v>6</v>
      </c>
      <c r="K7" s="13" t="n">
        <v>1</v>
      </c>
      <c r="L7" s="13" t="n">
        <v>1</v>
      </c>
      <c r="M7" s="13" t="n">
        <v>2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Tabella52791124791618202224262830323436384042444648505254565860626468707274767880828486908892949698100102104106108110112114116118120122124126130128132134136138140142144146148150152154156158160162164166168170172174176180[[#This Row],[Colonna1]]*$Q3</f>
        <v>1.6</v>
      </c>
      <c r="T7" s="14" t="n">
        <f aca="false">Tabella52791124791618202224262830323436384042444648505254565860626468707274767880828486908892949698100102104106108110112114116118120122124126130128132134136138140142144146148150152154156158160162164166168170172174176180[[#This Row],[Colonna2]]*$Q3</f>
        <v>3.6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Tabella52791124791618202224262830323436384042444648505254565860626468707274767880828486908892949698100102104106108110112114116118120122124126130128132134136138140142144146148150152154156158160162164166168170172174176180[[#This Row],[Colonna3]]*$Q3</f>
        <v>5.6</v>
      </c>
      <c r="V7" s="14" t="n">
        <f aca="false">Tabella52791124791618202224262830323436384042444648505254565860626468707274767880828486908892949698100102104106108110112114116118120122124126130128132134136138140142144146148150152154156158160162164166168170172174176180[[#This Row],[Colonna4]]*$Q3</f>
        <v>2.4</v>
      </c>
      <c r="W7" s="14" t="n">
        <f aca="false">Tabella52791124791618202224262830323436384042444648505254565860626468707274767880828486908892949698100102104106108110112114116118120122124126130128132134136138140142144146148150152154156158160162164166168170172174176180[[#This Row],[Colonna5]]*$Q3</f>
        <v>0.4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Tabella52791124791618202224262830323436384042444648505254565860626468707274767880828486908892949698100102104106108110112114116118120122124126130128132134136138140142144146148150152154156158160162164166168170172174176180[[#This Row],[Colonna6]]*$Q3</f>
        <v>0.4</v>
      </c>
      <c r="Y7" s="14" t="n">
        <f aca="false">Tabella52791124791618202224262830323436384042444648505254565860626468707274767880828486908892949698100102104106108110112114116118120122124126130128132134136138140142144146148150152154156158160162164166168170172174176180[[#This Row],[Colonna7]]*$Q3</f>
        <v>0.8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1</v>
      </c>
      <c r="H12" s="13" t="n">
        <v>7</v>
      </c>
      <c r="I12" s="13" t="n">
        <v>4</v>
      </c>
      <c r="J12" s="13" t="n">
        <v>5</v>
      </c>
      <c r="K12" s="13" t="n">
        <v>2</v>
      </c>
      <c r="L12" s="13"/>
      <c r="M12" s="13"/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Row],[Colonna1]]*$Q3</f>
        <v>0.4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Row],[Colonna2]]*$Q3</f>
        <v>2.8</v>
      </c>
      <c r="U1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Row],[Colonna3]]*$Q3</f>
        <v>1.6</v>
      </c>
      <c r="V1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Row],[Colonna4]]*$Q3</f>
        <v>2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Row],[Colonna5]]*$Q3</f>
        <v>0.8</v>
      </c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1</v>
      </c>
      <c r="H15" s="13"/>
      <c r="I15" s="13"/>
      <c r="J15" s="13"/>
      <c r="K15" s="13" t="n">
        <v>1</v>
      </c>
      <c r="L15" s="13"/>
      <c r="M15" s="13"/>
      <c r="P15" s="12" t="s">
        <v>22</v>
      </c>
      <c r="Q15" s="12"/>
      <c r="R15" s="12"/>
      <c r="S15" s="14" t="n">
        <f aca="false">Tabella52791124791618202224262830323436384042444648505254565860626468707274767880828486908892949698100102104106108110112114116118120122124126130128132134136138140142144146148150152154156158160162164166168170172174176180[[#This Row],[Colonna1]]*$Q3</f>
        <v>0.4</v>
      </c>
      <c r="T15" s="14"/>
      <c r="U15" s="14"/>
      <c r="V15" s="14"/>
      <c r="W15" s="14" t="n">
        <f aca="false">Tabella52791124791618202224262830323436384042444648505254565860626468707274767880828486908892949698100102104106108110112114116118120122124126130128132134136138140142144146148150152154156158160162164166168170172174176180[[#This Row],[Colonna5]]*$Q3</f>
        <v>0.4</v>
      </c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5</v>
      </c>
      <c r="H22" s="13"/>
      <c r="I22" s="13" t="n">
        <v>5</v>
      </c>
      <c r="J22" s="13" t="n">
        <v>3</v>
      </c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Row],[Colonna1]]*$Q3</f>
        <v>2</v>
      </c>
      <c r="T22" s="14"/>
      <c r="U2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Row],[Colonna3]]*$Q3</f>
        <v>2</v>
      </c>
      <c r="V2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Row],[Colonna4]]*$Q3</f>
        <v>1.2</v>
      </c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6</v>
      </c>
      <c r="H26" s="13"/>
      <c r="I26" s="13" t="n">
        <v>2</v>
      </c>
      <c r="J26" s="13"/>
      <c r="K26" s="13"/>
      <c r="L26" s="13"/>
      <c r="M26" s="13"/>
      <c r="P26" s="12" t="s">
        <v>33</v>
      </c>
      <c r="Q26" s="12"/>
      <c r="R26" s="12"/>
      <c r="S26" s="14" t="n">
        <f aca="false">Tabella52791124791618202224262830323436384042444648505254565860626468707274767880828486908892949698100102104106108110112114116118120122124126130128132134136138140142144146148150152154156158160162164166168170172174176180[[#This Row],[Colonna1]]*$Q3</f>
        <v>2.4</v>
      </c>
      <c r="T26" s="14"/>
      <c r="U26" s="14" t="n">
        <f aca="false">Tabella52791124791618202224262830323436384042444648505254565860626468707274767880828486908892949698100102104106108110112114116118120122124126130128132134136138140142144146148150152154156158160162164166168170172174176180[[#This Row],[Colonna3]]*$Q3</f>
        <v>0.8</v>
      </c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18</v>
      </c>
      <c r="H29" s="13" t="n">
        <v>19</v>
      </c>
      <c r="I29" s="13" t="n">
        <v>19</v>
      </c>
      <c r="J29" s="13" t="n">
        <v>17</v>
      </c>
      <c r="K29" s="13" t="n">
        <v>3</v>
      </c>
      <c r="L29" s="13" t="n">
        <v>4</v>
      </c>
      <c r="M29" s="13" t="n">
        <v>4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Tabella52791124791618202224262830323436384042444648505254565860626468707274767880828486908892949698100102104106108110112114116118120122124126130128132134136138140142144146148150152154156158160162164166168170172174176180[[#This Row],[Colonna1]]*$Q3</f>
        <v>7.2</v>
      </c>
      <c r="T29" s="14" t="n">
        <f aca="false">Tabella52791124791618202224262830323436384042444648505254565860626468707274767880828486908892949698100102104106108110112114116118120122124126130128132134136138140142144146148150152154156158160162164166168170172174176180[[#This Row],[Colonna2]]*$Q3</f>
        <v>7.6</v>
      </c>
      <c r="U29" s="14" t="n">
        <f aca="false">Tabella52791124791618202224262830323436384042444648505254565860626468707274767880828486908892949698100102104106108110112114116118120122124126130128132134136138140142144146148150152154156158160162164166168170172174176180[[#This Row],[Colonna3]]*$Q3</f>
        <v>7.6</v>
      </c>
      <c r="V29" s="14" t="n">
        <f aca="false">Tabella52791124791618202224262830323436384042444648505254565860626468707274767880828486908892949698100102104106108110112114116118120122124126130128132134136138140142144146148150152154156158160162164166168170172174176180[[#This Row],[Colonna4]]*$Q3</f>
        <v>6.8</v>
      </c>
      <c r="W29" s="14" t="n">
        <f aca="false">Tabella52791124791618202224262830323436384042444648505254565860626468707274767880828486908892949698100102104106108110112114116118120122124126130128132134136138140142144146148150152154156158160162164166168170172174176180[[#This Row],[Colonna5]]*$Q3</f>
        <v>1.2</v>
      </c>
      <c r="X29" s="14" t="n">
        <f aca="false">Tabella52791124791618202224262830323436384042444648505254565860626468707274767880828486908892949698100102104106108110112114116118120122124126130128132134136138140142144146148150152154156158160162164166168170172174176180[[#This Row],[Colonna6]]*$Q3</f>
        <v>1.6</v>
      </c>
      <c r="Y29" s="14" t="n">
        <f aca="false">Tabella52791124791618202224262830323436384042444648505254565860626468707274767880828486908892949698100102104106108110112114116118120122124126130128132134136138140142144146148150152154156158160162164166168170172174176180[[#This Row],[Colonna7]]*$Q3</f>
        <v>1.6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 t="n">
        <v>2</v>
      </c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 t="n">
        <f aca="false">Tabella52791124791618202224262830323436384042444648505254565860626468707274767880828486908892949698100102104106108110112114116118120122124126130128132134136138140142144146148150152154156158160162164166168170172174176180[[#This Row],[Colonna3]]*$Q3</f>
        <v>0.8</v>
      </c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4</v>
      </c>
      <c r="H42" s="13" t="n">
        <v>3</v>
      </c>
      <c r="I42" s="13" t="n">
        <v>7</v>
      </c>
      <c r="J42" s="142" t="n">
        <v>6</v>
      </c>
      <c r="K42" s="13"/>
      <c r="L42" s="13" t="n">
        <v>1</v>
      </c>
      <c r="M42" s="13"/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Row],[Colonna1]]*$Q3</f>
        <v>1.6</v>
      </c>
      <c r="T4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Row],[Colonna2]]*$Q3</f>
        <v>1.2</v>
      </c>
      <c r="U4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Row],[Colonna3]]*$Q3</f>
        <v>2.8</v>
      </c>
      <c r="V4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Row],[Colonna4]]*$Q3</f>
        <v>2.4</v>
      </c>
      <c r="W42" s="14"/>
      <c r="X4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Row],[Colonna6]]*$Q3</f>
        <v>0.4</v>
      </c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 t="n">
        <v>4</v>
      </c>
      <c r="I44" s="13" t="n">
        <v>3</v>
      </c>
      <c r="J44" s="13" t="n">
        <v>5</v>
      </c>
      <c r="K44" s="142" t="n">
        <v>1</v>
      </c>
      <c r="L44" s="13" t="n">
        <v>1</v>
      </c>
      <c r="M44" s="142" t="n">
        <v>1</v>
      </c>
      <c r="P44" s="12" t="s">
        <v>51</v>
      </c>
      <c r="Q44" s="12"/>
      <c r="R44" s="12"/>
      <c r="S44" s="14"/>
      <c r="T44" s="14" t="n">
        <f aca="false">Tabella52791124791618202224262830323436384042444648505254565860626468707274767880828486908892949698100102104106108110112114116118120122124126130128132134136138140142144146148150152154156158160162164166168170172174176180[[#This Row],[Colonna2]]*$Q3</f>
        <v>1.6</v>
      </c>
      <c r="U44" s="14" t="n">
        <f aca="false">Tabella52791124791618202224262830323436384042444648505254565860626468707274767880828486908892949698100102104106108110112114116118120122124126130128132134136138140142144146148150152154156158160162164166168170172174176180[[#This Row],[Colonna3]]*$Q3</f>
        <v>1.2</v>
      </c>
      <c r="V44" s="14" t="n">
        <f aca="false">Tabella52791124791618202224262830323436384042444648505254565860626468707274767880828486908892949698100102104106108110112114116118120122124126130128132134136138140142144146148150152154156158160162164166168170172174176180[[#This Row],[Colonna4]]*$Q3</f>
        <v>2</v>
      </c>
      <c r="W44" s="14" t="n">
        <f aca="false">Tabella52791124791618202224262830323436384042444648505254565860626468707274767880828486908892949698100102104106108110112114116118120122124126130128132134136138140142144146148150152154156158160162164166168170172174176180[[#This Row],[Colonna5]]*$Q3</f>
        <v>0.4</v>
      </c>
      <c r="X44" s="14" t="n">
        <f aca="false">Tabella52791124791618202224262830323436384042444648505254565860626468707274767880828486908892949698100102104106108110112114116118120122124126130128132134136138140142144146148150152154156158160162164166168170172174176180[[#This Row],[Colonna6]]*$Q3</f>
        <v>0.4</v>
      </c>
      <c r="Y44" s="14" t="n">
        <f aca="false">Tabella52791124791618202224262830323436384042444648505254565860626468707274767880828486908892949698100102104106108110112114116118120122124126130128132134136138140142144146148150152154156158160162164166168170172174176180[[#This Row],[Colonna7]]*$Q3</f>
        <v>0.4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 t="n">
        <v>1</v>
      </c>
      <c r="I49" s="142"/>
      <c r="J49" s="142" t="n">
        <v>1</v>
      </c>
      <c r="K49" s="13"/>
      <c r="L49" s="13"/>
      <c r="M49" s="13"/>
      <c r="P49" s="18" t="s">
        <v>56</v>
      </c>
      <c r="Q49" s="18"/>
      <c r="R49" s="18"/>
      <c r="S49" s="14"/>
      <c r="T49" s="14" t="n">
        <f aca="false">Tabella52791124791618202224262830323436384042444648505254565860626468707274767880828486908892949698100102104106108110112114116118120122124126130128132134136138140142144146148150152154156158160162164166168170172174176180[[#This Row],[Colonna2]]*$Q3</f>
        <v>0.4</v>
      </c>
      <c r="U49" s="14"/>
      <c r="V49" s="14" t="n">
        <f aca="false">Tabella52791124791618202224262830323436384042444648505254565860626468707274767880828486908892949698100102104106108110112114116118120122124126130128132134136138140142144146148150152154156158160162164166168170172174176180[[#This Row],[Colonna4]]*$Q3</f>
        <v>0.4</v>
      </c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12</v>
      </c>
      <c r="H52" s="13" t="n">
        <v>20</v>
      </c>
      <c r="I52" s="13" t="n">
        <v>16</v>
      </c>
      <c r="J52" s="13" t="n">
        <v>17</v>
      </c>
      <c r="K52" s="13" t="n">
        <v>7</v>
      </c>
      <c r="L52" s="13" t="n">
        <v>12</v>
      </c>
      <c r="M52" s="13" t="n">
        <v>4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Row],[Colonna1]]*$Q3</f>
        <v>4.8</v>
      </c>
      <c r="T5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Row],[Colonna2]]*$Q3</f>
        <v>8</v>
      </c>
      <c r="U5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Row],[Colonna3]]*$Q3</f>
        <v>6.4</v>
      </c>
      <c r="V5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Row],[Colonna4]]*$Q3</f>
        <v>6.8</v>
      </c>
      <c r="W5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Row],[Colonna5]]*$Q3</f>
        <v>2.8</v>
      </c>
      <c r="X5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Row],[Colonna6]]*$Q3</f>
        <v>4.8</v>
      </c>
      <c r="Y5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Row],[Colonna7]]*$Q3</f>
        <v>1.6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51</v>
      </c>
      <c r="H53" s="55" t="n">
        <f aca="false">SUM(H6:H52)</f>
        <v>63</v>
      </c>
      <c r="I53" s="55" t="n">
        <f aca="false">SUM(I6:I52)</f>
        <v>72</v>
      </c>
      <c r="J53" s="55" t="n">
        <f aca="false">SUM(J6:J52)</f>
        <v>60</v>
      </c>
      <c r="K53" s="55" t="n">
        <f aca="false">SUM(K6:K52)</f>
        <v>15</v>
      </c>
      <c r="L53" s="55" t="n">
        <f aca="false">SUM(L6:L52)</f>
        <v>19</v>
      </c>
      <c r="M53" s="55" t="n">
        <f aca="false">SUM(M6:M52)</f>
        <v>11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Tabella52791124791618202224262830323436384042444648505254565860626468707274767880828486908892949698100102104106108110112114116118120122124126130128132134136138140142144146148150152154156158160162164166168170172174176180[[#This Row],[Colonna1]]*$Q3</f>
        <v>20.4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Tabella52791124791618202224262830323436384042444648505254565860626468707274767880828486908892949698100102104106108110112114116118120122124126130128132134136138140142144146148150152154156158160162164166168170172174176180[[#This Row],[Colonna2]]*$Q3</f>
        <v>25.2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Tabella52791124791618202224262830323436384042444648505254565860626468707274767880828486908892949698100102104106108110112114116118120122124126130128132134136138140142144146148150152154156158160162164166168170172174176180[[#This Row],[Colonna3]]*$Q3</f>
        <v>28.8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Tabella52791124791618202224262830323436384042444648505254565860626468707274767880828486908892949698100102104106108110112114116118120122124126130128132134136138140142144146148150152154156158160162164166168170172174176180[[#This Row],[Colonna4]]*$Q3</f>
        <v>24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Tabella52791124791618202224262830323436384042444648505254565860626468707274767880828486908892949698100102104106108110112114116118120122124126130128132134136138140142144146148150152154156158160162164166168170172174176180[[#This Row],[Colonna5]]*$Q3</f>
        <v>6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Tabella52791124791618202224262830323436384042444648505254565860626468707274767880828486908892949698100102104106108110112114116118120122124126130128132134136138140142144146148150152154156158160162164166168170172174176180[[#This Row],[Colonna6]]*$Q3</f>
        <v>7.6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Tabella52791124791618202224262830323436384042444648505254565860626468707274767880828486908892949698100102104106108110112114116118120122124126130128132134136138140142144146148150152154156158160162164166168170172174176180[[#This Row],[Colonna7]]*$Q3</f>
        <v>4.4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176</v>
      </c>
      <c r="H58" s="26" t="n">
        <v>150</v>
      </c>
      <c r="I58" s="26" t="n">
        <v>168</v>
      </c>
      <c r="J58" s="26" t="n">
        <v>322</v>
      </c>
      <c r="K58" s="26" t="n">
        <v>200</v>
      </c>
      <c r="L58" s="26" t="n">
        <v>83</v>
      </c>
      <c r="M58" s="26" t="n">
        <v>47</v>
      </c>
      <c r="P58" s="23" t="s">
        <v>62</v>
      </c>
      <c r="Q58" s="23"/>
      <c r="R58" s="23"/>
      <c r="S58" s="57" t="n">
        <f aca="false">G58*$Q3</f>
        <v>70.4</v>
      </c>
      <c r="T58" s="57" t="n">
        <f aca="false">H58*$Q3</f>
        <v>60</v>
      </c>
      <c r="U58" s="57" t="n">
        <f aca="false">I58*$Q3</f>
        <v>67.2</v>
      </c>
      <c r="V58" s="57" t="n">
        <f aca="false">J58*$Q3</f>
        <v>128.8</v>
      </c>
      <c r="W58" s="57" t="n">
        <f aca="false">K58*$Q3</f>
        <v>80</v>
      </c>
      <c r="X58" s="57" t="n">
        <f aca="false">L58*$Q3</f>
        <v>33.2</v>
      </c>
      <c r="Y58" s="27" t="n">
        <f aca="false">M58*$Q3</f>
        <v>18.8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25</v>
      </c>
      <c r="H62" s="26" t="n">
        <v>26</v>
      </c>
      <c r="I62" s="26" t="n">
        <v>32</v>
      </c>
      <c r="J62" s="26" t="n">
        <v>80</v>
      </c>
      <c r="K62" s="26" t="n">
        <v>15</v>
      </c>
      <c r="L62" s="26" t="n">
        <v>16</v>
      </c>
      <c r="M62" s="26" t="n">
        <v>13</v>
      </c>
      <c r="P62" s="9" t="s">
        <v>66</v>
      </c>
      <c r="Q62" s="9"/>
      <c r="R62" s="9"/>
      <c r="S62" s="57" t="n">
        <f aca="false">G62*$Q3</f>
        <v>10</v>
      </c>
      <c r="T62" s="57" t="n">
        <f aca="false">H62*$Q3</f>
        <v>10.4</v>
      </c>
      <c r="U62" s="57" t="n">
        <f aca="false">I62*$Q3</f>
        <v>12.8</v>
      </c>
      <c r="V62" s="57" t="n">
        <f aca="false">J62*$Q3</f>
        <v>32</v>
      </c>
      <c r="W62" s="57" t="n">
        <f aca="false">K62*$Q3</f>
        <v>6</v>
      </c>
      <c r="X62" s="57" t="n">
        <f aca="false">L62*$Q3</f>
        <v>6.4</v>
      </c>
      <c r="Y62" s="57" t="n">
        <f aca="false">M62*$Q3</f>
        <v>5.2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7</v>
      </c>
      <c r="H63" s="164" t="n">
        <v>5</v>
      </c>
      <c r="I63" s="13" t="n">
        <v>8</v>
      </c>
      <c r="J63" s="26" t="n">
        <v>12</v>
      </c>
      <c r="K63" s="26" t="n">
        <v>8</v>
      </c>
      <c r="L63" s="26" t="n">
        <v>1</v>
      </c>
      <c r="M63" s="26" t="n">
        <v>8</v>
      </c>
      <c r="P63" s="9" t="s">
        <v>67</v>
      </c>
      <c r="Q63" s="9"/>
      <c r="R63" s="9"/>
      <c r="S63" s="57" t="n">
        <f aca="false">G63*$Q3</f>
        <v>2.8</v>
      </c>
      <c r="T63" s="57" t="n">
        <f aca="false">H63*$Q3</f>
        <v>2</v>
      </c>
      <c r="U63" s="57" t="n">
        <f aca="false">I63*$Q3</f>
        <v>3.2</v>
      </c>
      <c r="V63" s="57" t="n">
        <f aca="false">J63*$Q3</f>
        <v>4.8</v>
      </c>
      <c r="W63" s="57" t="n">
        <f aca="false">K63*$Q3</f>
        <v>3.2</v>
      </c>
      <c r="X63" s="57" t="n">
        <f aca="false">L63*$Q3</f>
        <v>0.4</v>
      </c>
      <c r="Y63" s="57" t="n">
        <f aca="false">M63*$Q3</f>
        <v>3.2</v>
      </c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9</v>
      </c>
      <c r="H64" s="26" t="n">
        <v>6</v>
      </c>
      <c r="I64" s="26" t="n">
        <v>19</v>
      </c>
      <c r="J64" s="26" t="n">
        <v>22</v>
      </c>
      <c r="K64" s="26" t="n">
        <v>8</v>
      </c>
      <c r="L64" s="26" t="n">
        <v>8</v>
      </c>
      <c r="M64" s="26" t="n">
        <v>7</v>
      </c>
      <c r="P64" s="9" t="s">
        <v>68</v>
      </c>
      <c r="Q64" s="9"/>
      <c r="R64" s="9"/>
      <c r="S64" s="57" t="n">
        <f aca="false">G64*$Q3</f>
        <v>3.6</v>
      </c>
      <c r="T64" s="57" t="n">
        <f aca="false">H64*$Q3</f>
        <v>2.4</v>
      </c>
      <c r="U64" s="57" t="n">
        <f aca="false">I64*$Q3</f>
        <v>7.6</v>
      </c>
      <c r="V64" s="57" t="n">
        <f aca="false">J64*$Q3</f>
        <v>8.8</v>
      </c>
      <c r="W64" s="57" t="n">
        <f aca="false">K64*$Q3</f>
        <v>3.2</v>
      </c>
      <c r="X64" s="57" t="n">
        <f aca="false">L64*$Q3</f>
        <v>3.2</v>
      </c>
      <c r="Y64" s="57" t="n">
        <f aca="false">M64*$Q3</f>
        <v>2.8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 t="n">
        <v>2</v>
      </c>
      <c r="J65" s="26" t="n">
        <v>4</v>
      </c>
      <c r="K65" s="26"/>
      <c r="L65" s="26" t="n">
        <v>1</v>
      </c>
      <c r="M65" s="26"/>
      <c r="P65" s="9" t="s">
        <v>69</v>
      </c>
      <c r="Q65" s="9"/>
      <c r="R65" s="9"/>
      <c r="S65" s="57"/>
      <c r="T65" s="57"/>
      <c r="U65" s="27" t="n">
        <f aca="false">I65*$Q3</f>
        <v>0.8</v>
      </c>
      <c r="V65" s="27" t="n">
        <f aca="false">J65*$Q3</f>
        <v>1.6</v>
      </c>
      <c r="W65" s="27"/>
      <c r="X65" s="27" t="n">
        <f aca="false">L65*$Q3</f>
        <v>0.4</v>
      </c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20</v>
      </c>
      <c r="H67" s="139" t="n">
        <v>17</v>
      </c>
      <c r="I67" s="139" t="n">
        <v>23</v>
      </c>
      <c r="J67" s="26" t="n">
        <v>14</v>
      </c>
      <c r="K67" s="26" t="n">
        <v>7</v>
      </c>
      <c r="L67" s="26" t="n">
        <v>3</v>
      </c>
      <c r="M67" s="26" t="n">
        <v>2</v>
      </c>
      <c r="P67" s="9" t="s">
        <v>71</v>
      </c>
      <c r="Q67" s="9"/>
      <c r="R67" s="9"/>
      <c r="S67" s="57" t="n">
        <f aca="false">G67*$Q3</f>
        <v>8</v>
      </c>
      <c r="T67" s="57" t="n">
        <f aca="false">H67*$Q3</f>
        <v>6.8</v>
      </c>
      <c r="U67" s="57" t="n">
        <f aca="false">I67*$Q3</f>
        <v>9.2</v>
      </c>
      <c r="V67" s="57" t="n">
        <f aca="false">J67*$Q3</f>
        <v>5.6</v>
      </c>
      <c r="W67" s="57" t="n">
        <f aca="false">K67*$Q3</f>
        <v>2.8</v>
      </c>
      <c r="X67" s="57" t="n">
        <f aca="false">L67*$Q3</f>
        <v>1.2</v>
      </c>
      <c r="Y67" s="57" t="n">
        <f aca="false">M67*$Q3</f>
        <v>0.8</v>
      </c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5</v>
      </c>
      <c r="H68" s="30" t="n">
        <v>2</v>
      </c>
      <c r="I68" s="30" t="n">
        <v>6</v>
      </c>
      <c r="J68" s="30" t="n">
        <v>7</v>
      </c>
      <c r="K68" s="30" t="n">
        <v>2</v>
      </c>
      <c r="L68" s="30"/>
      <c r="M68" s="30"/>
      <c r="P68" s="9" t="s">
        <v>72</v>
      </c>
      <c r="Q68" s="9"/>
      <c r="R68" s="9"/>
      <c r="S68" s="57" t="n">
        <f aca="false">G68*$Q3</f>
        <v>2</v>
      </c>
      <c r="T68" s="57" t="n">
        <f aca="false">H68*$Q3</f>
        <v>0.8</v>
      </c>
      <c r="U68" s="57" t="n">
        <f aca="false">I68*$Q3</f>
        <v>2.4</v>
      </c>
      <c r="V68" s="57" t="n">
        <f aca="false">J68*$Q3</f>
        <v>2.8</v>
      </c>
      <c r="W68" s="57" t="n">
        <f aca="false">K68*$Q3</f>
        <v>0.8</v>
      </c>
      <c r="X68" s="57"/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23</v>
      </c>
      <c r="H69" s="30" t="n">
        <v>1</v>
      </c>
      <c r="I69" s="30" t="n">
        <v>11</v>
      </c>
      <c r="J69" s="30" t="n">
        <v>22</v>
      </c>
      <c r="K69" s="30" t="n">
        <v>10</v>
      </c>
      <c r="L69" s="30" t="n">
        <v>9</v>
      </c>
      <c r="M69" s="30" t="n">
        <v>27</v>
      </c>
      <c r="P69" s="9" t="s">
        <v>73</v>
      </c>
      <c r="Q69" s="9"/>
      <c r="R69" s="9"/>
      <c r="S69" s="57" t="n">
        <f aca="false">G69*$Q3</f>
        <v>9.2</v>
      </c>
      <c r="T69" s="57" t="n">
        <f aca="false">H69*$Q3</f>
        <v>0.4</v>
      </c>
      <c r="U69" s="57" t="n">
        <f aca="false">I69*$Q3</f>
        <v>4.4</v>
      </c>
      <c r="V69" s="57" t="n">
        <f aca="false">J69*$Q3</f>
        <v>8.8</v>
      </c>
      <c r="W69" s="57" t="n">
        <f aca="false">K69*$Q3</f>
        <v>4</v>
      </c>
      <c r="X69" s="57" t="n">
        <f aca="false">L69*$Q3</f>
        <v>3.6</v>
      </c>
      <c r="Y69" s="57" t="n">
        <f aca="false">M69*$Q3</f>
        <v>10.8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265</v>
      </c>
      <c r="H70" s="60" t="n">
        <f aca="false">SUM(H58:H69)</f>
        <v>207</v>
      </c>
      <c r="I70" s="60" t="n">
        <f aca="false">SUM(I58:I69)</f>
        <v>269</v>
      </c>
      <c r="J70" s="60" t="n">
        <f aca="false">SUM(J58:J69)</f>
        <v>483</v>
      </c>
      <c r="K70" s="60" t="n">
        <f aca="false">SUM(K58:K69)</f>
        <v>250</v>
      </c>
      <c r="L70" s="60" t="n">
        <f aca="false">SUM(L58:L69)</f>
        <v>121</v>
      </c>
      <c r="M70" s="60" t="n">
        <f aca="false">SUM(M58:M69)</f>
        <v>104</v>
      </c>
      <c r="P70" s="9" t="s">
        <v>60</v>
      </c>
      <c r="Q70" s="9"/>
      <c r="R70" s="9"/>
      <c r="S70" s="61" t="n">
        <f aca="false">G70*$Q3</f>
        <v>106</v>
      </c>
      <c r="T70" s="61" t="n">
        <f aca="false">H70*$Q3</f>
        <v>82.8</v>
      </c>
      <c r="U70" s="61" t="n">
        <f aca="false">I70*$Q3</f>
        <v>107.6</v>
      </c>
      <c r="V70" s="61" t="n">
        <f aca="false">J70*$Q3</f>
        <v>193.2</v>
      </c>
      <c r="W70" s="61" t="n">
        <f aca="false">K70*$Q3</f>
        <v>100</v>
      </c>
      <c r="X70" s="61" t="n">
        <f aca="false">L70*$Q3</f>
        <v>48.4</v>
      </c>
      <c r="Y70" s="32" t="n">
        <f aca="false">M70*$Q3</f>
        <v>41.6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N16" colorId="64" zoomScale="100" zoomScaleNormal="100" zoomScalePageLayoutView="100" workbookViewId="0">
      <selection pane="topLeft" activeCell="AB11" activeCellId="0" sqref="AB1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108</v>
      </c>
      <c r="I3" s="119" t="s">
        <v>2</v>
      </c>
      <c r="J3" s="4" t="n">
        <v>45502</v>
      </c>
      <c r="K3" s="5" t="n">
        <v>45508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108</v>
      </c>
      <c r="U3" s="119" t="s">
        <v>2</v>
      </c>
      <c r="V3" s="4" t="n">
        <v>45488</v>
      </c>
      <c r="W3" s="5" t="n">
        <v>45494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5</v>
      </c>
      <c r="H7" s="13" t="n">
        <v>7</v>
      </c>
      <c r="I7" s="13" t="n">
        <v>1</v>
      </c>
      <c r="J7" s="13" t="n">
        <v>10</v>
      </c>
      <c r="K7" s="13" t="n">
        <v>7</v>
      </c>
      <c r="L7" s="13" t="n">
        <v>5</v>
      </c>
      <c r="M7" s="13"/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Tabella52791124791618202224262830323436384042444648505254565860626468707274767880828486908892949698100102104106108110112114116118120122124126130128132134136138140142144146148150152154156158160162164166168170172174176[[#This Row],[Colonna1]]*$Q3</f>
        <v>2</v>
      </c>
      <c r="T7" s="14" t="n">
        <f aca="false">Tabella52791124791618202224262830323436384042444648505254565860626468707274767880828486908892949698100102104106108110112114116118120122124126130128132134136138140142144146148150152154156158160162164166168170172174176[[#This Row],[Colonna2]]*$Q3</f>
        <v>2.8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Tabella52791124791618202224262830323436384042444648505254565860626468707274767880828486908892949698100102104106108110112114116118120122124126130128132134136138140142144146148150152154156158160162164166168170172174176[[#This Row],[Colonna3]]*$Q3</f>
        <v>0.4</v>
      </c>
      <c r="V7" s="14" t="n">
        <f aca="false">Tabella52791124791618202224262830323436384042444648505254565860626468707274767880828486908892949698100102104106108110112114116118120122124126130128132134136138140142144146148150152154156158160162164166168170172174176[[#This Row],[Colonna4]]*$Q3</f>
        <v>4</v>
      </c>
      <c r="W7" s="14" t="n">
        <f aca="false">Tabella52791124791618202224262830323436384042444648505254565860626468707274767880828486908892949698100102104106108110112114116118120122124126130128132134136138140142144146148150152154156158160162164166168170172174176[[#This Row],[Colonna5]]*$Q3</f>
        <v>2.8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Tabella52791124791618202224262830323436384042444648505254565860626468707274767880828486908892949698100102104106108110112114116118120122124126130128132134136138140142144146148150152154156158160162164166168170172174176[[#This Row],[Colonna6]]*$Q3</f>
        <v>2</v>
      </c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5</v>
      </c>
      <c r="H12" s="13" t="n">
        <v>8</v>
      </c>
      <c r="I12" s="13" t="n">
        <v>8</v>
      </c>
      <c r="J12" s="13" t="n">
        <v>7</v>
      </c>
      <c r="K12" s="13" t="n">
        <v>8</v>
      </c>
      <c r="L12" s="13" t="n">
        <v>14</v>
      </c>
      <c r="M12" s="13" t="n">
        <v>1</v>
      </c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Tabella52791124791618202224262830323436384042444648505254565860626468707274767880828486908892949698100102104106108110112114116118120122124126130128132134136138140142144146148150152154156158160162164166168170172174176[[#This Row],[Colonna1]]*$Q3</f>
        <v>2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Tabella52791124791618202224262830323436384042444648505254565860626468707274767880828486908892949698100102104106108110112114116118120122124126130128132134136138140142144146148150152154156158160162164166168170172174176[[#This Row],[Colonna2]]*$Q3</f>
        <v>3.2</v>
      </c>
      <c r="U12" s="14" t="n">
        <f aca="false">Tabella52791124791618202224262830323436384042444648505254565860626468707274767880828486908892949698100102104106108110112114116118120122124126130128132134136138140142144146148150152154156158160162164166168170172174176[[#This Row],[Colonna3]]*$Q3</f>
        <v>3.2</v>
      </c>
      <c r="V12" s="14" t="n">
        <f aca="false">Tabella52791124791618202224262830323436384042444648505254565860626468707274767880828486908892949698100102104106108110112114116118120122124126130128132134136138140142144146148150152154156158160162164166168170172174176[[#This Row],[Colonna4]]*$Q3</f>
        <v>2.8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Tabella52791124791618202224262830323436384042444648505254565860626468707274767880828486908892949698100102104106108110112114116118120122124126130128132134136138140142144146148150152154156158160162164166168170172174176[[#This Row],[Colonna5]]*$Q3</f>
        <v>3.2</v>
      </c>
      <c r="X12" s="14" t="n">
        <f aca="false">Tabella52791124791618202224262830323436384042444648505254565860626468707274767880828486908892949698100102104106108110112114116118120122124126130128132134136138140142144146148150152154156158160162164166168170172174176[[#This Row],[Colonna6]]*$Q3</f>
        <v>5.6</v>
      </c>
      <c r="Y12" s="14" t="n">
        <f aca="false">Tabella52791124791618202224262830323436384042444648505254565860626468707274767880828486908892949698100102104106108110112114116118120122124126130128132134136138140142144146148150152154156158160162164166168170172174176[[#This Row],[Colonna7]]*$Q3</f>
        <v>0.4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2</v>
      </c>
      <c r="H15" s="13"/>
      <c r="I15" s="13"/>
      <c r="J15" s="13"/>
      <c r="K15" s="13" t="n">
        <v>2</v>
      </c>
      <c r="L15" s="13" t="n">
        <v>1</v>
      </c>
      <c r="M15" s="13"/>
      <c r="P15" s="12" t="s">
        <v>22</v>
      </c>
      <c r="Q15" s="12"/>
      <c r="R15" s="12"/>
      <c r="S15" s="14" t="n">
        <f aca="false">Tabella52791124791618202224262830323436384042444648505254565860626468707274767880828486908892949698100102104106108110112114116118120122124126130128132134136138140142144146148150152154156158160162164166168170172174176[[#This Row],[Colonna1]]*$Q3</f>
        <v>0.8</v>
      </c>
      <c r="T15" s="14"/>
      <c r="U15" s="14"/>
      <c r="V15" s="14"/>
      <c r="W15" s="14" t="n">
        <f aca="false">Tabella52791124791618202224262830323436384042444648505254565860626468707274767880828486908892949698100102104106108110112114116118120122124126130128132134136138140142144146148150152154156158160162164166168170172174176[[#This Row],[Colonna5]]*$Q3</f>
        <v>0.8</v>
      </c>
      <c r="X15" s="14" t="n">
        <f aca="false">Tabella52791124791618202224262830323436384042444648505254565860626468707274767880828486908892949698100102104106108110112114116118120122124126130128132134136138140142144146148150152154156158160162164166168170172174176[[#This Row],[Colonna6]]*$Q3</f>
        <v>0.4</v>
      </c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 t="n">
        <v>1</v>
      </c>
      <c r="H16" s="13" t="n">
        <v>1</v>
      </c>
      <c r="I16" s="13"/>
      <c r="J16" s="13"/>
      <c r="K16" s="13"/>
      <c r="L16" s="13"/>
      <c r="M16" s="13"/>
      <c r="P16" s="12" t="s">
        <v>23</v>
      </c>
      <c r="Q16" s="12"/>
      <c r="R16" s="12"/>
      <c r="S16" s="14" t="n">
        <f aca="false">Tabella52791124791618202224262830323436384042444648505254565860626468707274767880828486908892949698100102104106108110112114116118120122124126130128132134136138140142144146148150152154156158160162164166168170172174176[[#This Row],[Colonna1]]*$Q3</f>
        <v>0.4</v>
      </c>
      <c r="T16" s="14" t="n">
        <f aca="false">Tabella52791124791618202224262830323436384042444648505254565860626468707274767880828486908892949698100102104106108110112114116118120122124126130128132134136138140142144146148150152154156158160162164166168170172174176[[#This Row],[Colonna2]]*$Q3</f>
        <v>0.4</v>
      </c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3</v>
      </c>
      <c r="H22" s="13"/>
      <c r="I22" s="13" t="n">
        <v>1</v>
      </c>
      <c r="J22" s="13"/>
      <c r="K22" s="13" t="n">
        <v>1</v>
      </c>
      <c r="L22" s="13" t="n">
        <v>2</v>
      </c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Tabella52791124791618202224262830323436384042444648505254565860626468707274767880828486908892949698100102104106108110112114116118120122124126130128132134136138140142144146148150152154156158160162164166168170172174176[[#This Row],[Colonna1]]*$Q3</f>
        <v>1.2</v>
      </c>
      <c r="T22" s="14"/>
      <c r="U22" s="14" t="n">
        <f aca="false">Tabella52791124791618202224262830323436384042444648505254565860626468707274767880828486908892949698100102104106108110112114116118120122124126130128132134136138140142144146148150152154156158160162164166168170172174176[[#This Row],[Colonna3]]*$Q3</f>
        <v>0.4</v>
      </c>
      <c r="V22" s="14"/>
      <c r="W22" s="14" t="n">
        <f aca="false">Tabella52791124791618202224262830323436384042444648505254565860626468707274767880828486908892949698100102104106108110112114116118120122124126130128132134136138140142144146148150152154156158160162164166168170172174176[[#This Row],[Colonna5]]*$Q3</f>
        <v>0.4</v>
      </c>
      <c r="X22" s="14" t="n">
        <f aca="false">Tabella52791124791618202224262830323436384042444648505254565860626468707274767880828486908892949698100102104106108110112114116118120122124126130128132134136138140142144146148150152154156158160162164166168170172174176[[#This Row],[Colonna6]]*$Q3</f>
        <v>0.8</v>
      </c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 t="n">
        <v>1</v>
      </c>
      <c r="I23" s="13" t="n">
        <v>1</v>
      </c>
      <c r="J23" s="13"/>
      <c r="K23" s="13"/>
      <c r="L23" s="13"/>
      <c r="M23" s="13"/>
      <c r="P23" s="17" t="s">
        <v>30</v>
      </c>
      <c r="Q23" s="17"/>
      <c r="R23" s="17"/>
      <c r="S23" s="14"/>
      <c r="T23" s="14" t="n">
        <f aca="false">Tabella52791124791618202224262830323436384042444648505254565860626468707274767880828486908892949698100102104106108110112114116118120122124126130128132134136138140142144146148150152154156158160162164166168170172174176[[#This Row],[Colonna2]]*$Q3</f>
        <v>0.4</v>
      </c>
      <c r="U23" s="14" t="n">
        <f aca="false">Tabella52791124791618202224262830323436384042444648505254565860626468707274767880828486908892949698100102104106108110112114116118120122124126130128132134136138140142144146148150152154156158160162164166168170172174176[[#This Row],[Colonna3]]*$Q3</f>
        <v>0.4</v>
      </c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 t="n">
        <v>2</v>
      </c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 t="n">
        <f aca="false">Tabella52791124791618202224262830323436384042444648505254565860626468707274767880828486908892949698100102104106108110112114116118120122124126130128132134136138140142144146148150152154156158160162164166168170172174176[[#This Row],[Colonna6]]*$Q3</f>
        <v>0.8</v>
      </c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12</v>
      </c>
      <c r="H29" s="13" t="n">
        <v>9</v>
      </c>
      <c r="I29" s="13" t="n">
        <v>8</v>
      </c>
      <c r="J29" s="13" t="n">
        <v>8</v>
      </c>
      <c r="K29" s="13" t="n">
        <v>11</v>
      </c>
      <c r="L29" s="13" t="n">
        <v>7</v>
      </c>
      <c r="M29" s="13" t="n">
        <v>2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Tabella52791124791618202224262830323436384042444648505254565860626468707274767880828486908892949698100102104106108110112114116118120122124126130128132134136138140142144146148150152154156158160162164166168170172174176[[#This Row],[Colonna1]]*$Q3</f>
        <v>4.8</v>
      </c>
      <c r="T29" s="14" t="n">
        <f aca="false">Tabella52791124791618202224262830323436384042444648505254565860626468707274767880828486908892949698100102104106108110112114116118120122124126130128132134136138140142144146148150152154156158160162164166168170172174176[[#This Row],[Colonna2]]*$Q3</f>
        <v>3.6</v>
      </c>
      <c r="U29" s="14" t="n">
        <f aca="false">Tabella52791124791618202224262830323436384042444648505254565860626468707274767880828486908892949698100102104106108110112114116118120122124126130128132134136138140142144146148150152154156158160162164166168170172174176[[#This Row],[Colonna3]]*$Q3</f>
        <v>3.2</v>
      </c>
      <c r="V29" s="14" t="n">
        <f aca="false">Tabella52791124791618202224262830323436384042444648505254565860626468707274767880828486908892949698100102104106108110112114116118120122124126130128132134136138140142144146148150152154156158160162164166168170172174176[[#This Row],[Colonna4]]*$Q3</f>
        <v>3.2</v>
      </c>
      <c r="W29" s="14" t="n">
        <f aca="false">Tabella52791124791618202224262830323436384042444648505254565860626468707274767880828486908892949698100102104106108110112114116118120122124126130128132134136138140142144146148150152154156158160162164166168170172174176[[#This Row],[Colonna5]]*$Q3</f>
        <v>4.4</v>
      </c>
      <c r="X29" s="14" t="n">
        <f aca="false">Tabella52791124791618202224262830323436384042444648505254565860626468707274767880828486908892949698100102104106108110112114116118120122124126130128132134136138140142144146148150152154156158160162164166168170172174176[[#This Row],[Colonna6]]*$Q3</f>
        <v>2.8</v>
      </c>
      <c r="Y29" s="14" t="n">
        <f aca="false">Tabella52791124791618202224262830323436384042444648505254565860626468707274767880828486908892949698100102104106108110112114116118120122124126130128132134136138140142144146148150152154156158160162164166168170172174176[[#This Row],[Colonna7]]*$Q3</f>
        <v>0.8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3</v>
      </c>
      <c r="H42" s="13" t="n">
        <v>2</v>
      </c>
      <c r="I42" s="13" t="n">
        <v>2</v>
      </c>
      <c r="J42" s="142" t="n">
        <v>4</v>
      </c>
      <c r="K42" s="13" t="n">
        <v>5</v>
      </c>
      <c r="L42" s="13" t="n">
        <v>2</v>
      </c>
      <c r="M42" s="13"/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Tabella52791124791618202224262830323436384042444648505254565860626468707274767880828486908892949698100102104106108110112114116118120122124126130128132134136138140142144146148150152154156158160162164166168170172174176[[#This Row],[Colonna1]]*$Q3</f>
        <v>1.2</v>
      </c>
      <c r="T42" s="14" t="n">
        <f aca="false">Tabella52791124791618202224262830323436384042444648505254565860626468707274767880828486908892949698100102104106108110112114116118120122124126130128132134136138140142144146148150152154156158160162164166168170172174176[[#This Row],[Colonna2]]*$Q3</f>
        <v>0.8</v>
      </c>
      <c r="U42" s="14" t="n">
        <f aca="false">Tabella52791124791618202224262830323436384042444648505254565860626468707274767880828486908892949698100102104106108110112114116118120122124126130128132134136138140142144146148150152154156158160162164166168170172174176[[#This Row],[Colonna3]]*$Q3</f>
        <v>0.8</v>
      </c>
      <c r="V42" s="14" t="n">
        <f aca="false">Tabella52791124791618202224262830323436384042444648505254565860626468707274767880828486908892949698100102104106108110112114116118120122124126130128132134136138140142144146148150152154156158160162164166168170172174176[[#This Row],[Colonna4]]*$Q3</f>
        <v>1.6</v>
      </c>
      <c r="W42" s="14" t="n">
        <f aca="false">Tabella52791124791618202224262830323436384042444648505254565860626468707274767880828486908892949698100102104106108110112114116118120122124126130128132134136138140142144146148150152154156158160162164166168170172174176[[#This Row],[Colonna5]]*$Q3</f>
        <v>2</v>
      </c>
      <c r="X42" s="14" t="n">
        <f aca="false">Tabella52791124791618202224262830323436384042444648505254565860626468707274767880828486908892949698100102104106108110112114116118120122124126130128132134136138140142144146148150152154156158160162164166168170172174176[[#This Row],[Colonna6]]*$Q3</f>
        <v>0.8</v>
      </c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</v>
      </c>
      <c r="H44" s="13" t="n">
        <v>1</v>
      </c>
      <c r="I44" s="13"/>
      <c r="J44" s="13" t="n">
        <v>1</v>
      </c>
      <c r="K44" s="142"/>
      <c r="L44" s="13"/>
      <c r="M44" s="142" t="n">
        <v>2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Tabella52791124791618202224262830323436384042444648505254565860626468707274767880828486908892949698100102104106108110112114116118120122124126130128132134136138140142144146148150152154156158160162164166168170172174176[[#This Row],[Colonna1]]*$Q3</f>
        <v>0.8</v>
      </c>
      <c r="T44" s="14" t="n">
        <f aca="false">Tabella52791124791618202224262830323436384042444648505254565860626468707274767880828486908892949698100102104106108110112114116118120122124126130128132134136138140142144146148150152154156158160162164166168170172174176[[#This Row],[Colonna2]]*$Q3</f>
        <v>0.4</v>
      </c>
      <c r="U44" s="14"/>
      <c r="V44" s="14" t="n">
        <f aca="false">Tabella52791124791618202224262830323436384042444648505254565860626468707274767880828486908892949698100102104106108110112114116118120122124126130128132134136138140142144146148150152154156158160162164166168170172174176[[#This Row],[Colonna4]]*$Q3</f>
        <v>0.4</v>
      </c>
      <c r="W44" s="14"/>
      <c r="X44" s="14"/>
      <c r="Y44" s="14" t="n">
        <f aca="false">Tabella52791124791618202224262830323436384042444648505254565860626468707274767880828486908892949698100102104106108110112114116118120122124126130128132134136138140142144146148150152154156158160162164166168170172174176[[#This Row],[Colonna7]]*$Q3</f>
        <v>0.8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/>
      <c r="I49" s="142"/>
      <c r="J49" s="142"/>
      <c r="K49" s="13"/>
      <c r="L49" s="13"/>
      <c r="M49" s="13" t="n">
        <v>1</v>
      </c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 t="n">
        <f aca="false">Tabella52791124791618202224262830323436384042444648505254565860626468707274767880828486908892949698100102104106108110112114116118120122124126130128132134136138140142144146148150152154156158160162164166168170172174176[[#This Row],[Colonna7]]*$Q3</f>
        <v>0.4</v>
      </c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15</v>
      </c>
      <c r="H52" s="13" t="n">
        <v>30</v>
      </c>
      <c r="I52" s="13" t="n">
        <v>22</v>
      </c>
      <c r="J52" s="13" t="n">
        <v>7</v>
      </c>
      <c r="K52" s="13" t="n">
        <v>8</v>
      </c>
      <c r="L52" s="13" t="n">
        <v>11</v>
      </c>
      <c r="M52" s="13" t="n">
        <v>8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Tabella52791124791618202224262830323436384042444648505254565860626468707274767880828486908892949698100102104106108110112114116118120122124126130128132134136138140142144146148150152154156158160162164166168170172174176[[#This Row],[Colonna1]]*$Q3</f>
        <v>6</v>
      </c>
      <c r="T52" s="14" t="n">
        <f aca="false">Tabella52791124791618202224262830323436384042444648505254565860626468707274767880828486908892949698100102104106108110112114116118120122124126130128132134136138140142144146148150152154156158160162164166168170172174176[[#This Row],[Colonna2]]*$Q3</f>
        <v>12</v>
      </c>
      <c r="U52" s="14" t="n">
        <f aca="false">Tabella52791124791618202224262830323436384042444648505254565860626468707274767880828486908892949698100102104106108110112114116118120122124126130128132134136138140142144146148150152154156158160162164166168170172174176[[#This Row],[Colonna3]]*$Q3</f>
        <v>8.8</v>
      </c>
      <c r="V52" s="14" t="n">
        <f aca="false">Tabella52791124791618202224262830323436384042444648505254565860626468707274767880828486908892949698100102104106108110112114116118120122124126130128132134136138140142144146148150152154156158160162164166168170172174176[[#This Row],[Colonna4]]*$Q3</f>
        <v>2.8</v>
      </c>
      <c r="W52" s="14" t="n">
        <f aca="false">Tabella52791124791618202224262830323436384042444648505254565860626468707274767880828486908892949698100102104106108110112114116118120122124126130128132134136138140142144146148150152154156158160162164166168170172174176[[#This Row],[Colonna5]]*$Q3</f>
        <v>3.2</v>
      </c>
      <c r="X52" s="14" t="n">
        <f aca="false">Tabella52791124791618202224262830323436384042444648505254565860626468707274767880828486908892949698100102104106108110112114116118120122124126130128132134136138140142144146148150152154156158160162164166168170172174176[[#This Row],[Colonna6]]*$Q3</f>
        <v>4.4</v>
      </c>
      <c r="Y52" s="14" t="n">
        <f aca="false">Tabella52791124791618202224262830323436384042444648505254565860626468707274767880828486908892949698100102104106108110112114116118120122124126130128132134136138140142144146148150152154156158160162164166168170172174176[[#This Row],[Colonna7]]*$Q3</f>
        <v>3.2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48</v>
      </c>
      <c r="H53" s="55" t="n">
        <f aca="false">SUM(H6:H52)</f>
        <v>59</v>
      </c>
      <c r="I53" s="55" t="n">
        <f aca="false">SUM(I6:I52)</f>
        <v>43</v>
      </c>
      <c r="J53" s="55" t="n">
        <f aca="false">SUM(J6:J52)</f>
        <v>37</v>
      </c>
      <c r="K53" s="55" t="n">
        <f aca="false">SUM(K6:K52)</f>
        <v>42</v>
      </c>
      <c r="L53" s="55" t="n">
        <f aca="false">SUM(L6:L52)</f>
        <v>44</v>
      </c>
      <c r="M53" s="55" t="n">
        <f aca="false">SUM(M6:M52)</f>
        <v>14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Tabella52791124791618202224262830323436384042444648505254565860626468707274767880828486908892949698100102104106108110112114116118120122124126130128132134136138140142144146148150152154156158160162164166168170172174176[[#This Row],[Colonna1]]*$Q3</f>
        <v>19.2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Tabella52791124791618202224262830323436384042444648505254565860626468707274767880828486908892949698100102104106108110112114116118120122124126130128132134136138140142144146148150152154156158160162164166168170172174176[[#This Row],[Colonna2]]*$Q3</f>
        <v>23.6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Tabella52791124791618202224262830323436384042444648505254565860626468707274767880828486908892949698100102104106108110112114116118120122124126130128132134136138140142144146148150152154156158160162164166168170172174176[[#This Row],[Colonna3]]*$Q3</f>
        <v>17.2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Tabella52791124791618202224262830323436384042444648505254565860626468707274767880828486908892949698100102104106108110112114116118120122124126130128132134136138140142144146148150152154156158160162164166168170172174176[[#This Row],[Colonna4]]*$Q3</f>
        <v>14.8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Tabella52791124791618202224262830323436384042444648505254565860626468707274767880828486908892949698100102104106108110112114116118120122124126130128132134136138140142144146148150152154156158160162164166168170172174176[[#This Row],[Colonna5]]*$Q3</f>
        <v>16.8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Tabella52791124791618202224262830323436384042444648505254565860626468707274767880828486908892949698100102104106108110112114116118120122124126130128132134136138140142144146148150152154156158160162164166168170172174176[[#This Row],[Colonna6]]*$Q3</f>
        <v>17.6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Tabella52791124791618202224262830323436384042444648505254565860626468707274767880828486908892949698100102104106108110112114116118120122124126130128132134136138140142144146148150152154156158160162164166168170172174176[[#This Row],[Colonna7]]*$Q3</f>
        <v>5.6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166</v>
      </c>
      <c r="H58" s="26" t="n">
        <v>105</v>
      </c>
      <c r="I58" s="26" t="n">
        <v>95</v>
      </c>
      <c r="J58" s="26" t="n">
        <v>43</v>
      </c>
      <c r="K58" s="26" t="n">
        <v>80</v>
      </c>
      <c r="L58" s="26" t="n">
        <v>92</v>
      </c>
      <c r="M58" s="26" t="n">
        <v>83</v>
      </c>
      <c r="P58" s="23" t="s">
        <v>62</v>
      </c>
      <c r="Q58" s="23"/>
      <c r="R58" s="23"/>
      <c r="S58" s="57" t="n">
        <f aca="false">G58*$Q3</f>
        <v>66.4</v>
      </c>
      <c r="T58" s="57" t="n">
        <f aca="false">H58*$Q3</f>
        <v>42</v>
      </c>
      <c r="U58" s="57" t="n">
        <f aca="false">I58*$Q3</f>
        <v>38</v>
      </c>
      <c r="V58" s="57" t="n">
        <f aca="false">J58*$Q3</f>
        <v>17.2</v>
      </c>
      <c r="W58" s="57" t="n">
        <f aca="false">K58*$Q3</f>
        <v>32</v>
      </c>
      <c r="X58" s="57" t="n">
        <f aca="false">L58*$Q3</f>
        <v>36.8</v>
      </c>
      <c r="Y58" s="27" t="n">
        <f aca="false">M58*$Q3</f>
        <v>33.2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52</v>
      </c>
      <c r="H62" s="26" t="n">
        <v>34</v>
      </c>
      <c r="I62" s="26" t="n">
        <v>51</v>
      </c>
      <c r="J62" s="26" t="n">
        <v>6</v>
      </c>
      <c r="K62" s="26" t="n">
        <v>35</v>
      </c>
      <c r="L62" s="26" t="n">
        <v>23</v>
      </c>
      <c r="M62" s="26" t="n">
        <v>20</v>
      </c>
      <c r="P62" s="9" t="s">
        <v>66</v>
      </c>
      <c r="Q62" s="9"/>
      <c r="R62" s="9"/>
      <c r="S62" s="57" t="n">
        <f aca="false">G62*$Q3</f>
        <v>20.8</v>
      </c>
      <c r="T62" s="57" t="n">
        <f aca="false">H62*$Q3</f>
        <v>13.6</v>
      </c>
      <c r="U62" s="57" t="n">
        <f aca="false">I62*$Q3</f>
        <v>20.4</v>
      </c>
      <c r="V62" s="57" t="n">
        <f aca="false">J62*$Q3</f>
        <v>2.4</v>
      </c>
      <c r="W62" s="57" t="n">
        <f aca="false">K62*$Q3</f>
        <v>14</v>
      </c>
      <c r="X62" s="57" t="n">
        <f aca="false">L62*$Q3</f>
        <v>9.2</v>
      </c>
      <c r="Y62" s="57" t="n">
        <f aca="false">M62*$Q3</f>
        <v>8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7</v>
      </c>
      <c r="H63" s="164" t="n">
        <v>4</v>
      </c>
      <c r="I63" s="13" t="n">
        <v>2</v>
      </c>
      <c r="J63" s="26" t="n">
        <v>1</v>
      </c>
      <c r="K63" s="26" t="n">
        <v>6</v>
      </c>
      <c r="L63" s="26" t="n">
        <v>8</v>
      </c>
      <c r="M63" s="26" t="n">
        <v>2</v>
      </c>
      <c r="P63" s="9" t="s">
        <v>67</v>
      </c>
      <c r="Q63" s="9"/>
      <c r="R63" s="9"/>
      <c r="S63" s="57" t="n">
        <f aca="false">G63*$Q3</f>
        <v>2.8</v>
      </c>
      <c r="T63" s="57" t="n">
        <f aca="false">H63*$Q3</f>
        <v>1.6</v>
      </c>
      <c r="U63" s="57" t="n">
        <f aca="false">I63*$Q3</f>
        <v>0.8</v>
      </c>
      <c r="V63" s="57" t="n">
        <f aca="false">J63*$Q3</f>
        <v>0.4</v>
      </c>
      <c r="W63" s="57" t="n">
        <f aca="false">K63*$Q3</f>
        <v>2.4</v>
      </c>
      <c r="X63" s="57" t="n">
        <f aca="false">L63*$Q3</f>
        <v>3.2</v>
      </c>
      <c r="Y63" s="57" t="n">
        <f aca="false">M63*$Q3</f>
        <v>0.8</v>
      </c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28</v>
      </c>
      <c r="H64" s="26" t="n">
        <v>10</v>
      </c>
      <c r="I64" s="26" t="n">
        <v>31</v>
      </c>
      <c r="J64" s="26" t="n">
        <v>22</v>
      </c>
      <c r="K64" s="26" t="n">
        <v>29</v>
      </c>
      <c r="L64" s="26" t="n">
        <v>15</v>
      </c>
      <c r="M64" s="26" t="n">
        <v>13</v>
      </c>
      <c r="P64" s="9" t="s">
        <v>68</v>
      </c>
      <c r="Q64" s="9"/>
      <c r="R64" s="9"/>
      <c r="S64" s="57" t="n">
        <f aca="false">G64*$Q3</f>
        <v>11.2</v>
      </c>
      <c r="T64" s="57" t="n">
        <f aca="false">H64*$Q3</f>
        <v>4</v>
      </c>
      <c r="U64" s="57" t="n">
        <f aca="false">I64*$Q3</f>
        <v>12.4</v>
      </c>
      <c r="V64" s="57" t="n">
        <f aca="false">J64*$Q3</f>
        <v>8.8</v>
      </c>
      <c r="W64" s="57" t="n">
        <f aca="false">K64*$Q3</f>
        <v>11.6</v>
      </c>
      <c r="X64" s="57" t="n">
        <f aca="false">L64*$Q3</f>
        <v>6</v>
      </c>
      <c r="Y64" s="57" t="n">
        <f aca="false">M64*$Q3</f>
        <v>5.2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27"/>
      <c r="X65" s="2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6</v>
      </c>
      <c r="H67" s="139" t="n">
        <v>10</v>
      </c>
      <c r="I67" s="139" t="n">
        <v>4</v>
      </c>
      <c r="J67" s="26" t="n">
        <v>6</v>
      </c>
      <c r="K67" s="26" t="n">
        <v>1</v>
      </c>
      <c r="L67" s="26" t="n">
        <v>3</v>
      </c>
      <c r="M67" s="26" t="n">
        <v>3</v>
      </c>
      <c r="P67" s="9" t="s">
        <v>71</v>
      </c>
      <c r="Q67" s="9"/>
      <c r="R67" s="9"/>
      <c r="S67" s="57" t="n">
        <f aca="false">G67*$Q3</f>
        <v>2.4</v>
      </c>
      <c r="T67" s="57" t="n">
        <f aca="false">H67*$Q3</f>
        <v>4</v>
      </c>
      <c r="U67" s="57" t="n">
        <f aca="false">I67*$Q3</f>
        <v>1.6</v>
      </c>
      <c r="V67" s="57" t="n">
        <f aca="false">J67*$Q3</f>
        <v>2.4</v>
      </c>
      <c r="W67" s="57" t="n">
        <f aca="false">K67*$Q3</f>
        <v>0.4</v>
      </c>
      <c r="X67" s="57" t="n">
        <f aca="false">L67*$Q3</f>
        <v>1.2</v>
      </c>
      <c r="Y67" s="57" t="n">
        <f aca="false">M67*$Q3</f>
        <v>1.2</v>
      </c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4</v>
      </c>
      <c r="H68" s="30"/>
      <c r="I68" s="30"/>
      <c r="J68" s="30" t="n">
        <v>1</v>
      </c>
      <c r="K68" s="30" t="n">
        <v>2</v>
      </c>
      <c r="L68" s="30"/>
      <c r="M68" s="30" t="n">
        <v>2</v>
      </c>
      <c r="P68" s="9" t="s">
        <v>72</v>
      </c>
      <c r="Q68" s="9"/>
      <c r="R68" s="9"/>
      <c r="S68" s="57" t="n">
        <f aca="false">G68*$Q3</f>
        <v>1.6</v>
      </c>
      <c r="T68" s="57"/>
      <c r="U68" s="57"/>
      <c r="V68" s="57" t="n">
        <f aca="false">J68*$Q3</f>
        <v>0.4</v>
      </c>
      <c r="W68" s="57" t="n">
        <f aca="false">K68*$Q3</f>
        <v>0.8</v>
      </c>
      <c r="X68" s="57"/>
      <c r="Y68" s="57" t="n">
        <f aca="false">M68*$Q3</f>
        <v>0.8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15</v>
      </c>
      <c r="H69" s="30" t="n">
        <v>15</v>
      </c>
      <c r="I69" s="30" t="n">
        <v>6</v>
      </c>
      <c r="J69" s="30" t="n">
        <v>7</v>
      </c>
      <c r="K69" s="30" t="n">
        <v>4</v>
      </c>
      <c r="L69" s="30" t="n">
        <v>16</v>
      </c>
      <c r="M69" s="30" t="n">
        <v>1</v>
      </c>
      <c r="P69" s="9" t="s">
        <v>73</v>
      </c>
      <c r="Q69" s="9"/>
      <c r="R69" s="9"/>
      <c r="S69" s="57" t="n">
        <f aca="false">G69*$Q3</f>
        <v>6</v>
      </c>
      <c r="T69" s="57" t="n">
        <f aca="false">H69*$Q3</f>
        <v>6</v>
      </c>
      <c r="U69" s="57" t="n">
        <f aca="false">I69*$Q3</f>
        <v>2.4</v>
      </c>
      <c r="V69" s="57" t="n">
        <f aca="false">J69*$Q3</f>
        <v>2.8</v>
      </c>
      <c r="W69" s="57" t="n">
        <f aca="false">K69*$Q3</f>
        <v>1.6</v>
      </c>
      <c r="X69" s="57" t="n">
        <f aca="false">L69*$Q3</f>
        <v>6.4</v>
      </c>
      <c r="Y69" s="57" t="n">
        <f aca="false">M69*$Q3</f>
        <v>0.4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278</v>
      </c>
      <c r="H70" s="60" t="n">
        <f aca="false">SUM(H58:H69)</f>
        <v>178</v>
      </c>
      <c r="I70" s="60" t="n">
        <f aca="false">SUM(I58:I69)</f>
        <v>189</v>
      </c>
      <c r="J70" s="60" t="n">
        <f aca="false">SUM(J58:J69)</f>
        <v>86</v>
      </c>
      <c r="K70" s="60" t="n">
        <f aca="false">SUM(K58:K69)</f>
        <v>157</v>
      </c>
      <c r="L70" s="60" t="n">
        <f aca="false">SUM(L58:L69)</f>
        <v>157</v>
      </c>
      <c r="M70" s="60" t="n">
        <f aca="false">SUM(M58:M69)</f>
        <v>124</v>
      </c>
      <c r="P70" s="9" t="s">
        <v>60</v>
      </c>
      <c r="Q70" s="9"/>
      <c r="R70" s="9"/>
      <c r="S70" s="61" t="n">
        <f aca="false">G70*$Q3</f>
        <v>111.2</v>
      </c>
      <c r="T70" s="61" t="n">
        <f aca="false">H70*$Q3</f>
        <v>71.2</v>
      </c>
      <c r="U70" s="61" t="n">
        <f aca="false">I70*$Q3</f>
        <v>75.6</v>
      </c>
      <c r="V70" s="61" t="n">
        <f aca="false">J70*$Q3</f>
        <v>34.4</v>
      </c>
      <c r="W70" s="61" t="n">
        <f aca="false">K70*$Q3</f>
        <v>62.8</v>
      </c>
      <c r="X70" s="61" t="n">
        <f aca="false">L70*$Q3</f>
        <v>62.8</v>
      </c>
      <c r="Y70" s="32" t="n">
        <f aca="false">M70*$Q3</f>
        <v>49.6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W16" activeCellId="0" sqref="W16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109</v>
      </c>
      <c r="I3" s="119" t="s">
        <v>2</v>
      </c>
      <c r="J3" s="4" t="n">
        <v>45509</v>
      </c>
      <c r="K3" s="5" t="n">
        <v>45515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109</v>
      </c>
      <c r="U3" s="119" t="s">
        <v>2</v>
      </c>
      <c r="V3" s="4" t="n">
        <v>45509</v>
      </c>
      <c r="W3" s="5" t="n">
        <v>45515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11</v>
      </c>
      <c r="H7" s="13" t="n">
        <v>15</v>
      </c>
      <c r="I7" s="13" t="n">
        <v>22</v>
      </c>
      <c r="J7" s="13" t="n">
        <v>2</v>
      </c>
      <c r="K7" s="13" t="n">
        <v>2</v>
      </c>
      <c r="L7" s="13" t="n">
        <v>2</v>
      </c>
      <c r="M7" s="13" t="n">
        <v>6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Tabella52791124791618202224262830323436384042444648505254565860626468707274767880828486908892949698100102104106108110112114116118120122124126130128132134136138140142144146148150152154156158160162164166168170172174176178[[#This Row],[Colonna1]]*$Q3</f>
        <v>4.4</v>
      </c>
      <c r="T7" s="14" t="n">
        <f aca="false">Tabella52791124791618202224262830323436384042444648505254565860626468707274767880828486908892949698100102104106108110112114116118120122124126130128132134136138140142144146148150152154156158160162164166168170172174176178[[#This Row],[Colonna2]]*$Q3</f>
        <v>6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Tabella52791124791618202224262830323436384042444648505254565860626468707274767880828486908892949698100102104106108110112114116118120122124126130128132134136138140142144146148150152154156158160162164166168170172174176178[[#This Row],[Colonna3]]*$Q3</f>
        <v>8.8</v>
      </c>
      <c r="V7" s="14" t="n">
        <f aca="false">Tabella52791124791618202224262830323436384042444648505254565860626468707274767880828486908892949698100102104106108110112114116118120122124126130128132134136138140142144146148150152154156158160162164166168170172174176178[[#This Row],[Colonna4]]*$Q3</f>
        <v>0.8</v>
      </c>
      <c r="W7" s="14" t="n">
        <f aca="false">Tabella52791124791618202224262830323436384042444648505254565860626468707274767880828486908892949698100102104106108110112114116118120122124126130128132134136138140142144146148150152154156158160162164166168170172174176178[[#This Row],[Colonna5]]*$Q3</f>
        <v>0.8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Tabella52791124791618202224262830323436384042444648505254565860626468707274767880828486908892949698100102104106108110112114116118120122124126130128132134136138140142144146148150152154156158160162164166168170172174176178[[#This Row],[Colonna6]]*$Q3</f>
        <v>0.8</v>
      </c>
      <c r="Y7" s="14" t="n">
        <f aca="false">Tabella52791124791618202224262830323436384042444648505254565860626468707274767880828486908892949698100102104106108110112114116118120122124126130128132134136138140142144146148150152154156158160162164166168170172174176178[[#This Row],[Colonna7]]*$Q3</f>
        <v>2.4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6</v>
      </c>
      <c r="H12" s="13" t="n">
        <v>7</v>
      </c>
      <c r="I12" s="13" t="n">
        <v>12</v>
      </c>
      <c r="J12" s="13" t="n">
        <v>7</v>
      </c>
      <c r="K12" s="13" t="n">
        <v>14</v>
      </c>
      <c r="L12" s="13" t="n">
        <v>2</v>
      </c>
      <c r="M12" s="13" t="n">
        <v>5</v>
      </c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Row],[Colonna1]]*$Q3</f>
        <v>2.4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Row],[Colonna2]]*$Q3</f>
        <v>2.8</v>
      </c>
      <c r="U1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Row],[Colonna3]]*$Q3</f>
        <v>4.8</v>
      </c>
      <c r="V1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Row],[Colonna4]]*$Q3</f>
        <v>2.8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Row],[Colonna5]]*$Q3</f>
        <v>5.6</v>
      </c>
      <c r="X1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Row],[Colonna6]]*$Q3</f>
        <v>0.8</v>
      </c>
      <c r="Y1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Row],[Colonna7]]*$Q3</f>
        <v>2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 t="n">
        <v>1</v>
      </c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 t="n">
        <f aca="false">Tabella52791124791618202224262830323436384042444648505254565860626468707274767880828486908892949698100102104106108110112114116118120122124126130128132134136138140142144146148150152154156158160162164166168170172174176178[[#This Row],[Colonna5]]*$Q3</f>
        <v>0.4</v>
      </c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 t="n">
        <v>3</v>
      </c>
      <c r="J22" s="13" t="n">
        <v>1</v>
      </c>
      <c r="K22" s="13"/>
      <c r="L22" s="13"/>
      <c r="M22" s="13"/>
      <c r="P22" s="12" t="s">
        <v>29</v>
      </c>
      <c r="Q22" s="12"/>
      <c r="R22" s="12"/>
      <c r="S22" s="14"/>
      <c r="T22" s="14"/>
      <c r="U2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Row],[Colonna3]]*$Q3</f>
        <v>1.2</v>
      </c>
      <c r="V2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Row],[Colonna4]]*$Q3</f>
        <v>0.4</v>
      </c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 t="n">
        <v>2</v>
      </c>
      <c r="J26" s="13" t="n">
        <v>2</v>
      </c>
      <c r="K26" s="13"/>
      <c r="L26" s="13"/>
      <c r="M26" s="13"/>
      <c r="P26" s="12" t="s">
        <v>33</v>
      </c>
      <c r="Q26" s="12"/>
      <c r="R26" s="12"/>
      <c r="S26" s="14"/>
      <c r="T26" s="14"/>
      <c r="U26" s="14" t="n">
        <f aca="false">Tabella52791124791618202224262830323436384042444648505254565860626468707274767880828486908892949698100102104106108110112114116118120122124126130128132134136138140142144146148150152154156158160162164166168170172174176178[[#This Row],[Colonna3]]*$Q3</f>
        <v>0.8</v>
      </c>
      <c r="V26" s="14" t="n">
        <f aca="false">Tabella52791124791618202224262830323436384042444648505254565860626468707274767880828486908892949698100102104106108110112114116118120122124126130128132134136138140142144146148150152154156158160162164166168170172174176178[[#This Row],[Colonna4]]*$Q3</f>
        <v>0.8</v>
      </c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12</v>
      </c>
      <c r="H29" s="13" t="n">
        <v>18</v>
      </c>
      <c r="I29" s="13" t="n">
        <v>16</v>
      </c>
      <c r="J29" s="13" t="n">
        <v>2</v>
      </c>
      <c r="K29" s="13" t="n">
        <v>12</v>
      </c>
      <c r="L29" s="13" t="n">
        <v>3</v>
      </c>
      <c r="M29" s="13" t="n">
        <v>6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Tabella52791124791618202224262830323436384042444648505254565860626468707274767880828486908892949698100102104106108110112114116118120122124126130128132134136138140142144146148150152154156158160162164166168170172174176178[[#This Row],[Colonna1]]*$Q3</f>
        <v>4.8</v>
      </c>
      <c r="T29" s="14" t="n">
        <f aca="false">Tabella52791124791618202224262830323436384042444648505254565860626468707274767880828486908892949698100102104106108110112114116118120122124126130128132134136138140142144146148150152154156158160162164166168170172174176178[[#This Row],[Colonna2]]*$Q3</f>
        <v>7.2</v>
      </c>
      <c r="U29" s="14" t="n">
        <f aca="false">Tabella52791124791618202224262830323436384042444648505254565860626468707274767880828486908892949698100102104106108110112114116118120122124126130128132134136138140142144146148150152154156158160162164166168170172174176178[[#This Row],[Colonna3]]*$Q3</f>
        <v>6.4</v>
      </c>
      <c r="V29" s="14" t="n">
        <f aca="false">Tabella52791124791618202224262830323436384042444648505254565860626468707274767880828486908892949698100102104106108110112114116118120122124126130128132134136138140142144146148150152154156158160162164166168170172174176178[[#This Row],[Colonna4]]*$Q3</f>
        <v>0.8</v>
      </c>
      <c r="W29" s="14" t="n">
        <f aca="false">Tabella52791124791618202224262830323436384042444648505254565860626468707274767880828486908892949698100102104106108110112114116118120122124126130128132134136138140142144146148150152154156158160162164166168170172174176178[[#This Row],[Colonna5]]*$Q3</f>
        <v>4.8</v>
      </c>
      <c r="X29" s="14" t="n">
        <f aca="false">Tabella52791124791618202224262830323436384042444648505254565860626468707274767880828486908892949698100102104106108110112114116118120122124126130128132134136138140142144146148150152154156158160162164166168170172174176178[[#This Row],[Colonna6]]*$Q3</f>
        <v>1.2</v>
      </c>
      <c r="Y29" s="14" t="n">
        <f aca="false">Tabella52791124791618202224262830323436384042444648505254565860626468707274767880828486908892949698100102104106108110112114116118120122124126130128132134136138140142144146148150152154156158160162164166168170172174176178[[#This Row],[Colonna7]]*$Q3</f>
        <v>2.4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13" t="n">
        <v>1</v>
      </c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Tabella52791124791618202224262830323436384042444648505254565860626468707274767880828486908892949698100102104106108110112114116118120122124126130128132134136138140142144146148150152154156158160162164166168170172174176178[[#This Row],[Colonna1]]*$Q3</f>
        <v>0.4</v>
      </c>
      <c r="T41" s="14" t="n">
        <f aca="false">Tabella52791124791618202224262830323436384042444648505254565860626468707274767880828486908892949698100102104106108110112114116118120122124126130128132134136138140142144146148150152154156158160162164166168170172174176178[[#This Row],[Colonna2]]*$Q3</f>
        <v>0.4</v>
      </c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2</v>
      </c>
      <c r="H42" s="13" t="n">
        <v>2</v>
      </c>
      <c r="I42" s="13" t="n">
        <v>8</v>
      </c>
      <c r="J42" s="142"/>
      <c r="K42" s="13" t="n">
        <v>4</v>
      </c>
      <c r="L42" s="13"/>
      <c r="M42" s="13" t="n">
        <v>2</v>
      </c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Row],[Colonna1]]*$Q3</f>
        <v>0.8</v>
      </c>
      <c r="T4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Row],[Colonna2]]*$Q3</f>
        <v>0.8</v>
      </c>
      <c r="U4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Row],[Colonna3]]*$Q3</f>
        <v>3.2</v>
      </c>
      <c r="V42" s="14"/>
      <c r="W4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Row],[Colonna5]]*$Q3</f>
        <v>1.6</v>
      </c>
      <c r="X42" s="14"/>
      <c r="Y4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Row],[Colonna7]]*$Q3</f>
        <v>0.8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</v>
      </c>
      <c r="H44" s="13" t="n">
        <v>5</v>
      </c>
      <c r="I44" s="13" t="n">
        <v>3</v>
      </c>
      <c r="J44" s="13" t="n">
        <v>1</v>
      </c>
      <c r="K44" s="142"/>
      <c r="L44" s="13" t="n">
        <v>1</v>
      </c>
      <c r="M44" s="142" t="n">
        <v>1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Tabella52791124791618202224262830323436384042444648505254565860626468707274767880828486908892949698100102104106108110112114116118120122124126130128132134136138140142144146148150152154156158160162164166168170172174176178[[#This Row],[Colonna1]]*$Q3</f>
        <v>0.4</v>
      </c>
      <c r="T44" s="14" t="n">
        <f aca="false">Tabella52791124791618202224262830323436384042444648505254565860626468707274767880828486908892949698100102104106108110112114116118120122124126130128132134136138140142144146148150152154156158160162164166168170172174176178[[#This Row],[Colonna2]]*$Q3</f>
        <v>2</v>
      </c>
      <c r="U44" s="14" t="n">
        <f aca="false">Tabella52791124791618202224262830323436384042444648505254565860626468707274767880828486908892949698100102104106108110112114116118120122124126130128132134136138140142144146148150152154156158160162164166168170172174176178[[#This Row],[Colonna3]]*$Q3</f>
        <v>1.2</v>
      </c>
      <c r="V44" s="14" t="n">
        <f aca="false">Tabella52791124791618202224262830323436384042444648505254565860626468707274767880828486908892949698100102104106108110112114116118120122124126130128132134136138140142144146148150152154156158160162164166168170172174176178[[#This Row],[Colonna4]]*$Q3</f>
        <v>0.4</v>
      </c>
      <c r="W44" s="14"/>
      <c r="X44" s="14" t="n">
        <f aca="false">Tabella52791124791618202224262830323436384042444648505254565860626468707274767880828486908892949698100102104106108110112114116118120122124126130128132134136138140142144146148150152154156158160162164166168170172174176178[[#This Row],[Colonna6]]*$Q3</f>
        <v>0.4</v>
      </c>
      <c r="Y44" s="14" t="n">
        <f aca="false">Tabella52791124791618202224262830323436384042444648505254565860626468707274767880828486908892949698100102104106108110112114116118120122124126130128132134136138140142144146148150152154156158160162164166168170172174176178[[#This Row],[Colonna7]]*$Q3</f>
        <v>0.4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 t="n">
        <v>4</v>
      </c>
      <c r="I49" s="142" t="n">
        <v>2</v>
      </c>
      <c r="J49" s="142"/>
      <c r="K49" s="13" t="n">
        <v>1</v>
      </c>
      <c r="L49" s="13"/>
      <c r="M49" s="13"/>
      <c r="P49" s="18" t="s">
        <v>56</v>
      </c>
      <c r="Q49" s="18"/>
      <c r="R49" s="18"/>
      <c r="S49" s="14"/>
      <c r="T49" s="14" t="n">
        <f aca="false">Tabella52791124791618202224262830323436384042444648505254565860626468707274767880828486908892949698100102104106108110112114116118120122124126130128132134136138140142144146148150152154156158160162164166168170172174176178[[#This Row],[Colonna2]]*$Q3</f>
        <v>1.6</v>
      </c>
      <c r="U49" s="14" t="n">
        <f aca="false">Tabella52791124791618202224262830323436384042444648505254565860626468707274767880828486908892949698100102104106108110112114116118120122124126130128132134136138140142144146148150152154156158160162164166168170172174176178[[#This Row],[Colonna3]]*$Q3</f>
        <v>0.8</v>
      </c>
      <c r="V49" s="14"/>
      <c r="W49" s="14" t="n">
        <f aca="false">Tabella52791124791618202224262830323436384042444648505254565860626468707274767880828486908892949698100102104106108110112114116118120122124126130128132134136138140142144146148150152154156158160162164166168170172174176178[[#This Row],[Colonna5]]*$Q3</f>
        <v>0.4</v>
      </c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21</v>
      </c>
      <c r="H52" s="13" t="n">
        <v>16</v>
      </c>
      <c r="I52" s="13" t="n">
        <v>4</v>
      </c>
      <c r="J52" s="13" t="n">
        <v>12</v>
      </c>
      <c r="K52" s="13" t="n">
        <v>22</v>
      </c>
      <c r="L52" s="13" t="n">
        <v>18</v>
      </c>
      <c r="M52" s="13" t="n">
        <v>9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Row],[Colonna1]]*$Q3</f>
        <v>8.4</v>
      </c>
      <c r="T5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Row],[Colonna2]]*$Q3</f>
        <v>6.4</v>
      </c>
      <c r="U5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Row],[Colonna3]]*$Q3</f>
        <v>1.6</v>
      </c>
      <c r="V5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Row],[Colonna4]]*$Q3</f>
        <v>4.8</v>
      </c>
      <c r="W5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Row],[Colonna5]]*$Q3</f>
        <v>8.8</v>
      </c>
      <c r="X5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Row],[Colonna6]]*$Q3</f>
        <v>7.2</v>
      </c>
      <c r="Y5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Row],[Colonna7]]*$Q3</f>
        <v>3.6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54</v>
      </c>
      <c r="H53" s="55" t="n">
        <f aca="false">SUM(H6:H52)</f>
        <v>68</v>
      </c>
      <c r="I53" s="55" t="n">
        <f aca="false">SUM(I6:I52)</f>
        <v>72</v>
      </c>
      <c r="J53" s="55" t="n">
        <f aca="false">SUM(J6:J52)</f>
        <v>27</v>
      </c>
      <c r="K53" s="55" t="n">
        <f aca="false">SUM(K6:K52)</f>
        <v>56</v>
      </c>
      <c r="L53" s="55" t="n">
        <f aca="false">SUM(L6:L52)</f>
        <v>26</v>
      </c>
      <c r="M53" s="55" t="n">
        <f aca="false">SUM(M6:M52)</f>
        <v>29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Tabella52791124791618202224262830323436384042444648505254565860626468707274767880828486908892949698100102104106108110112114116118120122124126130128132134136138140142144146148150152154156158160162164166168170172174176178[[#This Row],[Colonna1]]*$Q3</f>
        <v>21.6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Tabella52791124791618202224262830323436384042444648505254565860626468707274767880828486908892949698100102104106108110112114116118120122124126130128132134136138140142144146148150152154156158160162164166168170172174176178[[#This Row],[Colonna2]]*$Q3</f>
        <v>27.2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Tabella52791124791618202224262830323436384042444648505254565860626468707274767880828486908892949698100102104106108110112114116118120122124126130128132134136138140142144146148150152154156158160162164166168170172174176178[[#This Row],[Colonna3]]*$Q3</f>
        <v>28.8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Tabella52791124791618202224262830323436384042444648505254565860626468707274767880828486908892949698100102104106108110112114116118120122124126130128132134136138140142144146148150152154156158160162164166168170172174176178[[#This Row],[Colonna4]]*$Q3</f>
        <v>10.8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Tabella52791124791618202224262830323436384042444648505254565860626468707274767880828486908892949698100102104106108110112114116118120122124126130128132134136138140142144146148150152154156158160162164166168170172174176178[[#This Row],[Colonna5]]*$Q3</f>
        <v>22.4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Tabella52791124791618202224262830323436384042444648505254565860626468707274767880828486908892949698100102104106108110112114116118120122124126130128132134136138140142144146148150152154156158160162164166168170172174176178[[#This Row],[Colonna6]]*$Q3</f>
        <v>10.4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Tabella52791124791618202224262830323436384042444648505254565860626468707274767880828486908892949698100102104106108110112114116118120122124126130128132134136138140142144146148150152154156158160162164166168170172174176178[[#This Row],[Colonna7]]*$Q3</f>
        <v>11.6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253</v>
      </c>
      <c r="H58" s="26" t="n">
        <v>206</v>
      </c>
      <c r="I58" s="26" t="n">
        <v>107</v>
      </c>
      <c r="J58" s="26" t="n">
        <v>234</v>
      </c>
      <c r="K58" s="26" t="n">
        <v>520</v>
      </c>
      <c r="L58" s="26" t="n">
        <v>240</v>
      </c>
      <c r="M58" s="26" t="n">
        <v>260</v>
      </c>
      <c r="P58" s="23" t="s">
        <v>62</v>
      </c>
      <c r="Q58" s="23"/>
      <c r="R58" s="23"/>
      <c r="S58" s="57" t="n">
        <f aca="false">G58*$Q3</f>
        <v>101.2</v>
      </c>
      <c r="T58" s="57" t="n">
        <f aca="false">H58*$Q3</f>
        <v>82.4</v>
      </c>
      <c r="U58" s="57" t="n">
        <f aca="false">I58*$Q3</f>
        <v>42.8</v>
      </c>
      <c r="V58" s="57" t="n">
        <f aca="false">J58*$Q3</f>
        <v>93.6</v>
      </c>
      <c r="W58" s="57" t="n">
        <f aca="false">K58*$Q3</f>
        <v>208</v>
      </c>
      <c r="X58" s="57" t="n">
        <f aca="false">L58*$Q3</f>
        <v>96</v>
      </c>
      <c r="Y58" s="27" t="n">
        <f aca="false">M58*$Q3</f>
        <v>104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29</v>
      </c>
      <c r="H62" s="26" t="n">
        <v>4</v>
      </c>
      <c r="I62" s="26" t="n">
        <v>3</v>
      </c>
      <c r="J62" s="26" t="n">
        <v>1</v>
      </c>
      <c r="K62" s="26" t="n">
        <v>7</v>
      </c>
      <c r="L62" s="26" t="n">
        <v>3</v>
      </c>
      <c r="M62" s="26" t="n">
        <v>16</v>
      </c>
      <c r="P62" s="9" t="s">
        <v>66</v>
      </c>
      <c r="Q62" s="9"/>
      <c r="R62" s="9"/>
      <c r="S62" s="57" t="n">
        <f aca="false">G62*$Q3</f>
        <v>11.6</v>
      </c>
      <c r="T62" s="57" t="n">
        <f aca="false">H62*$Q3</f>
        <v>1.6</v>
      </c>
      <c r="U62" s="57" t="n">
        <f aca="false">I62*$Q3</f>
        <v>1.2</v>
      </c>
      <c r="V62" s="57" t="n">
        <f aca="false">J62*$Q3</f>
        <v>0.4</v>
      </c>
      <c r="W62" s="57" t="n">
        <f aca="false">K62*$Q3</f>
        <v>2.8</v>
      </c>
      <c r="X62" s="57" t="n">
        <f aca="false">L62*$Q3</f>
        <v>1.2</v>
      </c>
      <c r="Y62" s="57" t="n">
        <f aca="false">M62*$Q3</f>
        <v>6.4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4</v>
      </c>
      <c r="H63" s="164"/>
      <c r="I63" s="13" t="n">
        <v>5</v>
      </c>
      <c r="J63" s="26" t="n">
        <v>5</v>
      </c>
      <c r="K63" s="26" t="n">
        <v>11</v>
      </c>
      <c r="L63" s="26" t="n">
        <v>4</v>
      </c>
      <c r="M63" s="26"/>
      <c r="P63" s="9" t="s">
        <v>67</v>
      </c>
      <c r="Q63" s="9"/>
      <c r="R63" s="9"/>
      <c r="S63" s="57" t="n">
        <f aca="false">G63*$Q3</f>
        <v>1.6</v>
      </c>
      <c r="T63" s="57" t="n">
        <f aca="false">H63*$Q3</f>
        <v>0</v>
      </c>
      <c r="U63" s="57" t="n">
        <f aca="false">I63*$Q3</f>
        <v>2</v>
      </c>
      <c r="V63" s="57" t="n">
        <f aca="false">J63*$Q3</f>
        <v>2</v>
      </c>
      <c r="W63" s="57" t="n">
        <f aca="false">K63*$Q3</f>
        <v>4.4</v>
      </c>
      <c r="X63" s="57" t="n">
        <f aca="false">L63*$Q3</f>
        <v>1.6</v>
      </c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57"/>
      <c r="U64" s="57"/>
      <c r="V64" s="57"/>
      <c r="W64" s="57"/>
      <c r="X64" s="57"/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27"/>
      <c r="X65" s="2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12</v>
      </c>
      <c r="H67" s="139" t="n">
        <v>16</v>
      </c>
      <c r="I67" s="139" t="n">
        <v>10</v>
      </c>
      <c r="J67" s="26" t="n">
        <v>21</v>
      </c>
      <c r="K67" s="26" t="n">
        <v>60</v>
      </c>
      <c r="L67" s="26" t="n">
        <v>12</v>
      </c>
      <c r="M67" s="26" t="n">
        <v>14</v>
      </c>
      <c r="P67" s="9" t="s">
        <v>71</v>
      </c>
      <c r="Q67" s="9"/>
      <c r="R67" s="9"/>
      <c r="S67" s="57" t="n">
        <f aca="false">G67*$Q3</f>
        <v>4.8</v>
      </c>
      <c r="T67" s="57" t="n">
        <f aca="false">H67*$Q3</f>
        <v>6.4</v>
      </c>
      <c r="U67" s="57" t="n">
        <f aca="false">I67*$Q3</f>
        <v>4</v>
      </c>
      <c r="V67" s="57" t="n">
        <f aca="false">J67*$Q3</f>
        <v>8.4</v>
      </c>
      <c r="W67" s="57" t="n">
        <f aca="false">K67*$Q3</f>
        <v>24</v>
      </c>
      <c r="X67" s="57" t="n">
        <f aca="false">L67*$Q3</f>
        <v>4.8</v>
      </c>
      <c r="Y67" s="57" t="n">
        <f aca="false">M67*$Q3</f>
        <v>5.6</v>
      </c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3</v>
      </c>
      <c r="H68" s="30" t="n">
        <v>5</v>
      </c>
      <c r="I68" s="30" t="n">
        <v>1</v>
      </c>
      <c r="J68" s="30" t="n">
        <v>1</v>
      </c>
      <c r="K68" s="30" t="n">
        <v>1</v>
      </c>
      <c r="L68" s="30" t="n">
        <v>1</v>
      </c>
      <c r="M68" s="30" t="n">
        <v>3</v>
      </c>
      <c r="P68" s="9" t="s">
        <v>72</v>
      </c>
      <c r="Q68" s="9"/>
      <c r="R68" s="9"/>
      <c r="S68" s="57" t="n">
        <f aca="false">G68*$Q3</f>
        <v>1.2</v>
      </c>
      <c r="T68" s="57" t="n">
        <f aca="false">H68*$Q3</f>
        <v>2</v>
      </c>
      <c r="U68" s="57" t="n">
        <f aca="false">I68*$Q3</f>
        <v>0.4</v>
      </c>
      <c r="V68" s="57" t="n">
        <f aca="false">J68*$Q3</f>
        <v>0.4</v>
      </c>
      <c r="W68" s="57" t="n">
        <f aca="false">K68*$Q3</f>
        <v>0.4</v>
      </c>
      <c r="X68" s="57" t="n">
        <f aca="false">L68*$Q3</f>
        <v>0.4</v>
      </c>
      <c r="Y68" s="57" t="n">
        <f aca="false">M68*$Q3</f>
        <v>1.2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29</v>
      </c>
      <c r="H69" s="30" t="n">
        <v>20</v>
      </c>
      <c r="I69" s="30" t="n">
        <v>10</v>
      </c>
      <c r="J69" s="30" t="n">
        <v>6</v>
      </c>
      <c r="K69" s="30" t="n">
        <v>3</v>
      </c>
      <c r="L69" s="30"/>
      <c r="M69" s="30" t="n">
        <v>11</v>
      </c>
      <c r="P69" s="9" t="s">
        <v>73</v>
      </c>
      <c r="Q69" s="9"/>
      <c r="R69" s="9"/>
      <c r="S69" s="57" t="n">
        <f aca="false">G69*$Q3</f>
        <v>11.6</v>
      </c>
      <c r="T69" s="57" t="n">
        <f aca="false">H69*$Q3</f>
        <v>8</v>
      </c>
      <c r="U69" s="57" t="n">
        <f aca="false">I69*$Q3</f>
        <v>4</v>
      </c>
      <c r="V69" s="57" t="n">
        <f aca="false">J69*$Q3</f>
        <v>2.4</v>
      </c>
      <c r="W69" s="57" t="n">
        <f aca="false">K69*$Q3</f>
        <v>1.2</v>
      </c>
      <c r="X69" s="57"/>
      <c r="Y69" s="57" t="n">
        <f aca="false">M69*$Q3</f>
        <v>4.4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330</v>
      </c>
      <c r="H70" s="60" t="n">
        <f aca="false">SUM(H58:H69)</f>
        <v>251</v>
      </c>
      <c r="I70" s="60" t="n">
        <f aca="false">SUM(I58:I69)</f>
        <v>136</v>
      </c>
      <c r="J70" s="60" t="n">
        <f aca="false">SUM(J58:J69)</f>
        <v>268</v>
      </c>
      <c r="K70" s="60" t="n">
        <f aca="false">SUM(K58:K69)</f>
        <v>602</v>
      </c>
      <c r="L70" s="60" t="n">
        <f aca="false">SUM(L58:L69)</f>
        <v>260</v>
      </c>
      <c r="M70" s="60" t="n">
        <f aca="false">SUM(M58:M69)</f>
        <v>304</v>
      </c>
      <c r="P70" s="9" t="s">
        <v>60</v>
      </c>
      <c r="Q70" s="9"/>
      <c r="R70" s="9"/>
      <c r="S70" s="61" t="n">
        <f aca="false">G70*$Q3</f>
        <v>132</v>
      </c>
      <c r="T70" s="61" t="n">
        <f aca="false">H70*$Q3</f>
        <v>100.4</v>
      </c>
      <c r="U70" s="61" t="n">
        <f aca="false">I70*$Q3</f>
        <v>54.4</v>
      </c>
      <c r="V70" s="61" t="n">
        <f aca="false">J70*$Q3</f>
        <v>107.2</v>
      </c>
      <c r="W70" s="61" t="n">
        <f aca="false">K70*$Q3</f>
        <v>240.8</v>
      </c>
      <c r="X70" s="61" t="n">
        <f aca="false">L70*$Q3</f>
        <v>104</v>
      </c>
      <c r="Y70" s="32" t="n">
        <f aca="false">M70*$Q3</f>
        <v>121.6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109</v>
      </c>
      <c r="I3" s="119" t="s">
        <v>2</v>
      </c>
      <c r="J3" s="4" t="n">
        <v>45516</v>
      </c>
      <c r="K3" s="5" t="n">
        <v>45522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109</v>
      </c>
      <c r="U3" s="119" t="s">
        <v>2</v>
      </c>
      <c r="V3" s="4" t="n">
        <v>45516</v>
      </c>
      <c r="W3" s="5" t="n">
        <v>45522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13</v>
      </c>
      <c r="H7" s="13" t="n">
        <v>40</v>
      </c>
      <c r="I7" s="13" t="n">
        <v>32</v>
      </c>
      <c r="J7" s="13" t="n">
        <v>32</v>
      </c>
      <c r="K7" s="13" t="n">
        <v>13</v>
      </c>
      <c r="L7" s="13" t="n">
        <v>3</v>
      </c>
      <c r="M7" s="13" t="n">
        <v>3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Row],[Colonna1]]*$Q3</f>
        <v>5.2</v>
      </c>
      <c r="T7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Row],[Colonna2]]*$Q3</f>
        <v>16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Row],[Colonna3]]*$Q3</f>
        <v>12.8</v>
      </c>
      <c r="V7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Row],[Colonna4]]*$Q3</f>
        <v>12.8</v>
      </c>
      <c r="W7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Row],[Colonna5]]*$Q3</f>
        <v>5.2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Row],[Colonna6]]*$Q3</f>
        <v>1.2</v>
      </c>
      <c r="Y7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Row],[Colonna7]]*$Q3</f>
        <v>1.2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10</v>
      </c>
      <c r="H12" s="13" t="n">
        <v>7</v>
      </c>
      <c r="I12" s="13" t="n">
        <v>13</v>
      </c>
      <c r="J12" s="13" t="n">
        <v>15</v>
      </c>
      <c r="K12" s="13" t="n">
        <v>12</v>
      </c>
      <c r="L12" s="13" t="n">
        <v>2</v>
      </c>
      <c r="M12" s="13"/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Row],[Colonna1]]*$Q3</f>
        <v>4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Row],[Colonna2]]*$Q3</f>
        <v>2.8</v>
      </c>
      <c r="U1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Row],[Colonna3]]*$Q3</f>
        <v>5.2</v>
      </c>
      <c r="V1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Row],[Colonna4]]*$Q3</f>
        <v>6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Row],[Colonna5]]*$Q3</f>
        <v>4.8</v>
      </c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17</v>
      </c>
      <c r="H15" s="13" t="n">
        <v>15</v>
      </c>
      <c r="I15" s="13" t="n">
        <v>15</v>
      </c>
      <c r="J15" s="13" t="n">
        <v>6</v>
      </c>
      <c r="K15" s="13" t="n">
        <v>1</v>
      </c>
      <c r="L15" s="13" t="n">
        <v>1</v>
      </c>
      <c r="M15" s="13"/>
      <c r="P15" s="12" t="s">
        <v>22</v>
      </c>
      <c r="Q15" s="12"/>
      <c r="R15" s="12"/>
      <c r="S15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Row],[Colonna1]]*$Q3</f>
        <v>6.8</v>
      </c>
      <c r="T15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Row],[Colonna2]]*$Q3</f>
        <v>6</v>
      </c>
      <c r="U15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Row],[Colonna3]]*$Q3</f>
        <v>6</v>
      </c>
      <c r="V15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Row],[Colonna4]]*$Q3</f>
        <v>2.4</v>
      </c>
      <c r="W15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Row],[Colonna5]]*$Q3</f>
        <v>0.4</v>
      </c>
      <c r="X15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Row],[Colonna6]]*$Q3</f>
        <v>0.4</v>
      </c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 t="n">
        <v>10</v>
      </c>
      <c r="H16" s="13" t="n">
        <v>6</v>
      </c>
      <c r="I16" s="13" t="n">
        <v>16</v>
      </c>
      <c r="J16" s="13" t="n">
        <v>18</v>
      </c>
      <c r="K16" s="13" t="n">
        <v>5</v>
      </c>
      <c r="L16" s="13" t="n">
        <v>2</v>
      </c>
      <c r="M16" s="13"/>
      <c r="P16" s="12" t="s">
        <v>23</v>
      </c>
      <c r="Q16" s="12"/>
      <c r="R16" s="12"/>
      <c r="S16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Row],[Colonna1]]*$Q3</f>
        <v>4</v>
      </c>
      <c r="T16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Row],[Colonna2]]*$Q3</f>
        <v>2.4</v>
      </c>
      <c r="U16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Row],[Colonna3]]*$Q3</f>
        <v>6.4</v>
      </c>
      <c r="V16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Row],[Colonna4]]*$Q3</f>
        <v>7.2</v>
      </c>
      <c r="W16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Row],[Colonna5]]*$Q3</f>
        <v>2</v>
      </c>
      <c r="X16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Row],[Colonna6]]*$Q3</f>
        <v>0.8</v>
      </c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 t="n">
        <v>1</v>
      </c>
      <c r="I22" s="13" t="n">
        <v>3</v>
      </c>
      <c r="J22" s="13"/>
      <c r="K22" s="13"/>
      <c r="L22" s="13"/>
      <c r="M22" s="13"/>
      <c r="P22" s="12" t="s">
        <v>29</v>
      </c>
      <c r="Q22" s="12"/>
      <c r="R22" s="12"/>
      <c r="S22" s="14"/>
      <c r="T2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Row],[Colonna2]]*$Q3</f>
        <v>0.4</v>
      </c>
      <c r="U2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Row],[Colonna3]]*$Q3</f>
        <v>1.2</v>
      </c>
      <c r="V22" s="14"/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11</v>
      </c>
      <c r="H29" s="13" t="n">
        <v>27</v>
      </c>
      <c r="I29" s="13" t="n">
        <v>16</v>
      </c>
      <c r="J29" s="13" t="n">
        <v>18</v>
      </c>
      <c r="K29" s="13" t="n">
        <v>4</v>
      </c>
      <c r="L29" s="13" t="n">
        <v>1</v>
      </c>
      <c r="M29" s="13"/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Row],[Colonna1]]*$Q3</f>
        <v>4.4</v>
      </c>
      <c r="T29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Row],[Colonna2]]*$Q3</f>
        <v>10.8</v>
      </c>
      <c r="U29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Row],[Colonna3]]*$Q3</f>
        <v>6.4</v>
      </c>
      <c r="V29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Row],[Colonna4]]*$Q3</f>
        <v>7.2</v>
      </c>
      <c r="W29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Row],[Colonna5]]*$Q3</f>
        <v>1.6</v>
      </c>
      <c r="X29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Row],[Colonna6]]*$Q3</f>
        <v>0.4</v>
      </c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 t="n">
        <v>1</v>
      </c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Row],[Colonna4]]*$Q3</f>
        <v>0.4</v>
      </c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2</v>
      </c>
      <c r="H42" s="13" t="n">
        <v>4</v>
      </c>
      <c r="I42" s="13" t="n">
        <v>5</v>
      </c>
      <c r="J42" s="142" t="n">
        <v>4</v>
      </c>
      <c r="K42" s="13" t="n">
        <v>6</v>
      </c>
      <c r="L42" s="13"/>
      <c r="M42" s="13"/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Row],[Colonna1]]*$Q3</f>
        <v>0.8</v>
      </c>
      <c r="T4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Row],[Colonna2]]*$Q3</f>
        <v>1.6</v>
      </c>
      <c r="U4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Row],[Colonna3]]*$Q3</f>
        <v>2</v>
      </c>
      <c r="V4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Row],[Colonna4]]*$Q3</f>
        <v>1.6</v>
      </c>
      <c r="W4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Row],[Colonna5]]*$Q3</f>
        <v>2.4</v>
      </c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</v>
      </c>
      <c r="H44" s="13" t="n">
        <v>15</v>
      </c>
      <c r="I44" s="13" t="n">
        <v>2</v>
      </c>
      <c r="J44" s="13" t="n">
        <v>11</v>
      </c>
      <c r="K44" s="142" t="n">
        <v>4</v>
      </c>
      <c r="L44" s="13" t="n">
        <v>5</v>
      </c>
      <c r="M44" s="142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Row],[Colonna1]]*$Q3</f>
        <v>0.4</v>
      </c>
      <c r="T44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Row],[Colonna2]]*$Q3</f>
        <v>6</v>
      </c>
      <c r="U44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Row],[Colonna3]]*$Q3</f>
        <v>0.8</v>
      </c>
      <c r="V44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Row],[Colonna4]]*$Q3</f>
        <v>4.4</v>
      </c>
      <c r="W44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Row],[Colonna5]]*$Q3</f>
        <v>1.6</v>
      </c>
      <c r="X44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Row],[Colonna6]]*$Q3</f>
        <v>2</v>
      </c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 t="n">
        <v>2</v>
      </c>
      <c r="I49" s="142" t="n">
        <v>2</v>
      </c>
      <c r="J49" s="142"/>
      <c r="K49" s="13"/>
      <c r="L49" s="13"/>
      <c r="M49" s="13"/>
      <c r="P49" s="18" t="s">
        <v>56</v>
      </c>
      <c r="Q49" s="18"/>
      <c r="R49" s="18"/>
      <c r="S49" s="14"/>
      <c r="T49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Row],[Colonna3]]*$Q3</f>
        <v>0.8</v>
      </c>
      <c r="U49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Row],[Colonna2]]*$Q3</f>
        <v>0.8</v>
      </c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30</v>
      </c>
      <c r="H52" s="13" t="n">
        <v>16</v>
      </c>
      <c r="I52" s="13" t="n">
        <v>18</v>
      </c>
      <c r="J52" s="13" t="n">
        <v>19</v>
      </c>
      <c r="K52" s="13" t="n">
        <v>31</v>
      </c>
      <c r="L52" s="13" t="n">
        <v>1</v>
      </c>
      <c r="M52" s="13" t="n">
        <v>2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Row],[Colonna1]]*$Q3</f>
        <v>12</v>
      </c>
      <c r="T5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Row],[Colonna2]]*$Q3</f>
        <v>6.4</v>
      </c>
      <c r="U5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Row],[Colonna3]]*$Q3</f>
        <v>7.2</v>
      </c>
      <c r="V5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Row],[Colonna4]]*$Q3</f>
        <v>7.6</v>
      </c>
      <c r="W5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Row],[Colonna5]]*$Q3</f>
        <v>12.4</v>
      </c>
      <c r="X5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Row],[Colonna6]]*$Q3</f>
        <v>0.4</v>
      </c>
      <c r="Y5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Row],[Colonna7]]*$Q3</f>
        <v>0.8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94</v>
      </c>
      <c r="H53" s="55" t="n">
        <f aca="false">SUM(H6:H52)</f>
        <v>133</v>
      </c>
      <c r="I53" s="55" t="n">
        <f aca="false">SUM(I6:I52)</f>
        <v>122</v>
      </c>
      <c r="J53" s="55" t="n">
        <f aca="false">SUM(J6:J52)</f>
        <v>124</v>
      </c>
      <c r="K53" s="55" t="n">
        <f aca="false">SUM(K6:K52)</f>
        <v>76</v>
      </c>
      <c r="L53" s="55" t="n">
        <f aca="false">SUM(L6:L52)</f>
        <v>15</v>
      </c>
      <c r="M53" s="55" t="n">
        <f aca="false">SUM(M6:M52)</f>
        <v>5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Tabella52791124791618202224262830323436384042444648505254565860626468707274767880828486908892949698100102104106108110112114116118120122124126130128132134136138140142144146148150152154156158160162164166168170172174176178182[[#This Row],[Colonna1]]*$Q3</f>
        <v>37.6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Tabella52791124791618202224262830323436384042444648505254565860626468707274767880828486908892949698100102104106108110112114116118120122124126130128132134136138140142144146148150152154156158160162164166168170172174176178182[[#This Row],[Colonna2]]*$Q3</f>
        <v>53.2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Tabella52791124791618202224262830323436384042444648505254565860626468707274767880828486908892949698100102104106108110112114116118120122124126130128132134136138140142144146148150152154156158160162164166168170172174176178182[[#This Row],[Colonna3]]*$Q3</f>
        <v>48.8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Tabella52791124791618202224262830323436384042444648505254565860626468707274767880828486908892949698100102104106108110112114116118120122124126130128132134136138140142144146148150152154156158160162164166168170172174176178182[[#This Row],[Colonna4]]*$Q3</f>
        <v>49.6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Tabella52791124791618202224262830323436384042444648505254565860626468707274767880828486908892949698100102104106108110112114116118120122124126130128132134136138140142144146148150152154156158160162164166168170172174176178182[[#This Row],[Colonna5]]*$Q3</f>
        <v>30.4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Tabella52791124791618202224262830323436384042444648505254565860626468707274767880828486908892949698100102104106108110112114116118120122124126130128132134136138140142144146148150152154156158160162164166168170172174176178182[[#This Row],[Colonna6]]*$Q3</f>
        <v>6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Tabella52791124791618202224262830323436384042444648505254565860626468707274767880828486908892949698100102104106108110112114116118120122124126130128132134136138140142144146148150152154156158160162164166168170172174176178182[[#This Row],[Colonna7]]*$Q3</f>
        <v>2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430</v>
      </c>
      <c r="H58" s="26" t="n">
        <v>522</v>
      </c>
      <c r="I58" s="26" t="n">
        <v>560</v>
      </c>
      <c r="J58" s="26" t="n">
        <v>330</v>
      </c>
      <c r="K58" s="26" t="n">
        <v>204</v>
      </c>
      <c r="L58" s="26" t="n">
        <v>63</v>
      </c>
      <c r="M58" s="26" t="n">
        <v>23</v>
      </c>
      <c r="P58" s="23" t="s">
        <v>62</v>
      </c>
      <c r="Q58" s="23"/>
      <c r="R58" s="23"/>
      <c r="S58" s="57" t="n">
        <f aca="false">G58*$Q3</f>
        <v>172</v>
      </c>
      <c r="T58" s="57" t="n">
        <f aca="false">H58*$Q3</f>
        <v>208.8</v>
      </c>
      <c r="U58" s="57" t="n">
        <f aca="false">I58*$Q3</f>
        <v>224</v>
      </c>
      <c r="V58" s="57" t="n">
        <f aca="false">J58*$Q3</f>
        <v>132</v>
      </c>
      <c r="W58" s="57" t="n">
        <f aca="false">K58*$Q3</f>
        <v>81.6</v>
      </c>
      <c r="X58" s="57" t="n">
        <f aca="false">L58*$Q3</f>
        <v>25.2</v>
      </c>
      <c r="Y58" s="27" t="n">
        <f aca="false">M58*$Q3</f>
        <v>9.2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10</v>
      </c>
      <c r="H62" s="26" t="n">
        <v>24</v>
      </c>
      <c r="I62" s="26" t="n">
        <v>2</v>
      </c>
      <c r="J62" s="26" t="n">
        <v>10</v>
      </c>
      <c r="K62" s="26" t="n">
        <v>1</v>
      </c>
      <c r="L62" s="26" t="n">
        <v>1</v>
      </c>
      <c r="M62" s="26"/>
      <c r="P62" s="9" t="s">
        <v>66</v>
      </c>
      <c r="Q62" s="9"/>
      <c r="R62" s="9"/>
      <c r="S62" s="57" t="n">
        <f aca="false">G62*$Q3</f>
        <v>4</v>
      </c>
      <c r="T62" s="57" t="n">
        <f aca="false">H62*$Q3</f>
        <v>9.6</v>
      </c>
      <c r="U62" s="57" t="n">
        <f aca="false">I62*$Q3</f>
        <v>0.8</v>
      </c>
      <c r="V62" s="57" t="n">
        <f aca="false">J62*$Q3</f>
        <v>4</v>
      </c>
      <c r="W62" s="57" t="n">
        <f aca="false">K62*$Q3</f>
        <v>0.4</v>
      </c>
      <c r="X62" s="57" t="n">
        <f aca="false">L62*$Q3</f>
        <v>0.4</v>
      </c>
      <c r="Y62" s="57"/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10</v>
      </c>
      <c r="H63" s="164" t="n">
        <v>10</v>
      </c>
      <c r="I63" s="13" t="n">
        <v>2</v>
      </c>
      <c r="J63" s="26" t="n">
        <v>8</v>
      </c>
      <c r="K63" s="26"/>
      <c r="L63" s="26"/>
      <c r="M63" s="26"/>
      <c r="P63" s="9" t="s">
        <v>67</v>
      </c>
      <c r="Q63" s="9"/>
      <c r="R63" s="9"/>
      <c r="S63" s="57" t="n">
        <f aca="false">G63*$Q3</f>
        <v>4</v>
      </c>
      <c r="T63" s="57" t="n">
        <f aca="false">H63*$Q3</f>
        <v>4</v>
      </c>
      <c r="U63" s="57" t="n">
        <f aca="false">I63*$Q3</f>
        <v>0.8</v>
      </c>
      <c r="V63" s="57" t="n">
        <f aca="false">J63*$Q3</f>
        <v>3.2</v>
      </c>
      <c r="W63" s="57"/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82</v>
      </c>
      <c r="H64" s="26" t="n">
        <v>30</v>
      </c>
      <c r="I64" s="26" t="n">
        <v>15</v>
      </c>
      <c r="J64" s="26" t="n">
        <v>40</v>
      </c>
      <c r="K64" s="26" t="n">
        <v>10</v>
      </c>
      <c r="L64" s="26" t="n">
        <v>6</v>
      </c>
      <c r="M64" s="26" t="n">
        <v>2</v>
      </c>
      <c r="P64" s="9" t="s">
        <v>68</v>
      </c>
      <c r="Q64" s="9"/>
      <c r="R64" s="9"/>
      <c r="S64" s="57" t="n">
        <f aca="false">G64*$Q3</f>
        <v>32.8</v>
      </c>
      <c r="T64" s="57" t="n">
        <f aca="false">H64*$Q3</f>
        <v>12</v>
      </c>
      <c r="U64" s="57" t="n">
        <f aca="false">I64*$Q3</f>
        <v>6</v>
      </c>
      <c r="V64" s="57" t="n">
        <f aca="false">J64*$Q3</f>
        <v>16</v>
      </c>
      <c r="W64" s="57" t="n">
        <f aca="false">K64*$Q3</f>
        <v>4</v>
      </c>
      <c r="X64" s="57" t="n">
        <f aca="false">L64*$Q3</f>
        <v>2.4</v>
      </c>
      <c r="Y64" s="57" t="n">
        <f aca="false">M64*$Q3</f>
        <v>0.8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27"/>
      <c r="X65" s="2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24</v>
      </c>
      <c r="H67" s="139" t="n">
        <v>31</v>
      </c>
      <c r="I67" s="139" t="n">
        <v>2</v>
      </c>
      <c r="J67" s="26" t="n">
        <v>30</v>
      </c>
      <c r="K67" s="26" t="n">
        <v>5</v>
      </c>
      <c r="L67" s="26" t="n">
        <v>1</v>
      </c>
      <c r="M67" s="26"/>
      <c r="P67" s="9" t="s">
        <v>71</v>
      </c>
      <c r="Q67" s="9"/>
      <c r="R67" s="9"/>
      <c r="S67" s="57" t="n">
        <f aca="false">G67*$Q3</f>
        <v>9.6</v>
      </c>
      <c r="T67" s="57" t="n">
        <f aca="false">H67*$Q3</f>
        <v>12.4</v>
      </c>
      <c r="U67" s="57" t="n">
        <f aca="false">I67*$Q3</f>
        <v>0.8</v>
      </c>
      <c r="V67" s="57" t="n">
        <f aca="false">J67*$Q3</f>
        <v>12</v>
      </c>
      <c r="W67" s="57" t="n">
        <f aca="false">K67*$Q3</f>
        <v>2</v>
      </c>
      <c r="X67" s="57" t="n">
        <f aca="false">L67*$Q3</f>
        <v>0.4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3</v>
      </c>
      <c r="H68" s="30" t="n">
        <v>6</v>
      </c>
      <c r="I68" s="30" t="n">
        <v>10</v>
      </c>
      <c r="J68" s="30" t="n">
        <v>3</v>
      </c>
      <c r="K68" s="30" t="n">
        <v>2</v>
      </c>
      <c r="L68" s="30" t="n">
        <v>2</v>
      </c>
      <c r="M68" s="30"/>
      <c r="P68" s="9" t="s">
        <v>72</v>
      </c>
      <c r="Q68" s="9"/>
      <c r="R68" s="9"/>
      <c r="S68" s="57" t="n">
        <f aca="false">G68*$Q3</f>
        <v>1.2</v>
      </c>
      <c r="T68" s="57" t="n">
        <f aca="false">H68*$Q3</f>
        <v>2.4</v>
      </c>
      <c r="U68" s="57" t="n">
        <f aca="false">I68*$Q3</f>
        <v>4</v>
      </c>
      <c r="V68" s="57" t="n">
        <f aca="false">J68*$Q3</f>
        <v>1.2</v>
      </c>
      <c r="W68" s="57"/>
      <c r="X68" s="57" t="n">
        <f aca="false">L68*$Q3</f>
        <v>0.8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10</v>
      </c>
      <c r="H69" s="30" t="n">
        <v>25</v>
      </c>
      <c r="I69" s="30" t="n">
        <v>30</v>
      </c>
      <c r="J69" s="30" t="n">
        <v>6</v>
      </c>
      <c r="K69" s="30" t="n">
        <v>8</v>
      </c>
      <c r="L69" s="30" t="n">
        <v>1</v>
      </c>
      <c r="M69" s="30"/>
      <c r="P69" s="9" t="s">
        <v>73</v>
      </c>
      <c r="Q69" s="9"/>
      <c r="R69" s="9"/>
      <c r="S69" s="57" t="n">
        <f aca="false">G69*$Q3</f>
        <v>4</v>
      </c>
      <c r="T69" s="57" t="n">
        <f aca="false">H69*$Q3</f>
        <v>10</v>
      </c>
      <c r="U69" s="57" t="n">
        <f aca="false">I69*$Q3</f>
        <v>12</v>
      </c>
      <c r="V69" s="57" t="n">
        <f aca="false">J69*$Q3</f>
        <v>2.4</v>
      </c>
      <c r="W69" s="57" t="n">
        <f aca="false">K69*$Q3</f>
        <v>3.2</v>
      </c>
      <c r="X69" s="57" t="n">
        <f aca="false">L69*$Q3</f>
        <v>0.4</v>
      </c>
      <c r="Y69" s="5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569</v>
      </c>
      <c r="H70" s="60" t="n">
        <f aca="false">SUM(H58:H69)</f>
        <v>648</v>
      </c>
      <c r="I70" s="60" t="n">
        <f aca="false">SUM(I58:I69)</f>
        <v>621</v>
      </c>
      <c r="J70" s="60" t="n">
        <f aca="false">SUM(J58:J69)</f>
        <v>427</v>
      </c>
      <c r="K70" s="60" t="n">
        <f aca="false">SUM(K58:K69)</f>
        <v>230</v>
      </c>
      <c r="L70" s="60" t="n">
        <f aca="false">SUM(L58:L69)</f>
        <v>74</v>
      </c>
      <c r="M70" s="60" t="n">
        <f aca="false">SUM(M58:M69)</f>
        <v>25</v>
      </c>
      <c r="P70" s="9" t="s">
        <v>60</v>
      </c>
      <c r="Q70" s="9"/>
      <c r="R70" s="9"/>
      <c r="S70" s="61" t="n">
        <f aca="false">G70*$Q3</f>
        <v>227.6</v>
      </c>
      <c r="T70" s="61" t="n">
        <f aca="false">H70*$Q3</f>
        <v>259.2</v>
      </c>
      <c r="U70" s="61" t="n">
        <f aca="false">I70*$Q3</f>
        <v>248.4</v>
      </c>
      <c r="V70" s="61" t="n">
        <f aca="false">J70*$Q3</f>
        <v>170.8</v>
      </c>
      <c r="W70" s="61" t="n">
        <f aca="false">K70*$Q3</f>
        <v>92</v>
      </c>
      <c r="X70" s="61" t="n">
        <f aca="false">L70*$Q3</f>
        <v>29.6</v>
      </c>
      <c r="Y70" s="32" t="n">
        <f aca="false">M70*$Q3</f>
        <v>10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" activeCellId="0" sqref="N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109</v>
      </c>
      <c r="I3" s="119" t="s">
        <v>2</v>
      </c>
      <c r="J3" s="4" t="n">
        <v>45523</v>
      </c>
      <c r="K3" s="5" t="n">
        <v>45529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109</v>
      </c>
      <c r="U3" s="119" t="s">
        <v>2</v>
      </c>
      <c r="V3" s="4" t="n">
        <v>45523</v>
      </c>
      <c r="W3" s="5" t="n">
        <v>45529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 t="n">
        <v>3</v>
      </c>
      <c r="I7" s="13" t="n">
        <v>5</v>
      </c>
      <c r="J7" s="13" t="n">
        <v>3</v>
      </c>
      <c r="K7" s="13" t="n">
        <v>3</v>
      </c>
      <c r="L7" s="13" t="n">
        <v>4</v>
      </c>
      <c r="M7" s="13" t="n">
        <v>8</v>
      </c>
      <c r="P7" s="12" t="s">
        <v>14</v>
      </c>
      <c r="Q7" s="12"/>
      <c r="R7" s="12"/>
      <c r="S7" s="14"/>
      <c r="T7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Row],[Colonna2]]*$Q3</f>
        <v>1.2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Row],[Colonna3]]*$Q3</f>
        <v>2</v>
      </c>
      <c r="V7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Row],[Colonna4]]*$Q3</f>
        <v>1.2</v>
      </c>
      <c r="W7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Row],[Colonna5]]*$Q3</f>
        <v>1.2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Row],[Colonna6]]*$Q3</f>
        <v>1.6</v>
      </c>
      <c r="Y7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Row],[Colonna7]]*$Q3</f>
        <v>3.2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 t="n">
        <v>6</v>
      </c>
      <c r="H11" s="13" t="n">
        <v>4</v>
      </c>
      <c r="I11" s="13" t="n">
        <v>8</v>
      </c>
      <c r="J11" s="13" t="n">
        <v>13</v>
      </c>
      <c r="K11" s="13" t="n">
        <v>3</v>
      </c>
      <c r="L11" s="13" t="n">
        <v>5</v>
      </c>
      <c r="M11" s="13" t="n">
        <v>11</v>
      </c>
      <c r="P11" s="9" t="s">
        <v>18</v>
      </c>
      <c r="Q11" s="9"/>
      <c r="R11" s="9"/>
      <c r="S11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Row],[Colonna1]]*$Q3</f>
        <v>2.4</v>
      </c>
      <c r="T11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Row],[Colonna2]]*$Q3</f>
        <v>1.6</v>
      </c>
      <c r="U11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Row],[Colonna3]]*$Q3</f>
        <v>3.2</v>
      </c>
      <c r="V11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Row],[Colonna4]]*$Q3</f>
        <v>5.2</v>
      </c>
      <c r="W11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Row],[Colonna5]]*$Q3</f>
        <v>1.2</v>
      </c>
      <c r="X11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Row],[Colonna6]]*$Q3</f>
        <v>2</v>
      </c>
      <c r="Y11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Row],[Colonna7]]*$Q3</f>
        <v>4.4</v>
      </c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8</v>
      </c>
      <c r="H12" s="13" t="n">
        <v>16</v>
      </c>
      <c r="I12" s="13" t="n">
        <v>22</v>
      </c>
      <c r="J12" s="13" t="n">
        <v>14</v>
      </c>
      <c r="K12" s="13" t="n">
        <v>10</v>
      </c>
      <c r="L12" s="13" t="n">
        <v>30</v>
      </c>
      <c r="M12" s="13" t="n">
        <v>65</v>
      </c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Row],[Colonna1]]*$Q3</f>
        <v>3.2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Row],[Colonna2]]*$Q3</f>
        <v>6.4</v>
      </c>
      <c r="U1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Row],[Colonna3]]*$Q3</f>
        <v>8.8</v>
      </c>
      <c r="V1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Row],[Colonna4]]*$Q3</f>
        <v>5.6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Row],[Colonna5]]*$Q3</f>
        <v>4</v>
      </c>
      <c r="X1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Row],[Colonna6]]*$Q3</f>
        <v>12</v>
      </c>
      <c r="Y1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Row],[Colonna7]]*$Q3</f>
        <v>26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 t="n">
        <v>6</v>
      </c>
      <c r="I15" s="13" t="n">
        <v>14</v>
      </c>
      <c r="J15" s="13" t="n">
        <v>11</v>
      </c>
      <c r="K15" s="13" t="n">
        <v>10</v>
      </c>
      <c r="L15" s="13" t="n">
        <v>2</v>
      </c>
      <c r="M15" s="13" t="n">
        <v>6</v>
      </c>
      <c r="P15" s="12" t="s">
        <v>22</v>
      </c>
      <c r="Q15" s="12"/>
      <c r="R15" s="12"/>
      <c r="S15" s="14"/>
      <c r="T15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Row],[Colonna2]]*$Q3</f>
        <v>2.4</v>
      </c>
      <c r="U15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Row],[Colonna3]]*$Q3</f>
        <v>5.6</v>
      </c>
      <c r="V15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Row],[Colonna4]]*$Q3</f>
        <v>4.4</v>
      </c>
      <c r="W15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Row],[Colonna5]]*$Q3</f>
        <v>4</v>
      </c>
      <c r="X15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Row],[Colonna6]]*$Q3</f>
        <v>0.8</v>
      </c>
      <c r="Y15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Row],[Colonna7]]*$Q3</f>
        <v>2.4</v>
      </c>
    </row>
    <row r="16" customFormat="false" ht="15" hidden="false" customHeight="false" outlineLevel="0" collapsed="false">
      <c r="D16" s="12" t="s">
        <v>23</v>
      </c>
      <c r="E16" s="12"/>
      <c r="F16" s="12"/>
      <c r="G16" s="13" t="n">
        <v>2</v>
      </c>
      <c r="H16" s="13"/>
      <c r="I16" s="13" t="n">
        <v>4</v>
      </c>
      <c r="J16" s="13"/>
      <c r="K16" s="13" t="n">
        <v>1</v>
      </c>
      <c r="L16" s="13"/>
      <c r="M16" s="13"/>
      <c r="P16" s="12" t="s">
        <v>23</v>
      </c>
      <c r="Q16" s="12"/>
      <c r="R16" s="12"/>
      <c r="S16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Row],[Colonna1]]*$Q3</f>
        <v>0.8</v>
      </c>
      <c r="T16" s="14"/>
      <c r="U16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Row],[Colonna3]]*$Q3</f>
        <v>1.6</v>
      </c>
      <c r="V16" s="14"/>
      <c r="W16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Row],[Colonna5]]*$Q3</f>
        <v>0.4</v>
      </c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 t="n">
        <v>1</v>
      </c>
      <c r="M22" s="13"/>
      <c r="P22" s="12" t="s">
        <v>29</v>
      </c>
      <c r="Q22" s="12"/>
      <c r="R22" s="12"/>
      <c r="S22" s="14"/>
      <c r="T22" s="14"/>
      <c r="U22" s="14"/>
      <c r="V22" s="14"/>
      <c r="W22" s="14"/>
      <c r="X2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Row],[Colonna6]]*$Q3</f>
        <v>0.4</v>
      </c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 t="n">
        <v>1</v>
      </c>
      <c r="M26" s="13" t="n">
        <v>1</v>
      </c>
      <c r="P26" s="12" t="s">
        <v>33</v>
      </c>
      <c r="Q26" s="12"/>
      <c r="R26" s="12"/>
      <c r="S26" s="14"/>
      <c r="T26" s="14"/>
      <c r="U26" s="14"/>
      <c r="V26" s="14"/>
      <c r="W26" s="14"/>
      <c r="X26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Row],[Colonna6]]*$Q3</f>
        <v>0.4</v>
      </c>
      <c r="Y26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Row],[Colonna7]]*$Q3</f>
        <v>0.4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 t="n">
        <v>1</v>
      </c>
      <c r="M28" s="13" t="n">
        <v>1</v>
      </c>
      <c r="P28" s="12" t="s">
        <v>35</v>
      </c>
      <c r="Q28" s="12"/>
      <c r="R28" s="12"/>
      <c r="S28" s="14"/>
      <c r="T28" s="14"/>
      <c r="U28" s="14"/>
      <c r="V28" s="14"/>
      <c r="W28" s="14"/>
      <c r="X28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Row],[Colonna6]]*$Q3</f>
        <v>0.4</v>
      </c>
      <c r="Y28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Row],[Colonna7]]*$Q3</f>
        <v>0.4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3</v>
      </c>
      <c r="H29" s="13" t="n">
        <v>4</v>
      </c>
      <c r="I29" s="13" t="n">
        <v>8</v>
      </c>
      <c r="J29" s="13" t="n">
        <v>6</v>
      </c>
      <c r="K29" s="13" t="n">
        <v>10</v>
      </c>
      <c r="L29" s="13" t="n">
        <v>15</v>
      </c>
      <c r="M29" s="13" t="n">
        <v>21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Row],[Colonna1]]*$Q3</f>
        <v>1.2</v>
      </c>
      <c r="T29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Row],[Colonna2]]*$Q3</f>
        <v>1.6</v>
      </c>
      <c r="U29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Row],[Colonna3]]*$Q3</f>
        <v>3.2</v>
      </c>
      <c r="V29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Row],[Colonna4]]*$Q3</f>
        <v>2.4</v>
      </c>
      <c r="W29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Row],[Colonna5]]*$Q3</f>
        <v>4</v>
      </c>
      <c r="X29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Row],[Colonna6]]*$Q3</f>
        <v>6</v>
      </c>
      <c r="Y29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Row],[Colonna7]]*$Q3</f>
        <v>8.4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 t="n">
        <v>1</v>
      </c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 t="n">
        <v>1</v>
      </c>
      <c r="I42" s="13" t="n">
        <v>2</v>
      </c>
      <c r="J42" s="142" t="n">
        <v>2</v>
      </c>
      <c r="K42" s="13" t="n">
        <v>1</v>
      </c>
      <c r="L42" s="13" t="n">
        <v>2</v>
      </c>
      <c r="M42" s="13" t="n">
        <v>4</v>
      </c>
      <c r="P42" s="9" t="s">
        <v>49</v>
      </c>
      <c r="Q42" s="9"/>
      <c r="R42" s="9"/>
      <c r="S42" s="14"/>
      <c r="T4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Row],[Colonna2]]*$Q3</f>
        <v>0.4</v>
      </c>
      <c r="U4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Row],[Colonna3]]*$Q3</f>
        <v>0.8</v>
      </c>
      <c r="V4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Row],[Colonna4]]*$Q3</f>
        <v>0.8</v>
      </c>
      <c r="W4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Row],[Colonna5]]*$Q3</f>
        <v>0.4</v>
      </c>
      <c r="X4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Row],[Colonna6]]*$Q3</f>
        <v>0.8</v>
      </c>
      <c r="Y4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Row],[Colonna7]]*$Q3</f>
        <v>1.6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 t="n">
        <v>4</v>
      </c>
      <c r="I44" s="13" t="n">
        <v>1</v>
      </c>
      <c r="J44" s="13" t="n">
        <v>2</v>
      </c>
      <c r="K44" s="142" t="n">
        <v>3</v>
      </c>
      <c r="L44" s="13" t="n">
        <v>7</v>
      </c>
      <c r="M44" s="142" t="n">
        <v>7</v>
      </c>
      <c r="P44" s="12" t="s">
        <v>51</v>
      </c>
      <c r="Q44" s="12"/>
      <c r="R44" s="12"/>
      <c r="S44" s="14"/>
      <c r="T44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Row],[Colonna2]]*$Q3</f>
        <v>1.6</v>
      </c>
      <c r="U44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Row],[Colonna3]]*$Q3</f>
        <v>0.4</v>
      </c>
      <c r="V44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Row],[Colonna4]]*$Q3</f>
        <v>0.8</v>
      </c>
      <c r="W44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Row],[Colonna5]]*$Q3</f>
        <v>1.2</v>
      </c>
      <c r="X44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Row],[Colonna6]]*$Q3</f>
        <v>2.8</v>
      </c>
      <c r="Y44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Row],[Colonna7]]*$Q3</f>
        <v>2.8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/>
      <c r="I49" s="142"/>
      <c r="J49" s="142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14</v>
      </c>
      <c r="H52" s="13" t="n">
        <v>45</v>
      </c>
      <c r="I52" s="13" t="n">
        <v>40</v>
      </c>
      <c r="J52" s="13" t="n">
        <v>33</v>
      </c>
      <c r="K52" s="13" t="n">
        <v>30</v>
      </c>
      <c r="L52" s="13" t="n">
        <v>76</v>
      </c>
      <c r="M52" s="13" t="n">
        <v>57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Row],[Colonna1]]*$Q3</f>
        <v>5.6</v>
      </c>
      <c r="T5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Row],[Colonna2]]*$Q3</f>
        <v>18</v>
      </c>
      <c r="U5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Row],[Colonna3]]*$Q3</f>
        <v>16</v>
      </c>
      <c r="V5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Row],[Colonna4]]*$Q3</f>
        <v>13.2</v>
      </c>
      <c r="W5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Row],[Colonna5]]*$Q3</f>
        <v>12</v>
      </c>
      <c r="X5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Row],[Colonna6]]*$Q3</f>
        <v>30.4</v>
      </c>
      <c r="Y5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Row],[Colonna7]]*$Q3</f>
        <v>22.8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33</v>
      </c>
      <c r="H53" s="55" t="n">
        <f aca="false">SUM(H6:H52)</f>
        <v>83</v>
      </c>
      <c r="I53" s="55" t="n">
        <f aca="false">SUM(I6:I52)</f>
        <v>104</v>
      </c>
      <c r="J53" s="55" t="n">
        <f aca="false">SUM(J6:J52)</f>
        <v>84</v>
      </c>
      <c r="K53" s="55" t="n">
        <f aca="false">SUM(K6:K52)</f>
        <v>72</v>
      </c>
      <c r="L53" s="55" t="n">
        <f aca="false">SUM(L6:L52)</f>
        <v>144</v>
      </c>
      <c r="M53" s="55" t="n">
        <f aca="false">SUM(M6:M52)</f>
        <v>181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Tabella52791124791618202224262830323436384042444648505254565860626468707274767880828486908892949698100102104106108110112114116118120122124126130128132134136138140142144146148150152154156158160162164166168170172174176178182184[[#This Row],[Colonna1]]*$Q3</f>
        <v>13.2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Tabella52791124791618202224262830323436384042444648505254565860626468707274767880828486908892949698100102104106108110112114116118120122124126130128132134136138140142144146148150152154156158160162164166168170172174176178182184[[#This Row],[Colonna2]]*$Q3</f>
        <v>33.2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Tabella52791124791618202224262830323436384042444648505254565860626468707274767880828486908892949698100102104106108110112114116118120122124126130128132134136138140142144146148150152154156158160162164166168170172174176178182184[[#This Row],[Colonna3]]*$Q3</f>
        <v>41.6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Tabella52791124791618202224262830323436384042444648505254565860626468707274767880828486908892949698100102104106108110112114116118120122124126130128132134136138140142144146148150152154156158160162164166168170172174176178182184[[#This Row],[Colonna4]]*$Q3</f>
        <v>33.6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Tabella52791124791618202224262830323436384042444648505254565860626468707274767880828486908892949698100102104106108110112114116118120122124126130128132134136138140142144146148150152154156158160162164166168170172174176178182184[[#This Row],[Colonna5]]*$Q3</f>
        <v>28.8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Tabella52791124791618202224262830323436384042444648505254565860626468707274767880828486908892949698100102104106108110112114116118120122124126130128132134136138140142144146148150152154156158160162164166168170172174176178182184[[#This Row],[Colonna6]]*$Q3</f>
        <v>57.6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Tabella52791124791618202224262830323436384042444648505254565860626468707274767880828486908892949698100102104106108110112114116118120122124126130128132134136138140142144146148150152154156158160162164166168170172174176178182184[[#This Row],[Colonna7]]*$Q3</f>
        <v>72.4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104</v>
      </c>
      <c r="H58" s="26" t="n">
        <v>302</v>
      </c>
      <c r="I58" s="26" t="n">
        <v>364</v>
      </c>
      <c r="J58" s="26" t="n">
        <v>607</v>
      </c>
      <c r="K58" s="26" t="n">
        <v>330</v>
      </c>
      <c r="L58" s="26" t="n">
        <v>579</v>
      </c>
      <c r="M58" s="26" t="n">
        <v>155</v>
      </c>
      <c r="P58" s="23" t="s">
        <v>62</v>
      </c>
      <c r="Q58" s="23"/>
      <c r="R58" s="23"/>
      <c r="S58" s="57" t="n">
        <f aca="false">G58*$Q3</f>
        <v>41.6</v>
      </c>
      <c r="T58" s="57" t="n">
        <f aca="false">H58*$Q3</f>
        <v>120.8</v>
      </c>
      <c r="U58" s="57" t="n">
        <f aca="false">I58*$Q3</f>
        <v>145.6</v>
      </c>
      <c r="V58" s="57" t="n">
        <f aca="false">J58*$Q3</f>
        <v>242.8</v>
      </c>
      <c r="W58" s="57" t="n">
        <f aca="false">K58*$Q3</f>
        <v>132</v>
      </c>
      <c r="X58" s="57" t="n">
        <f aca="false">L58*$Q3</f>
        <v>231.6</v>
      </c>
      <c r="Y58" s="27" t="n">
        <f aca="false">M58*$Q3</f>
        <v>62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28</v>
      </c>
      <c r="H62" s="26" t="n">
        <v>65</v>
      </c>
      <c r="I62" s="26" t="n">
        <v>30</v>
      </c>
      <c r="J62" s="26" t="n">
        <v>92</v>
      </c>
      <c r="K62" s="26" t="n">
        <v>33</v>
      </c>
      <c r="L62" s="26" t="n">
        <v>40</v>
      </c>
      <c r="M62" s="26" t="n">
        <v>27</v>
      </c>
      <c r="P62" s="9" t="s">
        <v>66</v>
      </c>
      <c r="Q62" s="9"/>
      <c r="R62" s="9"/>
      <c r="S62" s="57" t="n">
        <f aca="false">G62*$Q3</f>
        <v>11.2</v>
      </c>
      <c r="T62" s="57" t="n">
        <f aca="false">H62*$Q3</f>
        <v>26</v>
      </c>
      <c r="U62" s="57" t="n">
        <f aca="false">I62*$Q3</f>
        <v>12</v>
      </c>
      <c r="V62" s="57" t="n">
        <f aca="false">J62*$Q3</f>
        <v>36.8</v>
      </c>
      <c r="W62" s="57" t="n">
        <f aca="false">K62*$Q3</f>
        <v>13.2</v>
      </c>
      <c r="X62" s="57" t="n">
        <f aca="false">L62*$Q3</f>
        <v>16</v>
      </c>
      <c r="Y62" s="57" t="n">
        <f aca="false">M62*$Q3</f>
        <v>10.8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9</v>
      </c>
      <c r="H63" s="164" t="n">
        <v>20</v>
      </c>
      <c r="I63" s="13" t="n">
        <v>9</v>
      </c>
      <c r="J63" s="26" t="n">
        <v>8</v>
      </c>
      <c r="K63" s="26" t="n">
        <v>12</v>
      </c>
      <c r="L63" s="26" t="n">
        <v>4</v>
      </c>
      <c r="M63" s="26" t="n">
        <v>9</v>
      </c>
      <c r="P63" s="9" t="s">
        <v>67</v>
      </c>
      <c r="Q63" s="9"/>
      <c r="R63" s="9"/>
      <c r="S63" s="57" t="n">
        <f aca="false">G63*$Q3</f>
        <v>3.6</v>
      </c>
      <c r="T63" s="57" t="n">
        <f aca="false">H63*$Q3</f>
        <v>8</v>
      </c>
      <c r="U63" s="57" t="n">
        <f aca="false">I63*$Q3</f>
        <v>3.6</v>
      </c>
      <c r="V63" s="57" t="n">
        <f aca="false">J63*$Q3</f>
        <v>3.2</v>
      </c>
      <c r="W63" s="57" t="n">
        <f aca="false">K63*$Q3</f>
        <v>4.8</v>
      </c>
      <c r="X63" s="57" t="n">
        <f aca="false">L63*$Q3</f>
        <v>1.6</v>
      </c>
      <c r="Y63" s="57" t="n">
        <f aca="false">M63*$Q3</f>
        <v>3.6</v>
      </c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48</v>
      </c>
      <c r="H64" s="26" t="n">
        <v>51</v>
      </c>
      <c r="I64" s="26" t="n">
        <v>34</v>
      </c>
      <c r="J64" s="26" t="n">
        <v>41</v>
      </c>
      <c r="K64" s="26" t="n">
        <v>34</v>
      </c>
      <c r="L64" s="26" t="n">
        <v>80</v>
      </c>
      <c r="M64" s="26" t="n">
        <v>43</v>
      </c>
      <c r="P64" s="9" t="s">
        <v>68</v>
      </c>
      <c r="Q64" s="9"/>
      <c r="R64" s="9"/>
      <c r="S64" s="57" t="n">
        <f aca="false">G64*$Q3</f>
        <v>19.2</v>
      </c>
      <c r="T64" s="57" t="n">
        <f aca="false">H64*$Q3</f>
        <v>20.4</v>
      </c>
      <c r="U64" s="57" t="n">
        <f aca="false">I64*$Q3</f>
        <v>13.6</v>
      </c>
      <c r="V64" s="57" t="n">
        <f aca="false">J64*$Q3</f>
        <v>16.4</v>
      </c>
      <c r="W64" s="57" t="n">
        <f aca="false">K64*$Q3</f>
        <v>13.6</v>
      </c>
      <c r="X64" s="57" t="n">
        <f aca="false">L64*$Q3</f>
        <v>32</v>
      </c>
      <c r="Y64" s="57" t="n">
        <f aca="false">M64*$Q3</f>
        <v>17.2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27"/>
      <c r="X65" s="2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13</v>
      </c>
      <c r="H67" s="139" t="n">
        <v>15</v>
      </c>
      <c r="I67" s="139" t="n">
        <v>24</v>
      </c>
      <c r="J67" s="26" t="n">
        <v>14</v>
      </c>
      <c r="K67" s="26" t="n">
        <v>8</v>
      </c>
      <c r="L67" s="26" t="n">
        <v>14</v>
      </c>
      <c r="M67" s="26" t="n">
        <v>7</v>
      </c>
      <c r="P67" s="9" t="s">
        <v>71</v>
      </c>
      <c r="Q67" s="9"/>
      <c r="R67" s="9"/>
      <c r="S67" s="57" t="n">
        <f aca="false">G67*$Q3</f>
        <v>5.2</v>
      </c>
      <c r="T67" s="57" t="n">
        <f aca="false">H67*$Q3</f>
        <v>6</v>
      </c>
      <c r="U67" s="57" t="n">
        <f aca="false">I67*$Q3</f>
        <v>9.6</v>
      </c>
      <c r="V67" s="57" t="n">
        <f aca="false">J67*$Q3</f>
        <v>5.6</v>
      </c>
      <c r="W67" s="57" t="n">
        <f aca="false">K67*$Q3</f>
        <v>3.2</v>
      </c>
      <c r="X67" s="57" t="n">
        <f aca="false">L67*$Q3</f>
        <v>5.6</v>
      </c>
      <c r="Y67" s="57" t="n">
        <f aca="false">M67*$Q3</f>
        <v>2.8</v>
      </c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4</v>
      </c>
      <c r="H68" s="30" t="n">
        <v>3</v>
      </c>
      <c r="I68" s="30" t="n">
        <v>3</v>
      </c>
      <c r="J68" s="30"/>
      <c r="K68" s="30" t="n">
        <v>2</v>
      </c>
      <c r="L68" s="30" t="n">
        <v>3</v>
      </c>
      <c r="M68" s="30"/>
      <c r="P68" s="9" t="s">
        <v>72</v>
      </c>
      <c r="Q68" s="9"/>
      <c r="R68" s="9"/>
      <c r="S68" s="57" t="n">
        <f aca="false">G68*$Q3</f>
        <v>1.6</v>
      </c>
      <c r="T68" s="57" t="n">
        <f aca="false">H68*$Q3</f>
        <v>1.2</v>
      </c>
      <c r="U68" s="57" t="n">
        <f aca="false">I68*$Q3</f>
        <v>1.2</v>
      </c>
      <c r="V68" s="57"/>
      <c r="W68" s="57" t="n">
        <f aca="false">K68*$Q3</f>
        <v>0.8</v>
      </c>
      <c r="X68" s="57" t="n">
        <f aca="false">L68*$Q3</f>
        <v>1.2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7</v>
      </c>
      <c r="H69" s="30" t="n">
        <v>11</v>
      </c>
      <c r="I69" s="30" t="n">
        <v>40</v>
      </c>
      <c r="J69" s="30" t="n">
        <v>25</v>
      </c>
      <c r="K69" s="30" t="n">
        <v>68</v>
      </c>
      <c r="L69" s="30" t="n">
        <v>90</v>
      </c>
      <c r="M69" s="30" t="n">
        <v>40</v>
      </c>
      <c r="P69" s="9" t="s">
        <v>73</v>
      </c>
      <c r="Q69" s="9"/>
      <c r="R69" s="9"/>
      <c r="S69" s="57" t="n">
        <f aca="false">G69*$Q3</f>
        <v>2.8</v>
      </c>
      <c r="T69" s="57" t="n">
        <f aca="false">H69*$Q3</f>
        <v>4.4</v>
      </c>
      <c r="U69" s="57" t="n">
        <f aca="false">I69*$Q3</f>
        <v>16</v>
      </c>
      <c r="V69" s="57" t="n">
        <f aca="false">J69*$Q3</f>
        <v>10</v>
      </c>
      <c r="W69" s="57" t="n">
        <f aca="false">K69*$Q3</f>
        <v>27.2</v>
      </c>
      <c r="X69" s="57" t="n">
        <f aca="false">L69*$Q3</f>
        <v>36</v>
      </c>
      <c r="Y69" s="57" t="n">
        <f aca="false">M69*$Q3</f>
        <v>16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213</v>
      </c>
      <c r="H70" s="60" t="n">
        <f aca="false">SUM(H58:H69)</f>
        <v>467</v>
      </c>
      <c r="I70" s="60" t="n">
        <f aca="false">SUM(I58:I69)</f>
        <v>504</v>
      </c>
      <c r="J70" s="60" t="n">
        <f aca="false">SUM(J58:J69)</f>
        <v>787</v>
      </c>
      <c r="K70" s="60" t="n">
        <f aca="false">SUM(K58:K69)</f>
        <v>487</v>
      </c>
      <c r="L70" s="60" t="n">
        <f aca="false">SUM(L58:L69)</f>
        <v>810</v>
      </c>
      <c r="M70" s="60" t="n">
        <f aca="false">SUM(M58:M69)</f>
        <v>281</v>
      </c>
      <c r="P70" s="9" t="s">
        <v>60</v>
      </c>
      <c r="Q70" s="9"/>
      <c r="R70" s="9"/>
      <c r="S70" s="61" t="n">
        <f aca="false">G70*$Q3</f>
        <v>85.2</v>
      </c>
      <c r="T70" s="61" t="n">
        <f aca="false">H70*$Q3</f>
        <v>186.8</v>
      </c>
      <c r="U70" s="61" t="n">
        <f aca="false">I70*$Q3</f>
        <v>201.6</v>
      </c>
      <c r="V70" s="61" t="n">
        <f aca="false">J70*$Q3</f>
        <v>314.8</v>
      </c>
      <c r="W70" s="61" t="n">
        <f aca="false">K70*$Q3</f>
        <v>194.8</v>
      </c>
      <c r="X70" s="61" t="n">
        <f aca="false">L70*$Q3</f>
        <v>324</v>
      </c>
      <c r="Y70" s="32" t="n">
        <f aca="false">M70*$Q3</f>
        <v>112.4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B24" activeCellId="0" sqref="AB24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109</v>
      </c>
      <c r="I3" s="119" t="s">
        <v>2</v>
      </c>
      <c r="J3" s="4" t="n">
        <v>45530</v>
      </c>
      <c r="K3" s="5" t="n">
        <v>45536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109</v>
      </c>
      <c r="U3" s="119" t="s">
        <v>2</v>
      </c>
      <c r="V3" s="4" t="n">
        <v>45523</v>
      </c>
      <c r="W3" s="5" t="n">
        <v>45529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9</v>
      </c>
      <c r="H7" s="13" t="n">
        <v>3</v>
      </c>
      <c r="I7" s="13" t="n">
        <v>12</v>
      </c>
      <c r="J7" s="13" t="n">
        <v>44</v>
      </c>
      <c r="K7" s="13" t="n">
        <v>13</v>
      </c>
      <c r="L7" s="13" t="n">
        <v>6</v>
      </c>
      <c r="M7" s="13" t="n">
        <v>20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Row],[Colonna1]]*$Q3</f>
        <v>3.6</v>
      </c>
      <c r="T7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Row],[Colonna2]]*$Q3</f>
        <v>1.2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Row],[Colonna3]]*$Q3</f>
        <v>4.8</v>
      </c>
      <c r="V7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Row],[Colonna4]]*$Q3</f>
        <v>17.6</v>
      </c>
      <c r="W7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Row],[Colonna5]]*$Q3</f>
        <v>5.2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Row],[Colonna6]]*$Q3</f>
        <v>2.4</v>
      </c>
      <c r="Y7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Row],[Colonna7]]*$Q3</f>
        <v>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 t="n">
        <v>19</v>
      </c>
      <c r="H11" s="13" t="n">
        <v>4</v>
      </c>
      <c r="I11" s="13" t="n">
        <v>5</v>
      </c>
      <c r="J11" s="13" t="n">
        <v>13</v>
      </c>
      <c r="K11" s="13" t="n">
        <v>6</v>
      </c>
      <c r="L11" s="13" t="n">
        <v>1</v>
      </c>
      <c r="M11" s="13" t="n">
        <v>3</v>
      </c>
      <c r="P11" s="9" t="s">
        <v>18</v>
      </c>
      <c r="Q11" s="9"/>
      <c r="R11" s="9"/>
      <c r="S11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Row],[Colonna1]]*$Q3</f>
        <v>7.6</v>
      </c>
      <c r="T11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Row],[Colonna2]]*$Q3</f>
        <v>1.6</v>
      </c>
      <c r="U11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Row],[Colonna3]]*$Q3</f>
        <v>2</v>
      </c>
      <c r="V11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Row],[Colonna4]]*$Q3</f>
        <v>5.2</v>
      </c>
      <c r="W11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Row],[Colonna5]]*$Q3</f>
        <v>2.4</v>
      </c>
      <c r="X11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Row],[Colonna6]]*$Q3</f>
        <v>0.4</v>
      </c>
      <c r="Y11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Row],[Colonna7]]*$Q3</f>
        <v>1.2</v>
      </c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88</v>
      </c>
      <c r="H12" s="13" t="n">
        <v>37</v>
      </c>
      <c r="I12" s="13" t="n">
        <v>33</v>
      </c>
      <c r="J12" s="13" t="n">
        <v>34</v>
      </c>
      <c r="K12" s="13" t="n">
        <v>83</v>
      </c>
      <c r="L12" s="13" t="n">
        <v>22</v>
      </c>
      <c r="M12" s="13" t="n">
        <v>25</v>
      </c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Row],[Colonna1]]*$Q3</f>
        <v>35.2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Row],[Colonna2]]*$Q3</f>
        <v>14.8</v>
      </c>
      <c r="U1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Row],[Colonna3]]*$Q3</f>
        <v>13.2</v>
      </c>
      <c r="V1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Row],[Colonna4]]*$Q3</f>
        <v>13.6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Row],[Colonna5]]*$Q3</f>
        <v>33.2</v>
      </c>
      <c r="X1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Row],[Colonna6]]*$Q3</f>
        <v>8.8</v>
      </c>
      <c r="Y1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Row],[Colonna7]]*$Q3</f>
        <v>10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38</v>
      </c>
      <c r="H15" s="13" t="n">
        <v>7</v>
      </c>
      <c r="I15" s="13" t="n">
        <v>48</v>
      </c>
      <c r="J15" s="13" t="n">
        <v>33</v>
      </c>
      <c r="K15" s="13" t="n">
        <v>16</v>
      </c>
      <c r="L15" s="13" t="n">
        <v>5</v>
      </c>
      <c r="M15" s="13" t="n">
        <v>48</v>
      </c>
      <c r="P15" s="12" t="s">
        <v>22</v>
      </c>
      <c r="Q15" s="12"/>
      <c r="R15" s="12"/>
      <c r="S15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Row],[Colonna1]]*$Q3</f>
        <v>15.2</v>
      </c>
      <c r="T15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Row],[Colonna2]]*$Q3</f>
        <v>2.8</v>
      </c>
      <c r="U15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Row],[Colonna3]]*$Q3</f>
        <v>19.2</v>
      </c>
      <c r="V15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Row],[Colonna4]]*$Q3</f>
        <v>13.2</v>
      </c>
      <c r="W15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Row],[Colonna5]]*$Q3</f>
        <v>6.4</v>
      </c>
      <c r="X15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Row],[Colonna6]]*$Q3</f>
        <v>2</v>
      </c>
      <c r="Y15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Row],[Colonna7]]*$Q3</f>
        <v>19.2</v>
      </c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Row],[Colonna1]]*$Q3</f>
        <v>0</v>
      </c>
      <c r="T16" s="14"/>
      <c r="U16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Row],[Colonna3]]*$Q3</f>
        <v>0</v>
      </c>
      <c r="V16" s="14"/>
      <c r="W16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Row],[Colonna5]]*$Q3</f>
        <v>0</v>
      </c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/>
      <c r="T22" s="14"/>
      <c r="U22" s="14"/>
      <c r="V22" s="14"/>
      <c r="W22" s="14"/>
      <c r="X2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Row],[Colonna6]]*$Q3</f>
        <v>0</v>
      </c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1</v>
      </c>
      <c r="H26" s="13"/>
      <c r="I26" s="13" t="n">
        <v>1</v>
      </c>
      <c r="J26" s="13"/>
      <c r="K26" s="13"/>
      <c r="L26" s="13"/>
      <c r="M26" s="13" t="n">
        <v>1</v>
      </c>
      <c r="P26" s="12" t="s">
        <v>33</v>
      </c>
      <c r="Q26" s="12"/>
      <c r="R26" s="12"/>
      <c r="S26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Row],[Colonna1]]*$Q3</f>
        <v>0.4</v>
      </c>
      <c r="T26" s="14" t="s">
        <v>91</v>
      </c>
      <c r="U26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Row],[Colonna3]]*$Q3</f>
        <v>0.4</v>
      </c>
      <c r="V26" s="14" t="s">
        <v>91</v>
      </c>
      <c r="W26" s="14" t="s">
        <v>91</v>
      </c>
      <c r="X26" s="14" t="s">
        <v>91</v>
      </c>
      <c r="Y26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Row],[Colonna7]]*$Q3</f>
        <v>0.4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18</v>
      </c>
      <c r="H29" s="13" t="n">
        <v>13</v>
      </c>
      <c r="I29" s="13" t="n">
        <v>5</v>
      </c>
      <c r="J29" s="13" t="n">
        <v>17</v>
      </c>
      <c r="K29" s="13" t="n">
        <v>17</v>
      </c>
      <c r="L29" s="13" t="n">
        <v>17</v>
      </c>
      <c r="M29" s="13" t="n">
        <v>23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Row],[Colonna1]]*$Q3</f>
        <v>7.2</v>
      </c>
      <c r="T29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Row],[Colonna2]]*$Q3</f>
        <v>5.2</v>
      </c>
      <c r="U29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Row],[Colonna3]]*$Q3</f>
        <v>2</v>
      </c>
      <c r="V29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Row],[Colonna4]]*$Q3</f>
        <v>6.8</v>
      </c>
      <c r="W29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Row],[Colonna5]]*$Q3</f>
        <v>6.8</v>
      </c>
      <c r="X29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Row],[Colonna6]]*$Q3</f>
        <v>6.8</v>
      </c>
      <c r="Y29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Row],[Colonna7]]*$Q3</f>
        <v>9.2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13" t="n">
        <v>1</v>
      </c>
      <c r="I41" s="13"/>
      <c r="J41" s="13" t="n">
        <v>1</v>
      </c>
      <c r="K41" s="13" t="n">
        <v>1</v>
      </c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1</v>
      </c>
      <c r="H42" s="13" t="n">
        <v>2</v>
      </c>
      <c r="I42" s="13"/>
      <c r="J42" s="142"/>
      <c r="K42" s="13"/>
      <c r="L42" s="13"/>
      <c r="M42" s="13"/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Row],[Colonna1]]*$Q3</f>
        <v>0.4</v>
      </c>
      <c r="T4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Row],[Colonna2]]*$Q3</f>
        <v>0.8</v>
      </c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</v>
      </c>
      <c r="H44" s="13" t="n">
        <v>8</v>
      </c>
      <c r="I44" s="13" t="n">
        <v>2</v>
      </c>
      <c r="J44" s="13" t="n">
        <v>30</v>
      </c>
      <c r="K44" s="142" t="n">
        <v>6</v>
      </c>
      <c r="L44" s="13" t="n">
        <v>1</v>
      </c>
      <c r="M44" s="142" t="n">
        <v>1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Row],[Colonna1]]*$Q3</f>
        <v>0.4</v>
      </c>
      <c r="T44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Row],[Colonna2]]*$Q3</f>
        <v>3.2</v>
      </c>
      <c r="U44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Row],[Colonna3]]*$Q3</f>
        <v>0.8</v>
      </c>
      <c r="V44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Row],[Colonna4]]*$Q3</f>
        <v>12</v>
      </c>
      <c r="W44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Row],[Colonna5]]*$Q3</f>
        <v>2.4</v>
      </c>
      <c r="X44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Row],[Colonna6]]*$Q3</f>
        <v>0.4</v>
      </c>
      <c r="Y44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Row],[Colonna7]]*$Q3</f>
        <v>0.4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/>
      <c r="I49" s="142"/>
      <c r="J49" s="142"/>
      <c r="K49" s="13"/>
      <c r="L49" s="13"/>
      <c r="M49" s="13" t="n">
        <v>1</v>
      </c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38</v>
      </c>
      <c r="H52" s="13" t="n">
        <v>30</v>
      </c>
      <c r="I52" s="13" t="n">
        <v>37</v>
      </c>
      <c r="J52" s="13" t="n">
        <v>78</v>
      </c>
      <c r="K52" s="13" t="n">
        <v>140</v>
      </c>
      <c r="L52" s="13" t="n">
        <v>70</v>
      </c>
      <c r="M52" s="13" t="n">
        <v>25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Row],[Colonna1]]*$Q3</f>
        <v>15.2</v>
      </c>
      <c r="T5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Row],[Colonna2]]*$Q3</f>
        <v>12</v>
      </c>
      <c r="U5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Row],[Colonna3]]*$Q3</f>
        <v>14.8</v>
      </c>
      <c r="V5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Row],[Colonna4]]*$Q3</f>
        <v>31.2</v>
      </c>
      <c r="W5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Row],[Colonna5]]*$Q3</f>
        <v>56</v>
      </c>
      <c r="X5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Row],[Colonna6]]*$Q3</f>
        <v>28</v>
      </c>
      <c r="Y5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Row],[Colonna7]]*$Q3</f>
        <v>10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214</v>
      </c>
      <c r="H53" s="55" t="n">
        <f aca="false">SUM(H6:H52)</f>
        <v>105</v>
      </c>
      <c r="I53" s="55" t="n">
        <f aca="false">SUM(I6:I52)</f>
        <v>143</v>
      </c>
      <c r="J53" s="55" t="n">
        <f aca="false">SUM(J6:J52)</f>
        <v>250</v>
      </c>
      <c r="K53" s="55" t="n">
        <f aca="false">SUM(K6:K52)</f>
        <v>282</v>
      </c>
      <c r="L53" s="55" t="n">
        <f aca="false">SUM(L6:L52)</f>
        <v>122</v>
      </c>
      <c r="M53" s="55" t="n">
        <f aca="false">SUM(M6:M52)</f>
        <v>147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Row],[Colonna1]]*$Q3</f>
        <v>85.6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Row],[Colonna2]]*$Q3</f>
        <v>42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Row],[Colonna3]]*$Q3</f>
        <v>57.2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Row],[Colonna4]]*$Q3</f>
        <v>100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Row],[Colonna5]]*$Q3</f>
        <v>112.8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Row],[Colonna6]]*$Q3</f>
        <v>48.8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Row],[Colonna7]]*$Q3</f>
        <v>58.8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340</v>
      </c>
      <c r="H58" s="26" t="n">
        <v>160</v>
      </c>
      <c r="I58" s="26" t="n">
        <v>104</v>
      </c>
      <c r="J58" s="26" t="n">
        <v>140</v>
      </c>
      <c r="K58" s="26" t="n">
        <v>160</v>
      </c>
      <c r="L58" s="26" t="n">
        <v>150</v>
      </c>
      <c r="M58" s="26" t="n">
        <v>191</v>
      </c>
      <c r="P58" s="23" t="s">
        <v>62</v>
      </c>
      <c r="Q58" s="23"/>
      <c r="R58" s="23"/>
      <c r="S58" s="57" t="n">
        <f aca="false">G58*$Q3</f>
        <v>136</v>
      </c>
      <c r="T58" s="57" t="n">
        <f aca="false">H58*$Q3</f>
        <v>64</v>
      </c>
      <c r="U58" s="57" t="n">
        <f aca="false">I58*$Q3</f>
        <v>41.6</v>
      </c>
      <c r="V58" s="57" t="n">
        <f aca="false">J58*$Q3</f>
        <v>56</v>
      </c>
      <c r="W58" s="57" t="n">
        <f aca="false">K58*$Q3</f>
        <v>64</v>
      </c>
      <c r="X58" s="57" t="n">
        <f aca="false">L58*$Q3</f>
        <v>60</v>
      </c>
      <c r="Y58" s="27" t="n">
        <f aca="false">M58*$Q3</f>
        <v>76.4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11</v>
      </c>
      <c r="H62" s="26" t="n">
        <v>44</v>
      </c>
      <c r="I62" s="26" t="n">
        <v>10</v>
      </c>
      <c r="J62" s="26" t="n">
        <v>3</v>
      </c>
      <c r="K62" s="26" t="n">
        <v>10</v>
      </c>
      <c r="L62" s="26"/>
      <c r="M62" s="26"/>
      <c r="P62" s="9" t="s">
        <v>66</v>
      </c>
      <c r="Q62" s="9"/>
      <c r="R62" s="9"/>
      <c r="S62" s="57" t="n">
        <f aca="false">G62*$Q3</f>
        <v>4.4</v>
      </c>
      <c r="T62" s="57" t="n">
        <f aca="false">H62*$Q3</f>
        <v>17.6</v>
      </c>
      <c r="U62" s="57" t="n">
        <f aca="false">I62*$Q3</f>
        <v>4</v>
      </c>
      <c r="V62" s="57" t="n">
        <f aca="false">J62*$Q3</f>
        <v>1.2</v>
      </c>
      <c r="W62" s="57" t="n">
        <f aca="false">K62*$Q3</f>
        <v>4</v>
      </c>
      <c r="X62" s="57" t="n">
        <f aca="false">L62*$Q3</f>
        <v>0</v>
      </c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164"/>
      <c r="I63" s="13"/>
      <c r="J63" s="26"/>
      <c r="K63" s="26"/>
      <c r="L63" s="26"/>
      <c r="M63" s="26"/>
      <c r="P63" s="9" t="s">
        <v>67</v>
      </c>
      <c r="Q63" s="9"/>
      <c r="R63" s="9"/>
      <c r="S63" s="57" t="n">
        <f aca="false">G63*$Q3</f>
        <v>0</v>
      </c>
      <c r="T63" s="57" t="n">
        <f aca="false">H63*$Q3</f>
        <v>0</v>
      </c>
      <c r="U63" s="57" t="n">
        <f aca="false">I63*$Q3</f>
        <v>0</v>
      </c>
      <c r="V63" s="57" t="n">
        <f aca="false">J63*$Q3</f>
        <v>0</v>
      </c>
      <c r="W63" s="57" t="n">
        <f aca="false">K63*$Q3</f>
        <v>0</v>
      </c>
      <c r="X63" s="57" t="n">
        <f aca="false">L63*$Q3</f>
        <v>0</v>
      </c>
      <c r="Y63" s="57" t="n">
        <f aca="false">M63*$Q3</f>
        <v>0</v>
      </c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20</v>
      </c>
      <c r="H64" s="26" t="n">
        <v>27</v>
      </c>
      <c r="I64" s="26" t="n">
        <v>10</v>
      </c>
      <c r="J64" s="26" t="n">
        <v>5</v>
      </c>
      <c r="K64" s="26" t="n">
        <v>5</v>
      </c>
      <c r="L64" s="26" t="n">
        <v>8</v>
      </c>
      <c r="M64" s="26" t="n">
        <v>5</v>
      </c>
      <c r="P64" s="9" t="s">
        <v>68</v>
      </c>
      <c r="Q64" s="9"/>
      <c r="R64" s="9"/>
      <c r="S64" s="57" t="n">
        <f aca="false">G64*$Q3</f>
        <v>8</v>
      </c>
      <c r="T64" s="57" t="n">
        <f aca="false">H64*$Q3</f>
        <v>10.8</v>
      </c>
      <c r="U64" s="57" t="n">
        <f aca="false">I64*$Q3</f>
        <v>4</v>
      </c>
      <c r="V64" s="57" t="n">
        <f aca="false">J64*$Q3</f>
        <v>2</v>
      </c>
      <c r="W64" s="57" t="n">
        <f aca="false">K64*$Q3</f>
        <v>2</v>
      </c>
      <c r="X64" s="57" t="n">
        <f aca="false">L64*$Q3</f>
        <v>3.2</v>
      </c>
      <c r="Y64" s="57" t="n">
        <f aca="false">M64*$Q3</f>
        <v>2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27"/>
      <c r="X65" s="2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5</v>
      </c>
      <c r="H67" s="139" t="n">
        <v>3</v>
      </c>
      <c r="I67" s="139" t="n">
        <v>7</v>
      </c>
      <c r="J67" s="26" t="n">
        <v>2</v>
      </c>
      <c r="K67" s="26"/>
      <c r="L67" s="26"/>
      <c r="M67" s="26" t="n">
        <v>2</v>
      </c>
      <c r="P67" s="9" t="s">
        <v>71</v>
      </c>
      <c r="Q67" s="9"/>
      <c r="R67" s="9"/>
      <c r="S67" s="57" t="n">
        <f aca="false">G67*$Q3</f>
        <v>2</v>
      </c>
      <c r="T67" s="57" t="n">
        <f aca="false">H67*$Q3</f>
        <v>1.2</v>
      </c>
      <c r="U67" s="57" t="n">
        <f aca="false">I67*$Q3</f>
        <v>2.8</v>
      </c>
      <c r="V67" s="57" t="n">
        <f aca="false">J67*$Q3</f>
        <v>0.8</v>
      </c>
      <c r="W67" s="57" t="n">
        <f aca="false">K67*$Q3</f>
        <v>0</v>
      </c>
      <c r="X67" s="57" t="n">
        <f aca="false">L67*$Q3</f>
        <v>0</v>
      </c>
      <c r="Y67" s="57" t="n">
        <f aca="false">M67*$Q3</f>
        <v>0.8</v>
      </c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6</v>
      </c>
      <c r="H68" s="30" t="n">
        <v>5</v>
      </c>
      <c r="I68" s="30" t="n">
        <v>2</v>
      </c>
      <c r="J68" s="30" t="n">
        <v>2</v>
      </c>
      <c r="K68" s="30" t="n">
        <v>2</v>
      </c>
      <c r="L68" s="30"/>
      <c r="M68" s="30" t="n">
        <v>1</v>
      </c>
      <c r="P68" s="9" t="s">
        <v>72</v>
      </c>
      <c r="Q68" s="9"/>
      <c r="R68" s="9"/>
      <c r="S68" s="57" t="n">
        <f aca="false">G68*$Q3</f>
        <v>2.4</v>
      </c>
      <c r="T68" s="57" t="n">
        <f aca="false">H68*$Q3</f>
        <v>2</v>
      </c>
      <c r="U68" s="57" t="n">
        <f aca="false">I68*$Q3</f>
        <v>0.8</v>
      </c>
      <c r="V68" s="57"/>
      <c r="W68" s="57" t="n">
        <f aca="false">K68*$Q3</f>
        <v>0.8</v>
      </c>
      <c r="X68" s="57" t="n">
        <f aca="false">L68*$Q3</f>
        <v>0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4</v>
      </c>
      <c r="H69" s="30" t="n">
        <v>13</v>
      </c>
      <c r="I69" s="30"/>
      <c r="J69" s="30" t="n">
        <v>10</v>
      </c>
      <c r="K69" s="30" t="n">
        <v>20</v>
      </c>
      <c r="L69" s="30" t="n">
        <v>10</v>
      </c>
      <c r="M69" s="30" t="n">
        <v>40</v>
      </c>
      <c r="P69" s="9" t="s">
        <v>73</v>
      </c>
      <c r="Q69" s="9"/>
      <c r="R69" s="9"/>
      <c r="S69" s="57" t="n">
        <f aca="false">G69*$Q3</f>
        <v>1.6</v>
      </c>
      <c r="T69" s="57" t="n">
        <f aca="false">H69*$Q3</f>
        <v>5.2</v>
      </c>
      <c r="U69" s="57" t="n">
        <f aca="false">I69*$Q3</f>
        <v>0</v>
      </c>
      <c r="V69" s="57" t="n">
        <f aca="false">J69*$Q3</f>
        <v>4</v>
      </c>
      <c r="W69" s="57" t="n">
        <f aca="false">K69*$Q3</f>
        <v>8</v>
      </c>
      <c r="X69" s="57" t="n">
        <f aca="false">L69*$Q3</f>
        <v>4</v>
      </c>
      <c r="Y69" s="57" t="n">
        <f aca="false">M69*$Q3</f>
        <v>16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386</v>
      </c>
      <c r="H70" s="60" t="n">
        <f aca="false">SUM(H58:H69)</f>
        <v>252</v>
      </c>
      <c r="I70" s="60" t="n">
        <f aca="false">SUM(I58:I69)</f>
        <v>133</v>
      </c>
      <c r="J70" s="60" t="n">
        <f aca="false">SUM(J58:J69)</f>
        <v>162</v>
      </c>
      <c r="K70" s="60" t="n">
        <f aca="false">SUM(K58:K69)</f>
        <v>197</v>
      </c>
      <c r="L70" s="60" t="n">
        <f aca="false">SUM(L58:L69)</f>
        <v>168</v>
      </c>
      <c r="M70" s="60" t="n">
        <f aca="false">SUM(M58:M69)</f>
        <v>239</v>
      </c>
      <c r="P70" s="9" t="s">
        <v>60</v>
      </c>
      <c r="Q70" s="9"/>
      <c r="R70" s="9"/>
      <c r="S70" s="61" t="n">
        <f aca="false">G70*$Q3</f>
        <v>154.4</v>
      </c>
      <c r="T70" s="61" t="n">
        <f aca="false">H70*$Q3</f>
        <v>100.8</v>
      </c>
      <c r="U70" s="61" t="n">
        <f aca="false">I70*$Q3</f>
        <v>53.2</v>
      </c>
      <c r="V70" s="61" t="n">
        <f aca="false">J70*$Q3</f>
        <v>64.8</v>
      </c>
      <c r="W70" s="61" t="n">
        <f aca="false">K70*$Q3</f>
        <v>78.8</v>
      </c>
      <c r="X70" s="61" t="n">
        <f aca="false">L70*$Q3</f>
        <v>67.2</v>
      </c>
      <c r="Y70" s="32" t="n">
        <f aca="false">M70*$Q3</f>
        <v>95.6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92</v>
      </c>
      <c r="I3" s="119" t="s">
        <v>2</v>
      </c>
      <c r="J3" s="4" t="n">
        <v>45537</v>
      </c>
      <c r="K3" s="5" t="n">
        <v>45543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92</v>
      </c>
      <c r="U3" s="119" t="s">
        <v>2</v>
      </c>
      <c r="V3" s="4" t="n">
        <v>45537</v>
      </c>
      <c r="W3" s="5" t="n">
        <v>45543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Row],[Colonna2]]*$Q3</f>
        <v>0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Row],[Colonna3]]*$Q3</f>
        <v>0</v>
      </c>
      <c r="V7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Row],[Colonna4]]*$Q3</f>
        <v>0</v>
      </c>
      <c r="W7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Row],[Colonna5]]*$Q3</f>
        <v>0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Row],[Colonna6]]*$Q3</f>
        <v>0</v>
      </c>
      <c r="Y7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Row],[Colonna7]]*$Q3</f>
        <v>0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Row],[Colonna1]]*$Q3</f>
        <v>0</v>
      </c>
      <c r="T11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Row],[Colonna2]]*$Q3</f>
        <v>0</v>
      </c>
      <c r="U11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Row],[Colonna3]]*$Q3</f>
        <v>0</v>
      </c>
      <c r="V11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Row],[Colonna4]]*$Q3</f>
        <v>0</v>
      </c>
      <c r="W11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Row],[Colonna5]]*$Q3</f>
        <v>0</v>
      </c>
      <c r="X11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Row],[Colonna6]]*$Q3</f>
        <v>0</v>
      </c>
      <c r="Y11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Row],[Colonna7]]*$Q3</f>
        <v>0</v>
      </c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Row],[Colonna1]]*$Q3</f>
        <v>0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Row],[Colonna2]]*$Q3</f>
        <v>0</v>
      </c>
      <c r="U1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Row],[Colonna3]]*$Q3</f>
        <v>0</v>
      </c>
      <c r="V1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Row],[Colonna4]]*$Q3</f>
        <v>0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Row],[Colonna5]]*$Q3</f>
        <v>0</v>
      </c>
      <c r="X1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Row],[Colonna6]]*$Q3</f>
        <v>0</v>
      </c>
      <c r="Y1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Row],[Colonna7]]*$Q3</f>
        <v>0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Row],[Colonna2]]*$Q3</f>
        <v>0</v>
      </c>
      <c r="U15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Row],[Colonna3]]*$Q3</f>
        <v>0</v>
      </c>
      <c r="V15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Row],[Colonna4]]*$Q3</f>
        <v>0</v>
      </c>
      <c r="W15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Row],[Colonna5]]*$Q3</f>
        <v>0</v>
      </c>
      <c r="X15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Row],[Colonna6]]*$Q3</f>
        <v>0</v>
      </c>
      <c r="Y15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Row],[Colonna7]]*$Q3</f>
        <v>0</v>
      </c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Row],[Colonna1]]*$Q3</f>
        <v>0</v>
      </c>
      <c r="T16" s="14"/>
      <c r="U16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Row],[Colonna3]]*$Q3</f>
        <v>0</v>
      </c>
      <c r="V16" s="14"/>
      <c r="W16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Row],[Colonna5]]*$Q3</f>
        <v>0</v>
      </c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/>
      <c r="T22" s="14"/>
      <c r="U22" s="14"/>
      <c r="V22" s="14"/>
      <c r="W22" s="14"/>
      <c r="X2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Row],[Colonna6]]*$Q3</f>
        <v>0</v>
      </c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Row],[Colonna6]]*$Q3</f>
        <v>0</v>
      </c>
      <c r="Y26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Row],[Colonna7]]*$Q3</f>
        <v>0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Row],[Colonna6]]*$Q3</f>
        <v>0</v>
      </c>
      <c r="Y28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Row],[Colonna7]]*$Q3</f>
        <v>0</v>
      </c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Row],[Colonna1]]*$Q3</f>
        <v>0</v>
      </c>
      <c r="T29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Row],[Colonna2]]*$Q3</f>
        <v>0</v>
      </c>
      <c r="U29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Row],[Colonna3]]*$Q3</f>
        <v>0</v>
      </c>
      <c r="V29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Row],[Colonna4]]*$Q3</f>
        <v>0</v>
      </c>
      <c r="W29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Row],[Colonna5]]*$Q3</f>
        <v>0</v>
      </c>
      <c r="X29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Row],[Colonna6]]*$Q3</f>
        <v>0</v>
      </c>
      <c r="Y29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Row],[Colonna7]]*$Q3</f>
        <v>0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42"/>
      <c r="K42" s="13"/>
      <c r="L42" s="13"/>
      <c r="M42" s="13"/>
      <c r="P42" s="9" t="s">
        <v>49</v>
      </c>
      <c r="Q42" s="9"/>
      <c r="R42" s="9"/>
      <c r="S42" s="14"/>
      <c r="T4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Row],[Colonna2]]*$Q3</f>
        <v>0</v>
      </c>
      <c r="U4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Row],[Colonna3]]*$Q3</f>
        <v>0</v>
      </c>
      <c r="V4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Row],[Colonna4]]*$Q3</f>
        <v>0</v>
      </c>
      <c r="W4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Row],[Colonna5]]*$Q3</f>
        <v>0</v>
      </c>
      <c r="X4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Row],[Colonna6]]*$Q3</f>
        <v>0</v>
      </c>
      <c r="Y4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Row],[Colonna7]]*$Q3</f>
        <v>0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42"/>
      <c r="L44" s="13"/>
      <c r="M44" s="142"/>
      <c r="P44" s="12" t="s">
        <v>51</v>
      </c>
      <c r="Q44" s="12"/>
      <c r="R44" s="12"/>
      <c r="S44" s="14"/>
      <c r="T44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Row],[Colonna2]]*$Q3</f>
        <v>0</v>
      </c>
      <c r="U44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Row],[Colonna3]]*$Q3</f>
        <v>0</v>
      </c>
      <c r="V44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Row],[Colonna4]]*$Q3</f>
        <v>0</v>
      </c>
      <c r="W44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Row],[Colonna5]]*$Q3</f>
        <v>0</v>
      </c>
      <c r="X44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Row],[Colonna6]]*$Q3</f>
        <v>0</v>
      </c>
      <c r="Y44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Row],[Colonna7]]*$Q3</f>
        <v>0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/>
      <c r="I49" s="142"/>
      <c r="J49" s="142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Row],[Colonna1]]*$Q3</f>
        <v>0</v>
      </c>
      <c r="T5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Row],[Colonna2]]*$Q3</f>
        <v>0</v>
      </c>
      <c r="U5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Row],[Colonna3]]*$Q3</f>
        <v>0</v>
      </c>
      <c r="V5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Row],[Colonna4]]*$Q3</f>
        <v>0</v>
      </c>
      <c r="W5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Row],[Colonna5]]*$Q3</f>
        <v>0</v>
      </c>
      <c r="X5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Row],[Colonna6]]*$Q3</f>
        <v>0</v>
      </c>
      <c r="Y5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Row],[Colonna7]]*$Q3</f>
        <v>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55" t="n">
        <f aca="false">SUM(L6:L52)</f>
        <v>0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Row],[Colonna1]]*$Q3</f>
        <v>0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Row],[Colonna2]]*$Q3</f>
        <v>0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Row],[Colonna3]]*$Q3</f>
        <v>0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Row],[Colonna4]]*$Q3</f>
        <v>0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Row],[Colonna5]]*$Q3</f>
        <v>0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Row],[Colonna6]]*$Q3</f>
        <v>0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/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27" t="n">
        <f aca="false">M58*$Q3</f>
        <v>0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 t="n">
        <f aca="false">J62*$Q3</f>
        <v>0</v>
      </c>
      <c r="W62" s="57" t="n">
        <f aca="false">K62*$Q3</f>
        <v>0</v>
      </c>
      <c r="X62" s="57" t="n">
        <f aca="false">L62*$Q3</f>
        <v>0</v>
      </c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164"/>
      <c r="I63" s="13"/>
      <c r="J63" s="26"/>
      <c r="K63" s="26"/>
      <c r="L63" s="26"/>
      <c r="M63" s="26"/>
      <c r="P63" s="9" t="s">
        <v>67</v>
      </c>
      <c r="Q63" s="9"/>
      <c r="R63" s="9"/>
      <c r="S63" s="57" t="n">
        <f aca="false">G63*$Q3</f>
        <v>0</v>
      </c>
      <c r="T63" s="57" t="n">
        <f aca="false">H63*$Q3</f>
        <v>0</v>
      </c>
      <c r="U63" s="57" t="n">
        <f aca="false">I63*$Q3</f>
        <v>0</v>
      </c>
      <c r="V63" s="57" t="n">
        <f aca="false">J63*$Q3</f>
        <v>0</v>
      </c>
      <c r="W63" s="57" t="n">
        <f aca="false">K63*$Q3</f>
        <v>0</v>
      </c>
      <c r="X63" s="57" t="n">
        <f aca="false">L63*$Q3</f>
        <v>0</v>
      </c>
      <c r="Y63" s="57" t="n">
        <f aca="false">M63*$Q3</f>
        <v>0</v>
      </c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</v>
      </c>
      <c r="U64" s="57" t="n">
        <f aca="false">I64*$Q3</f>
        <v>0</v>
      </c>
      <c r="V64" s="57" t="n">
        <f aca="false">J64*$Q3</f>
        <v>0</v>
      </c>
      <c r="W64" s="57" t="n">
        <f aca="false">K64*$Q3</f>
        <v>0</v>
      </c>
      <c r="X64" s="57" t="n">
        <f aca="false">L64*$Q3</f>
        <v>0</v>
      </c>
      <c r="Y64" s="57" t="n">
        <f aca="false">M64*$Q3</f>
        <v>0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27"/>
      <c r="X65" s="2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 t="n">
        <f aca="false">G67*$Q3</f>
        <v>0</v>
      </c>
      <c r="T67" s="57" t="n">
        <f aca="false">H67*$Q3</f>
        <v>0</v>
      </c>
      <c r="U67" s="57" t="n">
        <f aca="false">I67*$Q3</f>
        <v>0</v>
      </c>
      <c r="V67" s="57" t="n">
        <f aca="false">J67*$Q3</f>
        <v>0</v>
      </c>
      <c r="W67" s="57" t="n">
        <f aca="false">K67*$Q3</f>
        <v>0</v>
      </c>
      <c r="X67" s="57" t="n">
        <f aca="false">L67*$Q3</f>
        <v>0</v>
      </c>
      <c r="Y67" s="57" t="n">
        <f aca="false">M67*$Q3</f>
        <v>0</v>
      </c>
    </row>
    <row r="68" customFormat="false" ht="15" hidden="false" customHeight="false" outlineLevel="0" collapsed="false">
      <c r="D68" s="9" t="s">
        <v>72</v>
      </c>
      <c r="E68" s="9"/>
      <c r="F68" s="9"/>
      <c r="G68" s="165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 t="n">
        <f aca="false">I68*$Q3</f>
        <v>0</v>
      </c>
      <c r="V68" s="57"/>
      <c r="W68" s="57" t="n">
        <f aca="false">K68*$Q3</f>
        <v>0</v>
      </c>
      <c r="X68" s="57" t="n">
        <f aca="false">L68*$Q3</f>
        <v>0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0</v>
      </c>
      <c r="U69" s="57" t="n">
        <f aca="false">I69*$Q3</f>
        <v>0</v>
      </c>
      <c r="V69" s="57" t="n">
        <f aca="false">J69*$Q3</f>
        <v>0</v>
      </c>
      <c r="W69" s="57" t="n">
        <f aca="false">K69*$Q3</f>
        <v>0</v>
      </c>
      <c r="X69" s="57" t="n">
        <f aca="false">L69*$Q3</f>
        <v>0</v>
      </c>
      <c r="Y69" s="57" t="n">
        <f aca="false">M69*$Q3</f>
        <v>0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32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I1" activeCellId="0" sqref="I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92</v>
      </c>
      <c r="I3" s="119" t="s">
        <v>2</v>
      </c>
      <c r="J3" s="4" t="n">
        <v>45544</v>
      </c>
      <c r="K3" s="5" t="n">
        <v>45550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92</v>
      </c>
      <c r="U3" s="119" t="s">
        <v>2</v>
      </c>
      <c r="V3" s="4" t="n">
        <v>45544</v>
      </c>
      <c r="W3" s="5" t="n">
        <v>45550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6</v>
      </c>
      <c r="H7" s="13" t="n">
        <v>2</v>
      </c>
      <c r="I7" s="13" t="n">
        <v>3</v>
      </c>
      <c r="J7" s="13" t="n">
        <v>1</v>
      </c>
      <c r="K7" s="13" t="n">
        <v>12</v>
      </c>
      <c r="L7" s="13" t="n">
        <v>3</v>
      </c>
      <c r="M7" s="13" t="n">
        <v>5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Row],[Colonna1]]*$Q3</f>
        <v>2.4</v>
      </c>
      <c r="T7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Row],[Colonna2]]*$Q3</f>
        <v>0.8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Row],[Colonna3]]*$Q3</f>
        <v>1.2</v>
      </c>
      <c r="V7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Row],[Colonna4]]*$Q3</f>
        <v>0.4</v>
      </c>
      <c r="W7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Row],[Colonna5]]*$Q3</f>
        <v>4.8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Row],[Colonna6]]*$Q3</f>
        <v>1.2</v>
      </c>
      <c r="Y7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Row],[Colonna7]]*$Q3</f>
        <v>2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 t="n">
        <v>2</v>
      </c>
      <c r="H11" s="13" t="n">
        <v>4</v>
      </c>
      <c r="I11" s="13" t="n">
        <v>3</v>
      </c>
      <c r="J11" s="13"/>
      <c r="K11" s="13" t="n">
        <v>3</v>
      </c>
      <c r="L11" s="13"/>
      <c r="M11" s="13" t="n">
        <v>6</v>
      </c>
      <c r="P11" s="9" t="s">
        <v>18</v>
      </c>
      <c r="Q11" s="9"/>
      <c r="R11" s="9"/>
      <c r="S11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Row],[Colonna1]]*$Q3</f>
        <v>0.8</v>
      </c>
      <c r="T11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Row],[Colonna2]]*$Q3</f>
        <v>1.6</v>
      </c>
      <c r="U11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Row],[Colonna3]]*$Q3</f>
        <v>1.2</v>
      </c>
      <c r="V11" s="14"/>
      <c r="W11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Row],[Colonna5]]*$Q3</f>
        <v>1.2</v>
      </c>
      <c r="X11" s="14"/>
      <c r="Y11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Row],[Colonna7]]*$Q3</f>
        <v>2.4</v>
      </c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15</v>
      </c>
      <c r="H12" s="13" t="n">
        <v>18</v>
      </c>
      <c r="I12" s="13" t="n">
        <v>44</v>
      </c>
      <c r="J12" s="13" t="n">
        <v>6</v>
      </c>
      <c r="K12" s="13" t="n">
        <v>6</v>
      </c>
      <c r="L12" s="13" t="n">
        <v>4</v>
      </c>
      <c r="M12" s="13" t="n">
        <v>21</v>
      </c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Row],[Colonna1]]*$Q3</f>
        <v>6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Row],[Colonna2]]*$Q3</f>
        <v>7.2</v>
      </c>
      <c r="U1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Row],[Colonna3]]*$Q3</f>
        <v>17.6</v>
      </c>
      <c r="V1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Row],[Colonna4]]*$Q3</f>
        <v>2.4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Row],[Colonna5]]*$Q3</f>
        <v>2.4</v>
      </c>
      <c r="X1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Row],[Colonna6]]*$Q3</f>
        <v>1.6</v>
      </c>
      <c r="Y1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Row],[Colonna7]]*$Q3</f>
        <v>8.4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2</v>
      </c>
      <c r="H15" s="13" t="n">
        <v>5</v>
      </c>
      <c r="I15" s="13" t="n">
        <v>5</v>
      </c>
      <c r="J15" s="13"/>
      <c r="K15" s="13" t="n">
        <v>6</v>
      </c>
      <c r="L15" s="13" t="n">
        <v>5</v>
      </c>
      <c r="M15" s="13" t="n">
        <v>6</v>
      </c>
      <c r="P15" s="12" t="s">
        <v>22</v>
      </c>
      <c r="Q15" s="12"/>
      <c r="R15" s="12"/>
      <c r="S15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Row],[Colonna1]]*$Q3</f>
        <v>0.8</v>
      </c>
      <c r="T15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Row],[Colonna2]]*$Q3</f>
        <v>2</v>
      </c>
      <c r="U15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Row],[Colonna3]]*$Q3</f>
        <v>2</v>
      </c>
      <c r="V15" s="14"/>
      <c r="W15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Row],[Colonna5]]*$Q3</f>
        <v>2.4</v>
      </c>
      <c r="X15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Row],[Colonna6]]*$Q3</f>
        <v>2</v>
      </c>
      <c r="Y15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Row],[Colonna7]]*$Q3</f>
        <v>2.4</v>
      </c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 t="n">
        <v>1</v>
      </c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Row],[Colonna6]]*$Q3</f>
        <v>0.4</v>
      </c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 t="n">
        <v>1</v>
      </c>
      <c r="I22" s="13"/>
      <c r="J22" s="13"/>
      <c r="K22" s="13"/>
      <c r="L22" s="13"/>
      <c r="M22" s="13"/>
      <c r="P22" s="12" t="s">
        <v>29</v>
      </c>
      <c r="Q22" s="12"/>
      <c r="R22" s="12"/>
      <c r="S22" s="14"/>
      <c r="T2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Row],[Colonna2]]*$Q3</f>
        <v>0.4</v>
      </c>
      <c r="U22" s="14"/>
      <c r="V22" s="14"/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 t="n">
        <v>1</v>
      </c>
      <c r="L23" s="13" t="n">
        <v>1</v>
      </c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 t="n">
        <v>1</v>
      </c>
      <c r="M26" s="13" t="n">
        <v>1</v>
      </c>
      <c r="P26" s="12" t="s">
        <v>33</v>
      </c>
      <c r="Q26" s="12"/>
      <c r="R26" s="12"/>
      <c r="S26" s="14"/>
      <c r="T26" s="14"/>
      <c r="U26" s="14"/>
      <c r="V26" s="14"/>
      <c r="W26" s="14"/>
      <c r="X26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Row],[Colonna6]]*$Q3</f>
        <v>0.4</v>
      </c>
      <c r="Y26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Row],[Colonna7]]*$Q3</f>
        <v>0.4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5</v>
      </c>
      <c r="H29" s="13" t="n">
        <v>6</v>
      </c>
      <c r="I29" s="13" t="n">
        <v>13</v>
      </c>
      <c r="J29" s="13" t="n">
        <v>3</v>
      </c>
      <c r="K29" s="13" t="n">
        <v>10</v>
      </c>
      <c r="L29" s="13" t="n">
        <v>3</v>
      </c>
      <c r="M29" s="13" t="n">
        <v>18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Row],[Colonna1]]*$Q3</f>
        <v>2</v>
      </c>
      <c r="T29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Row],[Colonna2]]*$Q3</f>
        <v>2.4</v>
      </c>
      <c r="U29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Row],[Colonna3]]*$Q3</f>
        <v>5.2</v>
      </c>
      <c r="V29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Row],[Colonna4]]*$Q3</f>
        <v>1.2</v>
      </c>
      <c r="W29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Row],[Colonna5]]*$Q3</f>
        <v>4</v>
      </c>
      <c r="X29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Row],[Colonna6]]*$Q3</f>
        <v>1.2</v>
      </c>
      <c r="Y29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Row],[Colonna7]]*$Q3</f>
        <v>7.2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 t="n">
        <v>1</v>
      </c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 t="n">
        <v>2</v>
      </c>
      <c r="J42" s="142"/>
      <c r="K42" s="13"/>
      <c r="L42" s="13" t="n">
        <v>1</v>
      </c>
      <c r="M42" s="13"/>
      <c r="P42" s="9" t="s">
        <v>49</v>
      </c>
      <c r="Q42" s="9"/>
      <c r="R42" s="9"/>
      <c r="S42" s="14"/>
      <c r="T42" s="14"/>
      <c r="U4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Row],[Colonna3]]*$Q3</f>
        <v>0.8</v>
      </c>
      <c r="V42" s="14"/>
      <c r="W42" s="14"/>
      <c r="X4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Row],[Colonna6]]*$Q3</f>
        <v>0.4</v>
      </c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 t="n">
        <v>3</v>
      </c>
      <c r="I44" s="13" t="n">
        <v>6</v>
      </c>
      <c r="J44" s="13" t="n">
        <v>2</v>
      </c>
      <c r="K44" s="142" t="n">
        <v>10</v>
      </c>
      <c r="L44" s="13"/>
      <c r="M44" s="142"/>
      <c r="P44" s="12" t="s">
        <v>51</v>
      </c>
      <c r="Q44" s="12"/>
      <c r="R44" s="12"/>
      <c r="S44" s="14"/>
      <c r="T44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Row],[Colonna2]]*$Q3</f>
        <v>1.2</v>
      </c>
      <c r="U44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Row],[Colonna3]]*$Q3</f>
        <v>2.4</v>
      </c>
      <c r="V44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Row],[Colonna4]]*$Q3</f>
        <v>0.8</v>
      </c>
      <c r="W44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Row],[Colonna5]]*$Q3</f>
        <v>4</v>
      </c>
      <c r="X44" s="14"/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/>
      <c r="I49" s="142" t="n">
        <v>2</v>
      </c>
      <c r="J49" s="142"/>
      <c r="K49" s="13"/>
      <c r="L49" s="13"/>
      <c r="M49" s="13"/>
      <c r="P49" s="18" t="s">
        <v>56</v>
      </c>
      <c r="Q49" s="18"/>
      <c r="R49" s="18"/>
      <c r="S49" s="14"/>
      <c r="T49" s="14"/>
      <c r="U49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Row],[Colonna3]]*$Q3</f>
        <v>0.8</v>
      </c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20</v>
      </c>
      <c r="H52" s="13" t="n">
        <v>64</v>
      </c>
      <c r="I52" s="13" t="n">
        <v>90</v>
      </c>
      <c r="J52" s="13" t="n">
        <v>3</v>
      </c>
      <c r="K52" s="13" t="n">
        <v>21</v>
      </c>
      <c r="L52" s="13" t="n">
        <v>18</v>
      </c>
      <c r="M52" s="13" t="n">
        <v>83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Row],[Colonna1]]*$Q3</f>
        <v>8</v>
      </c>
      <c r="T5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Row],[Colonna2]]*$Q3</f>
        <v>25.6</v>
      </c>
      <c r="U5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Row],[Colonna3]]*$Q3</f>
        <v>36</v>
      </c>
      <c r="V5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Row],[Colonna4]]*$Q3</f>
        <v>1.2</v>
      </c>
      <c r="W5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Row],[Colonna5]]*$Q3</f>
        <v>8.4</v>
      </c>
      <c r="X5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Row],[Colonna6]]*$Q3</f>
        <v>7.2</v>
      </c>
      <c r="Y5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Row],[Colonna7]]*$Q3</f>
        <v>33.2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50</v>
      </c>
      <c r="H53" s="55" t="n">
        <f aca="false">SUM(H6:H52)</f>
        <v>103</v>
      </c>
      <c r="I53" s="55" t="n">
        <f aca="false">SUM(I6:I52)</f>
        <v>168</v>
      </c>
      <c r="J53" s="55" t="n">
        <f aca="false">SUM(J6:J52)</f>
        <v>15</v>
      </c>
      <c r="K53" s="55" t="n">
        <f aca="false">SUM(K6:K52)</f>
        <v>70</v>
      </c>
      <c r="L53" s="55" t="n">
        <f aca="false">SUM(L6:L52)</f>
        <v>37</v>
      </c>
      <c r="M53" s="55" t="n">
        <f aca="false">SUM(M6:M52)</f>
        <v>140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Row],[Colonna1]]*$Q3</f>
        <v>20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Row],[Colonna2]]*$Q3</f>
        <v>41.2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Row],[Colonna3]]*$Q3</f>
        <v>67.2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Row],[Colonna4]]*$Q3</f>
        <v>6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Row],[Colonna5]]*$Q3</f>
        <v>28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Row],[Colonna6]]*$Q3</f>
        <v>14.8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Row],[Colonna7]]*$Q3</f>
        <v>56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270</v>
      </c>
      <c r="H58" s="26" t="n">
        <v>241</v>
      </c>
      <c r="I58" s="26" t="n">
        <v>440</v>
      </c>
      <c r="J58" s="26" t="n">
        <v>99</v>
      </c>
      <c r="K58" s="26" t="n">
        <v>114</v>
      </c>
      <c r="L58" s="26" t="n">
        <v>91</v>
      </c>
      <c r="M58" s="26" t="n">
        <v>110</v>
      </c>
      <c r="P58" s="23" t="s">
        <v>62</v>
      </c>
      <c r="Q58" s="23"/>
      <c r="R58" s="23"/>
      <c r="S58" s="57" t="n">
        <f aca="false">G58*$Q3</f>
        <v>108</v>
      </c>
      <c r="T58" s="57" t="n">
        <f aca="false">H58*$Q3</f>
        <v>96.4</v>
      </c>
      <c r="U58" s="57" t="n">
        <f aca="false">I58*$Q3</f>
        <v>176</v>
      </c>
      <c r="V58" s="57" t="n">
        <f aca="false">J58*$Q3</f>
        <v>39.6</v>
      </c>
      <c r="W58" s="57" t="n">
        <f aca="false">K58*$Q3</f>
        <v>45.6</v>
      </c>
      <c r="X58" s="57" t="n">
        <f aca="false">L58*$Q3</f>
        <v>36.4</v>
      </c>
      <c r="Y58" s="27" t="n">
        <f aca="false">M58*$Q3</f>
        <v>44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23</v>
      </c>
      <c r="H62" s="26" t="n">
        <v>38</v>
      </c>
      <c r="I62" s="26" t="n">
        <v>80</v>
      </c>
      <c r="J62" s="26" t="n">
        <v>28</v>
      </c>
      <c r="K62" s="26" t="n">
        <v>32</v>
      </c>
      <c r="L62" s="26" t="n">
        <v>10</v>
      </c>
      <c r="M62" s="26" t="n">
        <v>25</v>
      </c>
      <c r="P62" s="9" t="s">
        <v>66</v>
      </c>
      <c r="Q62" s="9"/>
      <c r="R62" s="9"/>
      <c r="S62" s="57" t="n">
        <f aca="false">G62*$Q3</f>
        <v>9.2</v>
      </c>
      <c r="T62" s="57" t="n">
        <f aca="false">H62*$Q3</f>
        <v>15.2</v>
      </c>
      <c r="U62" s="57" t="n">
        <f aca="false">I62*$Q3</f>
        <v>32</v>
      </c>
      <c r="V62" s="57" t="n">
        <f aca="false">J62*$Q3</f>
        <v>11.2</v>
      </c>
      <c r="W62" s="57" t="n">
        <f aca="false">K62*$Q3</f>
        <v>12.8</v>
      </c>
      <c r="X62" s="57" t="n">
        <f aca="false">L62*$Q3</f>
        <v>4</v>
      </c>
      <c r="Y62" s="57" t="n">
        <f aca="false">M62*$Q3</f>
        <v>10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3</v>
      </c>
      <c r="H63" s="164" t="n">
        <v>7</v>
      </c>
      <c r="I63" s="13" t="n">
        <v>20</v>
      </c>
      <c r="J63" s="26"/>
      <c r="K63" s="26" t="n">
        <v>1</v>
      </c>
      <c r="L63" s="26" t="n">
        <v>2</v>
      </c>
      <c r="M63" s="26" t="n">
        <v>8</v>
      </c>
      <c r="P63" s="9" t="s">
        <v>67</v>
      </c>
      <c r="Q63" s="9"/>
      <c r="R63" s="9"/>
      <c r="S63" s="57" t="n">
        <f aca="false">G63*$Q3</f>
        <v>1.2</v>
      </c>
      <c r="T63" s="57" t="n">
        <f aca="false">H63*$Q3</f>
        <v>2.8</v>
      </c>
      <c r="U63" s="57" t="n">
        <f aca="false">I63*$Q3</f>
        <v>8</v>
      </c>
      <c r="V63" s="57" t="n">
        <f aca="false">J63*$Q3</f>
        <v>0</v>
      </c>
      <c r="W63" s="57" t="n">
        <f aca="false">K63*$Q3</f>
        <v>0.4</v>
      </c>
      <c r="X63" s="57" t="n">
        <f aca="false">L63*$Q3</f>
        <v>0.8</v>
      </c>
      <c r="Y63" s="57" t="n">
        <f aca="false">M63*$Q3</f>
        <v>3.2</v>
      </c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12</v>
      </c>
      <c r="H64" s="26" t="n">
        <v>35</v>
      </c>
      <c r="I64" s="26" t="n">
        <v>41</v>
      </c>
      <c r="J64" s="26" t="n">
        <v>22</v>
      </c>
      <c r="K64" s="26" t="n">
        <v>11</v>
      </c>
      <c r="L64" s="26" t="n">
        <v>10</v>
      </c>
      <c r="M64" s="26" t="n">
        <v>15</v>
      </c>
      <c r="P64" s="9" t="s">
        <v>68</v>
      </c>
      <c r="Q64" s="9"/>
      <c r="R64" s="9"/>
      <c r="S64" s="57" t="n">
        <f aca="false">G64*$Q3</f>
        <v>4.8</v>
      </c>
      <c r="T64" s="57" t="n">
        <f aca="false">H64*$Q3</f>
        <v>14</v>
      </c>
      <c r="U64" s="57" t="n">
        <f aca="false">I64*$Q3</f>
        <v>16.4</v>
      </c>
      <c r="V64" s="57" t="n">
        <f aca="false">J64*$Q3</f>
        <v>8.8</v>
      </c>
      <c r="W64" s="57" t="n">
        <f aca="false">K64*$Q3</f>
        <v>4.4</v>
      </c>
      <c r="X64" s="57" t="n">
        <f aca="false">L64*$Q3</f>
        <v>4</v>
      </c>
      <c r="Y64" s="57" t="n">
        <f aca="false">M64*$Q3</f>
        <v>6</v>
      </c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2</v>
      </c>
      <c r="H65" s="30"/>
      <c r="I65" s="30"/>
      <c r="J65" s="26" t="n">
        <v>14</v>
      </c>
      <c r="K65" s="26"/>
      <c r="L65" s="26"/>
      <c r="M65" s="26"/>
      <c r="P65" s="9" t="s">
        <v>69</v>
      </c>
      <c r="Q65" s="9"/>
      <c r="R65" s="9"/>
      <c r="S65" s="57" t="n">
        <f aca="false">G65*$Q3</f>
        <v>0.8</v>
      </c>
      <c r="T65" s="57"/>
      <c r="U65" s="57"/>
      <c r="V65" s="57" t="n">
        <f aca="false">J65*$Q3</f>
        <v>5.6</v>
      </c>
      <c r="W65" s="27"/>
      <c r="X65" s="2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17</v>
      </c>
      <c r="H67" s="139" t="n">
        <v>3</v>
      </c>
      <c r="I67" s="139" t="n">
        <v>9</v>
      </c>
      <c r="J67" s="26" t="n">
        <v>3</v>
      </c>
      <c r="K67" s="26" t="n">
        <v>5</v>
      </c>
      <c r="L67" s="26" t="n">
        <v>2</v>
      </c>
      <c r="M67" s="26" t="n">
        <v>1</v>
      </c>
      <c r="P67" s="9" t="s">
        <v>71</v>
      </c>
      <c r="Q67" s="9"/>
      <c r="R67" s="9"/>
      <c r="S67" s="57" t="n">
        <f aca="false">G67*$Q3</f>
        <v>6.8</v>
      </c>
      <c r="T67" s="57" t="n">
        <f aca="false">H67*$Q3</f>
        <v>1.2</v>
      </c>
      <c r="U67" s="57" t="n">
        <f aca="false">I67*$Q3</f>
        <v>3.6</v>
      </c>
      <c r="V67" s="57" t="n">
        <f aca="false">J67*$Q3</f>
        <v>1.2</v>
      </c>
      <c r="W67" s="57" t="n">
        <f aca="false">K67*$Q3</f>
        <v>2</v>
      </c>
      <c r="X67" s="57" t="n">
        <f aca="false">L67*$Q3</f>
        <v>0.8</v>
      </c>
      <c r="Y67" s="57" t="n">
        <f aca="false">M67*$Q3</f>
        <v>0.4</v>
      </c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6</v>
      </c>
      <c r="H68" s="30"/>
      <c r="I68" s="30" t="n">
        <v>1</v>
      </c>
      <c r="J68" s="30" t="n">
        <v>1</v>
      </c>
      <c r="K68" s="30" t="n">
        <v>3</v>
      </c>
      <c r="L68" s="30" t="n">
        <v>2</v>
      </c>
      <c r="M68" s="30" t="n">
        <v>3</v>
      </c>
      <c r="P68" s="9" t="s">
        <v>72</v>
      </c>
      <c r="Q68" s="9"/>
      <c r="R68" s="9"/>
      <c r="S68" s="57" t="n">
        <f aca="false">G68*$Q3</f>
        <v>2.4</v>
      </c>
      <c r="T68" s="57"/>
      <c r="U68" s="57" t="n">
        <f aca="false">I68*$Q3</f>
        <v>0.4</v>
      </c>
      <c r="V68" s="57" t="n">
        <f aca="false">J68*$Q3</f>
        <v>0.4</v>
      </c>
      <c r="W68" s="57" t="n">
        <f aca="false">K68*$Q3</f>
        <v>1.2</v>
      </c>
      <c r="X68" s="57" t="n">
        <f aca="false">L68*$Q3</f>
        <v>0.8</v>
      </c>
      <c r="Y68" s="57" t="n">
        <f aca="false">M68*$Q3</f>
        <v>1.2</v>
      </c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 t="n">
        <v>5</v>
      </c>
      <c r="I69" s="30" t="n">
        <v>25</v>
      </c>
      <c r="J69" s="30" t="n">
        <v>13</v>
      </c>
      <c r="K69" s="30" t="n">
        <v>1</v>
      </c>
      <c r="L69" s="30" t="n">
        <v>17</v>
      </c>
      <c r="M69" s="30" t="n">
        <v>20</v>
      </c>
      <c r="P69" s="9" t="s">
        <v>73</v>
      </c>
      <c r="Q69" s="9"/>
      <c r="R69" s="9"/>
      <c r="S69" s="57"/>
      <c r="T69" s="57" t="n">
        <f aca="false">H69*$Q3</f>
        <v>2</v>
      </c>
      <c r="U69" s="57" t="n">
        <f aca="false">I69*$Q3</f>
        <v>10</v>
      </c>
      <c r="V69" s="57" t="n">
        <f aca="false">J69*$Q3</f>
        <v>5.2</v>
      </c>
      <c r="W69" s="57" t="n">
        <f aca="false">K69*$Q3</f>
        <v>0.4</v>
      </c>
      <c r="X69" s="57" t="n">
        <f aca="false">L69*$Q3</f>
        <v>6.8</v>
      </c>
      <c r="Y69" s="57" t="n">
        <f aca="false">M69*$Q3</f>
        <v>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333</v>
      </c>
      <c r="H70" s="60" t="n">
        <f aca="false">SUM(H58:H69)</f>
        <v>329</v>
      </c>
      <c r="I70" s="60" t="n">
        <f aca="false">SUM(I58:I69)</f>
        <v>616</v>
      </c>
      <c r="J70" s="60" t="n">
        <f aca="false">SUM(J58:J69)</f>
        <v>180</v>
      </c>
      <c r="K70" s="60" t="n">
        <f aca="false">SUM(K58:K69)</f>
        <v>167</v>
      </c>
      <c r="L70" s="60" t="n">
        <f aca="false">SUM(L58:L69)</f>
        <v>134</v>
      </c>
      <c r="M70" s="60" t="n">
        <f aca="false">SUM(M58:M69)</f>
        <v>182</v>
      </c>
      <c r="P70" s="9" t="s">
        <v>60</v>
      </c>
      <c r="Q70" s="9"/>
      <c r="R70" s="9"/>
      <c r="S70" s="61" t="n">
        <f aca="false">G70*$Q3</f>
        <v>133.2</v>
      </c>
      <c r="T70" s="61" t="n">
        <f aca="false">H70*$Q3</f>
        <v>131.6</v>
      </c>
      <c r="U70" s="61" t="n">
        <f aca="false">I70*$Q3</f>
        <v>246.4</v>
      </c>
      <c r="V70" s="61" t="n">
        <f aca="false">J70*$Q3</f>
        <v>72</v>
      </c>
      <c r="W70" s="61" t="n">
        <f aca="false">K70*$Q3</f>
        <v>66.8</v>
      </c>
      <c r="X70" s="61" t="n">
        <f aca="false">L70*$Q3</f>
        <v>53.6</v>
      </c>
      <c r="Y70" s="32" t="n">
        <f aca="false">M70*$Q3</f>
        <v>72.8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92</v>
      </c>
      <c r="I3" s="119" t="s">
        <v>2</v>
      </c>
      <c r="J3" s="4" t="n">
        <v>45551</v>
      </c>
      <c r="K3" s="5" t="n">
        <v>45557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92</v>
      </c>
      <c r="U3" s="119" t="s">
        <v>2</v>
      </c>
      <c r="V3" s="4" t="n">
        <v>45551</v>
      </c>
      <c r="W3" s="5" t="n">
        <v>45557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12</v>
      </c>
      <c r="H7" s="13" t="n">
        <v>2</v>
      </c>
      <c r="I7" s="13" t="n">
        <v>1</v>
      </c>
      <c r="J7" s="13"/>
      <c r="K7" s="13" t="n">
        <v>8</v>
      </c>
      <c r="L7" s="13" t="n">
        <v>2</v>
      </c>
      <c r="M7" s="13" t="n">
        <v>1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Row],[Colonna1]]*$Q3</f>
        <v>4.8</v>
      </c>
      <c r="T7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Row],[Colonna2]]*$Q3</f>
        <v>0.8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Row],[Colonna3]]*$Q3</f>
        <v>0.4</v>
      </c>
      <c r="V7" s="14"/>
      <c r="W7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Row],[Colonna5]]*$Q3</f>
        <v>3.2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Row],[Colonna6]]*$Q3</f>
        <v>0.8</v>
      </c>
      <c r="Y7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Row],[Colonna7]]*$Q3</f>
        <v>0.4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 t="n">
        <v>1</v>
      </c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Row],[Colonna2]]*$Q3</f>
        <v>0.4</v>
      </c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 t="n">
        <v>2</v>
      </c>
      <c r="H11" s="13" t="n">
        <v>1</v>
      </c>
      <c r="I11" s="13"/>
      <c r="J11" s="13"/>
      <c r="K11" s="13"/>
      <c r="L11" s="13"/>
      <c r="M11" s="13"/>
      <c r="P11" s="9" t="s">
        <v>18</v>
      </c>
      <c r="Q11" s="9"/>
      <c r="R11" s="9"/>
      <c r="S11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Row],[Colonna1]]*$Q3</f>
        <v>0.8</v>
      </c>
      <c r="T11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Row],[Colonna2]]*$Q3</f>
        <v>0.4</v>
      </c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15</v>
      </c>
      <c r="H12" s="13" t="n">
        <v>12</v>
      </c>
      <c r="I12" s="13"/>
      <c r="J12" s="13" t="n">
        <v>3</v>
      </c>
      <c r="K12" s="13" t="n">
        <v>10</v>
      </c>
      <c r="L12" s="13" t="n">
        <v>5</v>
      </c>
      <c r="M12" s="13" t="n">
        <v>11</v>
      </c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Row],[Colonna1]]*$Q3</f>
        <v>6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Row],[Colonna2]]*$Q3</f>
        <v>4.8</v>
      </c>
      <c r="U12" s="14"/>
      <c r="V1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Row],[Colonna4]]*$Q3</f>
        <v>1.2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Row],[Colonna5]]*$Q3</f>
        <v>4</v>
      </c>
      <c r="X1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Row],[Colonna6]]*$Q3</f>
        <v>2</v>
      </c>
      <c r="Y1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Row],[Colonna7]]*$Q3</f>
        <v>4.4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2</v>
      </c>
      <c r="H15" s="13" t="n">
        <v>3</v>
      </c>
      <c r="I15" s="13"/>
      <c r="J15" s="13" t="n">
        <v>1</v>
      </c>
      <c r="K15" s="13" t="n">
        <v>1</v>
      </c>
      <c r="L15" s="13" t="n">
        <v>1</v>
      </c>
      <c r="M15" s="13" t="n">
        <v>1</v>
      </c>
      <c r="P15" s="12" t="s">
        <v>22</v>
      </c>
      <c r="Q15" s="12"/>
      <c r="R15" s="12"/>
      <c r="S15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Row],[Colonna1]]*$Q3</f>
        <v>0.8</v>
      </c>
      <c r="T15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Row],[Colonna2]]*$Q3</f>
        <v>1.2</v>
      </c>
      <c r="U15" s="14"/>
      <c r="V15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Row],[Colonna4]]*$Q3</f>
        <v>0.4</v>
      </c>
      <c r="W15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Row],[Colonna5]]*$Q3</f>
        <v>0.4</v>
      </c>
      <c r="X15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Row],[Colonna6]]*$Q3</f>
        <v>0.4</v>
      </c>
      <c r="Y15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Row],[Colonna7]]*$Q3</f>
        <v>0.4</v>
      </c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 t="n">
        <v>3</v>
      </c>
      <c r="K16" s="13" t="n">
        <v>5</v>
      </c>
      <c r="L16" s="13" t="n">
        <v>1</v>
      </c>
      <c r="M16" s="13" t="n">
        <v>1</v>
      </c>
      <c r="P16" s="12" t="s">
        <v>23</v>
      </c>
      <c r="Q16" s="12"/>
      <c r="R16" s="12"/>
      <c r="S16" s="14"/>
      <c r="T16" s="14"/>
      <c r="U16" s="14"/>
      <c r="V16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Row],[Colonna4]]*$Q3</f>
        <v>1.2</v>
      </c>
      <c r="W16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Row],[Colonna5]]*$Q3</f>
        <v>2</v>
      </c>
      <c r="X16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Row],[Colonna6]]*$Q3</f>
        <v>0.4</v>
      </c>
      <c r="Y16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Row],[Colonna7]]*$Q3</f>
        <v>0.4</v>
      </c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</v>
      </c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Row],[Colonna1]]*$Q3</f>
        <v>0.4</v>
      </c>
      <c r="T22" s="14"/>
      <c r="U22" s="14"/>
      <c r="V22" s="14"/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4</v>
      </c>
      <c r="H29" s="13" t="n">
        <v>7</v>
      </c>
      <c r="I29" s="13" t="n">
        <v>1</v>
      </c>
      <c r="J29" s="13" t="n">
        <v>1</v>
      </c>
      <c r="K29" s="13" t="n">
        <v>6</v>
      </c>
      <c r="L29" s="13" t="n">
        <v>5</v>
      </c>
      <c r="M29" s="13" t="n">
        <v>14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Row],[Colonna1]]*$Q3</f>
        <v>1.6</v>
      </c>
      <c r="T29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Row],[Colonna2]]*$Q3</f>
        <v>2.8</v>
      </c>
      <c r="U29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Row],[Colonna3]]*$Q3</f>
        <v>0.4</v>
      </c>
      <c r="V29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Row],[Colonna4]]*$Q3</f>
        <v>0.4</v>
      </c>
      <c r="W29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Row],[Colonna5]]*$Q3</f>
        <v>2.4</v>
      </c>
      <c r="X29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Row],[Colonna6]]*$Q3</f>
        <v>2</v>
      </c>
      <c r="Y29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Row],[Colonna7]]*$Q3</f>
        <v>5.6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 t="n">
        <v>2</v>
      </c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Row],[Colonna2]]*$Q3</f>
        <v>0.8</v>
      </c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 t="n">
        <v>1</v>
      </c>
      <c r="I42" s="13"/>
      <c r="J42" s="142"/>
      <c r="K42" s="13" t="n">
        <v>1</v>
      </c>
      <c r="L42" s="13"/>
      <c r="M42" s="13"/>
      <c r="P42" s="9" t="s">
        <v>49</v>
      </c>
      <c r="Q42" s="9"/>
      <c r="R42" s="9"/>
      <c r="S42" s="14"/>
      <c r="T4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Row],[Colonna2]]*$Q3</f>
        <v>0.4</v>
      </c>
      <c r="U42" s="14"/>
      <c r="V42" s="14"/>
      <c r="W4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Row],[Colonna5]]*$Q3</f>
        <v>0.4</v>
      </c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 t="n">
        <v>1</v>
      </c>
      <c r="K44" s="142" t="n">
        <v>1</v>
      </c>
      <c r="L44" s="13" t="n">
        <v>1</v>
      </c>
      <c r="M44" s="142"/>
      <c r="P44" s="12" t="s">
        <v>51</v>
      </c>
      <c r="Q44" s="12"/>
      <c r="R44" s="12"/>
      <c r="S44" s="14"/>
      <c r="T44" s="14"/>
      <c r="U44" s="14"/>
      <c r="V44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Row],[Colonna4]]*$Q3</f>
        <v>0.4</v>
      </c>
      <c r="W44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Row],[Colonna5]]*$Q3</f>
        <v>0.4</v>
      </c>
      <c r="X44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Row],[Colonna6]]*$Q3</f>
        <v>0.4</v>
      </c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1</v>
      </c>
      <c r="H49" s="142"/>
      <c r="I49" s="142"/>
      <c r="J49" s="142"/>
      <c r="K49" s="13"/>
      <c r="L49" s="13"/>
      <c r="M49" s="13"/>
      <c r="P49" s="18" t="s">
        <v>56</v>
      </c>
      <c r="Q49" s="18"/>
      <c r="R49" s="18"/>
      <c r="S49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Row],[Colonna1]]*$Q3</f>
        <v>0.4</v>
      </c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56</v>
      </c>
      <c r="H52" s="13" t="n">
        <v>20</v>
      </c>
      <c r="I52" s="13" t="n">
        <v>2</v>
      </c>
      <c r="J52" s="13" t="n">
        <v>30</v>
      </c>
      <c r="K52" s="13" t="n">
        <v>35</v>
      </c>
      <c r="L52" s="13" t="n">
        <v>30</v>
      </c>
      <c r="M52" s="13" t="n">
        <v>50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Row],[Colonna1]]*$Q3</f>
        <v>22.4</v>
      </c>
      <c r="T5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Row],[Colonna2]]*$Q3</f>
        <v>8</v>
      </c>
      <c r="U5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Row],[Colonna3]]*$Q3</f>
        <v>0.8</v>
      </c>
      <c r="V5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Row],[Colonna4]]*$Q3</f>
        <v>12</v>
      </c>
      <c r="W5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Row],[Colonna5]]*$Q3</f>
        <v>14</v>
      </c>
      <c r="X5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Row],[Colonna6]]*$Q3</f>
        <v>12</v>
      </c>
      <c r="Y5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Row],[Colonna7]]*$Q3</f>
        <v>20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93</v>
      </c>
      <c r="H53" s="55" t="n">
        <f aca="false">SUM(H6:H52)</f>
        <v>49</v>
      </c>
      <c r="I53" s="55" t="n">
        <f aca="false">SUM(I6:I52)</f>
        <v>4</v>
      </c>
      <c r="J53" s="55" t="n">
        <f aca="false">SUM(J6:J52)</f>
        <v>39</v>
      </c>
      <c r="K53" s="55" t="n">
        <f aca="false">SUM(K6:K52)</f>
        <v>67</v>
      </c>
      <c r="L53" s="55" t="n">
        <f aca="false">SUM(L6:L52)</f>
        <v>45</v>
      </c>
      <c r="M53" s="55" t="n">
        <f aca="false">SUM(M6:M52)</f>
        <v>78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Row],[Colonna1]]*$Q3</f>
        <v>37.2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Row],[Colonna2]]*$Q3</f>
        <v>19.6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Row],[Colonna3]]*$Q3</f>
        <v>1.6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Row],[Colonna4]]*$Q3</f>
        <v>15.6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Row],[Colonna5]]*$Q3</f>
        <v>26.8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Row],[Colonna6]]*$Q3</f>
        <v>18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Row],[Colonna7]]*$Q3</f>
        <v>31.2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161</v>
      </c>
      <c r="H58" s="26" t="n">
        <v>140</v>
      </c>
      <c r="I58" s="26" t="n">
        <v>30</v>
      </c>
      <c r="J58" s="26" t="n">
        <v>63</v>
      </c>
      <c r="K58" s="26" t="n">
        <v>181</v>
      </c>
      <c r="L58" s="26" t="n">
        <v>164</v>
      </c>
      <c r="M58" s="26" t="n">
        <v>313</v>
      </c>
      <c r="P58" s="23" t="s">
        <v>62</v>
      </c>
      <c r="Q58" s="23"/>
      <c r="R58" s="23"/>
      <c r="S58" s="57" t="n">
        <f aca="false">G58*$Q3</f>
        <v>64.4</v>
      </c>
      <c r="T58" s="57" t="n">
        <f aca="false">H58*$Q3</f>
        <v>56</v>
      </c>
      <c r="U58" s="57" t="n">
        <f aca="false">I58*$Q3</f>
        <v>12</v>
      </c>
      <c r="V58" s="57" t="n">
        <f aca="false">J58*$Q3</f>
        <v>25.2</v>
      </c>
      <c r="W58" s="57" t="n">
        <f aca="false">K58*$Q3</f>
        <v>72.4</v>
      </c>
      <c r="X58" s="57" t="n">
        <f aca="false">L58*$Q3</f>
        <v>65.6</v>
      </c>
      <c r="Y58" s="27" t="n">
        <f aca="false">M58*$Q3</f>
        <v>125.2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32</v>
      </c>
      <c r="H62" s="26" t="n">
        <v>30</v>
      </c>
      <c r="I62" s="26" t="n">
        <v>10</v>
      </c>
      <c r="J62" s="26" t="n">
        <v>10</v>
      </c>
      <c r="K62" s="26" t="n">
        <v>21</v>
      </c>
      <c r="L62" s="26" t="n">
        <v>20</v>
      </c>
      <c r="M62" s="26" t="n">
        <v>23</v>
      </c>
      <c r="P62" s="9" t="s">
        <v>66</v>
      </c>
      <c r="Q62" s="9"/>
      <c r="R62" s="9"/>
      <c r="S62" s="57" t="n">
        <f aca="false">G62*$Q3</f>
        <v>12.8</v>
      </c>
      <c r="T62" s="57" t="n">
        <f aca="false">H62*$Q3</f>
        <v>12</v>
      </c>
      <c r="U62" s="57" t="n">
        <f aca="false">I62*$Q3</f>
        <v>4</v>
      </c>
      <c r="V62" s="57" t="n">
        <f aca="false">J62*$Q3</f>
        <v>4</v>
      </c>
      <c r="W62" s="57" t="n">
        <f aca="false">K62*$Q3</f>
        <v>8.4</v>
      </c>
      <c r="X62" s="57" t="n">
        <f aca="false">L62*$Q3</f>
        <v>8</v>
      </c>
      <c r="Y62" s="57" t="n">
        <f aca="false">M62*$Q3</f>
        <v>9.2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2</v>
      </c>
      <c r="H63" s="164" t="n">
        <v>2</v>
      </c>
      <c r="I63" s="13" t="n">
        <v>1</v>
      </c>
      <c r="J63" s="26"/>
      <c r="K63" s="26"/>
      <c r="L63" s="26" t="n">
        <v>1</v>
      </c>
      <c r="M63" s="26" t="n">
        <v>8</v>
      </c>
      <c r="P63" s="9" t="s">
        <v>67</v>
      </c>
      <c r="Q63" s="9"/>
      <c r="R63" s="9"/>
      <c r="S63" s="57" t="n">
        <f aca="false">G63*$Q3</f>
        <v>0.8</v>
      </c>
      <c r="T63" s="57" t="n">
        <f aca="false">H63*$Q3</f>
        <v>0.8</v>
      </c>
      <c r="U63" s="57" t="n">
        <f aca="false">I63*$Q3</f>
        <v>0.4</v>
      </c>
      <c r="V63" s="57"/>
      <c r="W63" s="57"/>
      <c r="X63" s="57" t="n">
        <f aca="false">L63*$Q3</f>
        <v>0.4</v>
      </c>
      <c r="Y63" s="57" t="n">
        <f aca="false">M63*$Q3</f>
        <v>3.2</v>
      </c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16</v>
      </c>
      <c r="H64" s="26" t="n">
        <v>15</v>
      </c>
      <c r="I64" s="26" t="n">
        <v>5</v>
      </c>
      <c r="J64" s="26"/>
      <c r="K64" s="26" t="n">
        <v>2</v>
      </c>
      <c r="L64" s="26" t="n">
        <v>4</v>
      </c>
      <c r="M64" s="26" t="n">
        <v>6</v>
      </c>
      <c r="P64" s="9" t="s">
        <v>68</v>
      </c>
      <c r="Q64" s="9"/>
      <c r="R64" s="9"/>
      <c r="S64" s="57" t="n">
        <f aca="false">G64*$Q3</f>
        <v>6.4</v>
      </c>
      <c r="T64" s="57" t="n">
        <f aca="false">H64*$Q3</f>
        <v>6</v>
      </c>
      <c r="U64" s="57" t="n">
        <f aca="false">I64*$Q3</f>
        <v>2</v>
      </c>
      <c r="V64" s="57"/>
      <c r="W64" s="57" t="n">
        <f aca="false">K64*$Q3</f>
        <v>0.8</v>
      </c>
      <c r="X64" s="57" t="n">
        <f aca="false">L64*$Q3</f>
        <v>1.6</v>
      </c>
      <c r="Y64" s="57" t="n">
        <f aca="false">M64*$Q3</f>
        <v>2.4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 t="n">
        <v>2</v>
      </c>
      <c r="J65" s="26" t="n">
        <v>1</v>
      </c>
      <c r="K65" s="26" t="n">
        <v>8</v>
      </c>
      <c r="L65" s="26"/>
      <c r="M65" s="26"/>
      <c r="P65" s="9" t="s">
        <v>69</v>
      </c>
      <c r="Q65" s="9"/>
      <c r="R65" s="9"/>
      <c r="S65" s="57"/>
      <c r="T65" s="57"/>
      <c r="U65" s="57" t="n">
        <f aca="false">I65*$Q3</f>
        <v>0.8</v>
      </c>
      <c r="V65" s="57" t="n">
        <f aca="false">J65*$Q3</f>
        <v>0.4</v>
      </c>
      <c r="W65" s="57" t="n">
        <f aca="false">K65*$Q3</f>
        <v>3.2</v>
      </c>
      <c r="X65" s="2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2</v>
      </c>
      <c r="H67" s="139" t="n">
        <v>6</v>
      </c>
      <c r="I67" s="139"/>
      <c r="J67" s="26" t="n">
        <v>2</v>
      </c>
      <c r="K67" s="26"/>
      <c r="L67" s="26" t="n">
        <v>3</v>
      </c>
      <c r="M67" s="26" t="n">
        <v>5</v>
      </c>
      <c r="P67" s="9" t="s">
        <v>71</v>
      </c>
      <c r="Q67" s="9"/>
      <c r="R67" s="9"/>
      <c r="S67" s="57" t="n">
        <f aca="false">G67*$Q3</f>
        <v>0.8</v>
      </c>
      <c r="T67" s="57" t="n">
        <f aca="false">H67*$Q3</f>
        <v>2.4</v>
      </c>
      <c r="U67" s="57"/>
      <c r="V67" s="57" t="n">
        <f aca="false">J67*$Q3</f>
        <v>0.8</v>
      </c>
      <c r="W67" s="57"/>
      <c r="X67" s="57" t="n">
        <f aca="false">L67*$Q3</f>
        <v>1.2</v>
      </c>
      <c r="Y67" s="57" t="n">
        <f aca="false">M67*$Q3</f>
        <v>2</v>
      </c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3</v>
      </c>
      <c r="H68" s="30" t="n">
        <v>6</v>
      </c>
      <c r="I68" s="30"/>
      <c r="J68" s="30" t="n">
        <v>2</v>
      </c>
      <c r="K68" s="30"/>
      <c r="L68" s="30"/>
      <c r="M68" s="30"/>
      <c r="P68" s="9" t="s">
        <v>72</v>
      </c>
      <c r="Q68" s="9"/>
      <c r="R68" s="9"/>
      <c r="S68" s="57" t="n">
        <f aca="false">G68*$Q3</f>
        <v>1.2</v>
      </c>
      <c r="T68" s="57" t="n">
        <f aca="false">H68*$Q3</f>
        <v>2.4</v>
      </c>
      <c r="U68" s="57"/>
      <c r="V68" s="57" t="n">
        <f aca="false">J68*$Q3</f>
        <v>0.8</v>
      </c>
      <c r="W68" s="57"/>
      <c r="X68" s="57"/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23</v>
      </c>
      <c r="H69" s="30" t="n">
        <v>24</v>
      </c>
      <c r="I69" s="30" t="n">
        <v>1</v>
      </c>
      <c r="J69" s="30"/>
      <c r="K69" s="30" t="n">
        <v>6</v>
      </c>
      <c r="L69" s="30" t="n">
        <v>3</v>
      </c>
      <c r="M69" s="30"/>
      <c r="P69" s="9" t="s">
        <v>73</v>
      </c>
      <c r="Q69" s="9"/>
      <c r="R69" s="9"/>
      <c r="S69" s="57" t="n">
        <f aca="false">G69*$Q3</f>
        <v>9.2</v>
      </c>
      <c r="T69" s="57" t="n">
        <f aca="false">H69*$Q3</f>
        <v>9.6</v>
      </c>
      <c r="U69" s="57" t="n">
        <f aca="false">I69*$Q3</f>
        <v>0.4</v>
      </c>
      <c r="V69" s="57"/>
      <c r="W69" s="57" t="n">
        <f aca="false">K69*$Q3</f>
        <v>2.4</v>
      </c>
      <c r="X69" s="57" t="n">
        <f aca="false">L69*$Q3</f>
        <v>1.2</v>
      </c>
      <c r="Y69" s="5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239</v>
      </c>
      <c r="H70" s="60" t="n">
        <f aca="false">SUM(H58:H69)</f>
        <v>223</v>
      </c>
      <c r="I70" s="60" t="n">
        <f aca="false">SUM(I58:I69)</f>
        <v>49</v>
      </c>
      <c r="J70" s="60" t="n">
        <f aca="false">SUM(J58:J69)</f>
        <v>78</v>
      </c>
      <c r="K70" s="60" t="n">
        <f aca="false">SUM(K58:K69)</f>
        <v>218</v>
      </c>
      <c r="L70" s="60" t="n">
        <f aca="false">SUM(L58:L69)</f>
        <v>195</v>
      </c>
      <c r="M70" s="60" t="n">
        <f aca="false">SUM(M58:M69)</f>
        <v>355</v>
      </c>
      <c r="P70" s="9" t="s">
        <v>60</v>
      </c>
      <c r="Q70" s="9"/>
      <c r="R70" s="9"/>
      <c r="S70" s="61" t="n">
        <f aca="false">G70*$Q3</f>
        <v>95.6</v>
      </c>
      <c r="T70" s="61" t="n">
        <f aca="false">H70*$Q3</f>
        <v>89.2</v>
      </c>
      <c r="U70" s="61" t="n">
        <f aca="false">I70*$Q3</f>
        <v>19.6</v>
      </c>
      <c r="V70" s="61" t="n">
        <f aca="false">J70*$Q3</f>
        <v>31.2</v>
      </c>
      <c r="W70" s="61" t="n">
        <f aca="false">K70*$Q3</f>
        <v>87.2</v>
      </c>
      <c r="X70" s="61" t="n">
        <f aca="false">L70*$Q3</f>
        <v>78</v>
      </c>
      <c r="Y70" s="32" t="n">
        <f aca="false">M70*$Q3</f>
        <v>142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9" activeCellId="0" sqref="A49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92</v>
      </c>
      <c r="I3" s="119" t="s">
        <v>2</v>
      </c>
      <c r="J3" s="4" t="n">
        <v>45551</v>
      </c>
      <c r="K3" s="5" t="n">
        <v>45557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92</v>
      </c>
      <c r="U3" s="119" t="s">
        <v>2</v>
      </c>
      <c r="V3" s="4" t="n">
        <v>45551</v>
      </c>
      <c r="W3" s="5" t="n">
        <v>45557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</v>
      </c>
      <c r="H7" s="13"/>
      <c r="I7" s="13"/>
      <c r="J7" s="13"/>
      <c r="K7" s="13" t="n">
        <v>1</v>
      </c>
      <c r="L7" s="13"/>
      <c r="M7" s="13" t="n">
        <v>4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Row],[Colonna1]]*$Q3</f>
        <v>0.4</v>
      </c>
      <c r="T7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Row],[Colonna2]]*$Q3</f>
        <v>0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Row],[Colonna3]]*$Q3</f>
        <v>0</v>
      </c>
      <c r="V7" s="14"/>
      <c r="W7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Row],[Colonna5]]*$Q3</f>
        <v>0.4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Row],[Colonna6]]*$Q3</f>
        <v>0</v>
      </c>
      <c r="Y7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Row],[Colonna7]]*$Q3</f>
        <v>1.6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Row],[Colonna2]]*$Q3</f>
        <v>0</v>
      </c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Row],[Colonna1]]*$Q3</f>
        <v>0</v>
      </c>
      <c r="T11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Row],[Colonna2]]*$Q3</f>
        <v>0</v>
      </c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 t="n">
        <v>1</v>
      </c>
      <c r="M12" s="13" t="n">
        <v>2</v>
      </c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Row],[Colonna1]]*$Q3</f>
        <v>0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Row],[Colonna2]]*$Q3</f>
        <v>0</v>
      </c>
      <c r="U12" s="14"/>
      <c r="V1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Row],[Colonna4]]*$Q3</f>
        <v>0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Row],[Colonna5]]*$Q3</f>
        <v>0</v>
      </c>
      <c r="X1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Row],[Colonna6]]*$Q3</f>
        <v>0.4</v>
      </c>
      <c r="Y1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Row],[Colonna7]]*$Q3</f>
        <v>0.8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Row],[Colonna1]]*$Q3</f>
        <v>0</v>
      </c>
      <c r="T15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Row],[Colonna2]]*$Q3</f>
        <v>0</v>
      </c>
      <c r="U15" s="14"/>
      <c r="V15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Row],[Colonna4]]*$Q3</f>
        <v>0</v>
      </c>
      <c r="W15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Row],[Colonna5]]*$Q3</f>
        <v>0</v>
      </c>
      <c r="X15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Row],[Colonna6]]*$Q3</f>
        <v>0</v>
      </c>
      <c r="Y15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Row],[Colonna7]]*$Q3</f>
        <v>0</v>
      </c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Row],[Colonna4]]*$Q3</f>
        <v>0</v>
      </c>
      <c r="W16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Row],[Colonna5]]*$Q3</f>
        <v>0</v>
      </c>
      <c r="X16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Row],[Colonna6]]*$Q3</f>
        <v>0</v>
      </c>
      <c r="Y16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Row],[Colonna7]]*$Q3</f>
        <v>0</v>
      </c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Row],[Colonna1]]*$Q3</f>
        <v>0</v>
      </c>
      <c r="T22" s="14"/>
      <c r="U22" s="14"/>
      <c r="V22" s="14"/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 t="n">
        <v>1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Row],[Colonna1]]*$Q3</f>
        <v>0</v>
      </c>
      <c r="T29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Row],[Colonna2]]*$Q3</f>
        <v>0</v>
      </c>
      <c r="U29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Row],[Colonna3]]*$Q3</f>
        <v>0</v>
      </c>
      <c r="V29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Row],[Colonna4]]*$Q3</f>
        <v>0</v>
      </c>
      <c r="W29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Row],[Colonna5]]*$Q3</f>
        <v>0</v>
      </c>
      <c r="X29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Row],[Colonna6]]*$Q3</f>
        <v>0</v>
      </c>
      <c r="Y29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Row],[Colonna7]]*$Q3</f>
        <v>0.4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 t="n">
        <v>2</v>
      </c>
      <c r="P41" s="18" t="s">
        <v>48</v>
      </c>
      <c r="Q41" s="18"/>
      <c r="R41" s="18"/>
      <c r="S41" s="14"/>
      <c r="T41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Row],[Colonna2]]*$Q3</f>
        <v>0</v>
      </c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42"/>
      <c r="K42" s="13"/>
      <c r="L42" s="13"/>
      <c r="M42" s="13"/>
      <c r="P42" s="9" t="s">
        <v>49</v>
      </c>
      <c r="Q42" s="9"/>
      <c r="R42" s="9"/>
      <c r="S42" s="14"/>
      <c r="T4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Row],[Colonna2]]*$Q3</f>
        <v>0</v>
      </c>
      <c r="U42" s="14"/>
      <c r="V42" s="14"/>
      <c r="W4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Row],[Colonna5]]*$Q3</f>
        <v>0</v>
      </c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</v>
      </c>
      <c r="H44" s="13"/>
      <c r="I44" s="13"/>
      <c r="J44" s="13"/>
      <c r="K44" s="142"/>
      <c r="L44" s="13"/>
      <c r="M44" s="142" t="n">
        <v>1</v>
      </c>
      <c r="P44" s="12" t="s">
        <v>51</v>
      </c>
      <c r="Q44" s="12"/>
      <c r="R44" s="12"/>
      <c r="S44" s="14"/>
      <c r="T44" s="14"/>
      <c r="U44" s="14"/>
      <c r="V44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Row],[Colonna4]]*$Q3</f>
        <v>0</v>
      </c>
      <c r="W44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Row],[Colonna5]]*$Q3</f>
        <v>0</v>
      </c>
      <c r="X44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Row],[Colonna6]]*$Q3</f>
        <v>0</v>
      </c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/>
      <c r="I49" s="142"/>
      <c r="J49" s="142"/>
      <c r="K49" s="13"/>
      <c r="L49" s="13"/>
      <c r="M49" s="13"/>
      <c r="P49" s="18" t="s">
        <v>56</v>
      </c>
      <c r="Q49" s="18"/>
      <c r="R49" s="18"/>
      <c r="S49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Row],[Colonna1]]*$Q3</f>
        <v>0</v>
      </c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9</v>
      </c>
      <c r="H52" s="13"/>
      <c r="I52" s="13" t="n">
        <v>1</v>
      </c>
      <c r="J52" s="13"/>
      <c r="K52" s="13"/>
      <c r="L52" s="13"/>
      <c r="M52" s="13" t="n">
        <v>10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Row],[Colonna1]]*$Q3</f>
        <v>3.6</v>
      </c>
      <c r="T5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Row],[Colonna2]]*$Q3</f>
        <v>0</v>
      </c>
      <c r="U5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Row],[Colonna3]]*$Q3</f>
        <v>0.4</v>
      </c>
      <c r="V5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Row],[Colonna4]]*$Q3</f>
        <v>0</v>
      </c>
      <c r="W5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Row],[Colonna5]]*$Q3</f>
        <v>0</v>
      </c>
      <c r="X5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Row],[Colonna6]]*$Q3</f>
        <v>0</v>
      </c>
      <c r="Y5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Row],[Colonna7]]*$Q3</f>
        <v>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12</v>
      </c>
      <c r="H53" s="55" t="n">
        <f aca="false">SUM(H6:H52)</f>
        <v>0</v>
      </c>
      <c r="I53" s="55" t="n">
        <f aca="false">SUM(I6:I52)</f>
        <v>1</v>
      </c>
      <c r="J53" s="55" t="n">
        <f aca="false">SUM(J6:J52)</f>
        <v>0</v>
      </c>
      <c r="K53" s="55" t="n">
        <f aca="false">SUM(K6:K52)</f>
        <v>1</v>
      </c>
      <c r="L53" s="55" t="n">
        <f aca="false">SUM(L6:L52)</f>
        <v>1</v>
      </c>
      <c r="M53" s="55" t="n">
        <f aca="false">SUM(M6:M52)</f>
        <v>20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Row],[Colonna1]]*$Q3</f>
        <v>4.8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Row],[Colonna2]]*$Q3</f>
        <v>0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Row],[Colonna3]]*$Q3</f>
        <v>0.4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Row],[Colonna4]]*$Q3</f>
        <v>0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Row],[Colonna5]]*$Q3</f>
        <v>0.4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Row],[Colonna6]]*$Q3</f>
        <v>0.4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Row],[Colonna7]]*$Q3</f>
        <v>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35</v>
      </c>
      <c r="H58" s="26"/>
      <c r="I58" s="26" t="n">
        <v>1</v>
      </c>
      <c r="J58" s="26"/>
      <c r="K58" s="26"/>
      <c r="L58" s="26" t="n">
        <v>31</v>
      </c>
      <c r="M58" s="26" t="n">
        <v>50</v>
      </c>
      <c r="P58" s="23" t="s">
        <v>62</v>
      </c>
      <c r="Q58" s="23"/>
      <c r="R58" s="23"/>
      <c r="S58" s="57" t="n">
        <f aca="false">G58*$Q3</f>
        <v>14</v>
      </c>
      <c r="T58" s="57" t="n">
        <f aca="false">H58*$Q3</f>
        <v>0</v>
      </c>
      <c r="U58" s="57" t="n">
        <f aca="false">I58*$Q3</f>
        <v>0.4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12.4</v>
      </c>
      <c r="Y58" s="27" t="n">
        <f aca="false">M58*$Q3</f>
        <v>20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10</v>
      </c>
      <c r="H62" s="26"/>
      <c r="I62" s="26"/>
      <c r="J62" s="26"/>
      <c r="K62" s="26"/>
      <c r="L62" s="26" t="n">
        <v>1</v>
      </c>
      <c r="M62" s="26" t="n">
        <v>3</v>
      </c>
      <c r="P62" s="9" t="s">
        <v>66</v>
      </c>
      <c r="Q62" s="9"/>
      <c r="R62" s="9"/>
      <c r="S62" s="57" t="n">
        <f aca="false">G62*$Q3</f>
        <v>4</v>
      </c>
      <c r="T62" s="57" t="n">
        <f aca="false">H62*$Q3</f>
        <v>0</v>
      </c>
      <c r="U62" s="57" t="n">
        <f aca="false">I62*$Q3</f>
        <v>0</v>
      </c>
      <c r="V62" s="57" t="n">
        <f aca="false">J62*$Q3</f>
        <v>0</v>
      </c>
      <c r="W62" s="57" t="n">
        <f aca="false">K62*$Q3</f>
        <v>0</v>
      </c>
      <c r="X62" s="57" t="n">
        <f aca="false">L62*$Q3</f>
        <v>0.4</v>
      </c>
      <c r="Y62" s="57" t="n">
        <f aca="false">M62*$Q3</f>
        <v>1.2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3</v>
      </c>
      <c r="H63" s="164"/>
      <c r="I63" s="13"/>
      <c r="J63" s="26"/>
      <c r="K63" s="26"/>
      <c r="L63" s="26" t="n">
        <v>1</v>
      </c>
      <c r="M63" s="26" t="n">
        <v>5</v>
      </c>
      <c r="P63" s="9" t="s">
        <v>67</v>
      </c>
      <c r="Q63" s="9"/>
      <c r="R63" s="9"/>
      <c r="S63" s="57" t="n">
        <f aca="false">G63*$Q3</f>
        <v>1.2</v>
      </c>
      <c r="T63" s="57" t="n">
        <f aca="false">H63*$Q3</f>
        <v>0</v>
      </c>
      <c r="U63" s="57" t="n">
        <f aca="false">I63*$Q3</f>
        <v>0</v>
      </c>
      <c r="V63" s="57"/>
      <c r="W63" s="57"/>
      <c r="X63" s="57" t="n">
        <f aca="false">L63*$Q3</f>
        <v>0.4</v>
      </c>
      <c r="Y63" s="57" t="n">
        <f aca="false">M63*$Q3</f>
        <v>2</v>
      </c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3</v>
      </c>
      <c r="H64" s="26"/>
      <c r="I64" s="26"/>
      <c r="J64" s="26"/>
      <c r="K64" s="26"/>
      <c r="L64" s="26" t="n">
        <v>1</v>
      </c>
      <c r="M64" s="26" t="n">
        <v>4</v>
      </c>
      <c r="P64" s="9" t="s">
        <v>68</v>
      </c>
      <c r="Q64" s="9"/>
      <c r="R64" s="9"/>
      <c r="S64" s="57" t="n">
        <f aca="false">G64*$Q3</f>
        <v>1.2</v>
      </c>
      <c r="T64" s="57" t="n">
        <f aca="false">H64*$Q3</f>
        <v>0</v>
      </c>
      <c r="U64" s="57" t="n">
        <f aca="false">I64*$Q3</f>
        <v>0</v>
      </c>
      <c r="V64" s="57"/>
      <c r="W64" s="57" t="n">
        <f aca="false">K64*$Q3</f>
        <v>0</v>
      </c>
      <c r="X64" s="57" t="n">
        <f aca="false">L64*$Q3</f>
        <v>0.4</v>
      </c>
      <c r="Y64" s="57" t="n">
        <f aca="false">M64*$Q3</f>
        <v>1.6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 t="n">
        <v>1</v>
      </c>
      <c r="P65" s="9" t="s">
        <v>69</v>
      </c>
      <c r="Q65" s="9"/>
      <c r="R65" s="9"/>
      <c r="S65" s="57"/>
      <c r="T65" s="57"/>
      <c r="U65" s="57" t="n">
        <f aca="false">I65*$Q3</f>
        <v>0</v>
      </c>
      <c r="V65" s="57" t="n">
        <f aca="false">J65*$Q3</f>
        <v>0</v>
      </c>
      <c r="W65" s="57" t="n">
        <f aca="false">K65*$Q3</f>
        <v>0</v>
      </c>
      <c r="X65" s="2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2</v>
      </c>
      <c r="H67" s="139"/>
      <c r="I67" s="139"/>
      <c r="J67" s="26"/>
      <c r="K67" s="26"/>
      <c r="L67" s="26" t="n">
        <v>1</v>
      </c>
      <c r="M67" s="26" t="n">
        <v>7</v>
      </c>
      <c r="P67" s="9" t="s">
        <v>71</v>
      </c>
      <c r="Q67" s="9"/>
      <c r="R67" s="9"/>
      <c r="S67" s="57" t="n">
        <f aca="false">G67*$Q3</f>
        <v>0.8</v>
      </c>
      <c r="T67" s="57" t="n">
        <f aca="false">H67*$Q3</f>
        <v>0</v>
      </c>
      <c r="U67" s="57"/>
      <c r="V67" s="57" t="n">
        <f aca="false">J67*$Q3</f>
        <v>0</v>
      </c>
      <c r="W67" s="57"/>
      <c r="X67" s="57" t="n">
        <f aca="false">L67*$Q3</f>
        <v>0.4</v>
      </c>
      <c r="Y67" s="57" t="n">
        <f aca="false">M67*$Q3</f>
        <v>2.8</v>
      </c>
    </row>
    <row r="68" customFormat="false" ht="15" hidden="false" customHeight="false" outlineLevel="0" collapsed="false">
      <c r="D68" s="9" t="s">
        <v>72</v>
      </c>
      <c r="E68" s="9"/>
      <c r="F68" s="9"/>
      <c r="G68" s="165"/>
      <c r="H68" s="30"/>
      <c r="I68" s="30"/>
      <c r="J68" s="30"/>
      <c r="K68" s="30"/>
      <c r="L68" s="30" t="n">
        <v>4</v>
      </c>
      <c r="M68" s="30" t="n">
        <v>2</v>
      </c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/>
      <c r="V68" s="57" t="n">
        <f aca="false">J68*$Q3</f>
        <v>0</v>
      </c>
      <c r="W68" s="57"/>
      <c r="X68" s="57"/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2</v>
      </c>
      <c r="H69" s="30"/>
      <c r="I69" s="30"/>
      <c r="J69" s="30"/>
      <c r="K69" s="30"/>
      <c r="L69" s="30" t="n">
        <v>3</v>
      </c>
      <c r="M69" s="30" t="n">
        <v>1</v>
      </c>
      <c r="P69" s="9" t="s">
        <v>73</v>
      </c>
      <c r="Q69" s="9"/>
      <c r="R69" s="9"/>
      <c r="S69" s="57" t="n">
        <f aca="false">G69*$Q3</f>
        <v>0.8</v>
      </c>
      <c r="T69" s="57" t="n">
        <f aca="false">H69*$Q3</f>
        <v>0</v>
      </c>
      <c r="U69" s="57" t="n">
        <f aca="false">I69*$Q3</f>
        <v>0</v>
      </c>
      <c r="V69" s="57"/>
      <c r="W69" s="57" t="n">
        <f aca="false">K69*$Q3</f>
        <v>0</v>
      </c>
      <c r="X69" s="57" t="n">
        <f aca="false">L69*$Q3</f>
        <v>1.2</v>
      </c>
      <c r="Y69" s="5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55</v>
      </c>
      <c r="H70" s="60" t="n">
        <f aca="false">SUM(H58:H69)</f>
        <v>0</v>
      </c>
      <c r="I70" s="60" t="n">
        <f aca="false">SUM(I58:I69)</f>
        <v>1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42</v>
      </c>
      <c r="M70" s="60" t="n">
        <f aca="false">SUM(M58:M69)</f>
        <v>73</v>
      </c>
      <c r="P70" s="9" t="s">
        <v>60</v>
      </c>
      <c r="Q70" s="9"/>
      <c r="R70" s="9"/>
      <c r="S70" s="61" t="n">
        <f aca="false">G70*$Q3</f>
        <v>22</v>
      </c>
      <c r="T70" s="61" t="n">
        <f aca="false">H70*$Q3</f>
        <v>0</v>
      </c>
      <c r="U70" s="61" t="n">
        <f aca="false">I70*$Q3</f>
        <v>0.4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16.8</v>
      </c>
      <c r="Y70" s="32" t="n">
        <f aca="false">M70*$Q3</f>
        <v>29.2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110</v>
      </c>
      <c r="I3" s="119" t="s">
        <v>2</v>
      </c>
      <c r="J3" s="4" t="n">
        <v>45691</v>
      </c>
      <c r="K3" s="5" t="n">
        <v>45697</v>
      </c>
      <c r="L3" s="120" t="s">
        <v>3</v>
      </c>
      <c r="M3" s="3" t="n">
        <v>2025</v>
      </c>
      <c r="P3" s="7" t="s">
        <v>4</v>
      </c>
      <c r="Q3" s="7" t="n">
        <v>0.4</v>
      </c>
      <c r="S3" s="119" t="s">
        <v>0</v>
      </c>
      <c r="T3" s="3" t="s">
        <v>110</v>
      </c>
      <c r="U3" s="119" t="s">
        <v>2</v>
      </c>
      <c r="V3" s="4" t="n">
        <v>45691</v>
      </c>
      <c r="W3" s="5" t="n">
        <v>45697</v>
      </c>
      <c r="X3" s="120" t="s">
        <v>3</v>
      </c>
      <c r="Y3" s="3" t="n">
        <v>2025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 t="n">
        <v>2</v>
      </c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Row],[Colonna3]]*$Q3</f>
        <v>0.8</v>
      </c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2</v>
      </c>
      <c r="H9" s="13" t="n">
        <v>3</v>
      </c>
      <c r="I9" s="13"/>
      <c r="J9" s="13" t="n">
        <v>1</v>
      </c>
      <c r="K9" s="13" t="n">
        <v>3</v>
      </c>
      <c r="L9" s="13" t="n">
        <v>2</v>
      </c>
      <c r="M9" s="13"/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Row],[Colonna1]]*$Q3</f>
        <v>0.8</v>
      </c>
      <c r="T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Row],[Colonna2]]*$Q3</f>
        <v>1.2</v>
      </c>
      <c r="U9" s="14"/>
      <c r="V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Row],[Colonna4]]*$Q3</f>
        <v>0.4</v>
      </c>
      <c r="W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Row],[Colonna5]]*$Q3</f>
        <v>1.2</v>
      </c>
      <c r="X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Row],[Colonna6]]*$Q3</f>
        <v>0.8</v>
      </c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2</v>
      </c>
      <c r="H21" s="13" t="n">
        <v>14</v>
      </c>
      <c r="I21" s="13" t="n">
        <v>4</v>
      </c>
      <c r="J21" s="13" t="n">
        <v>1</v>
      </c>
      <c r="K21" s="13" t="n">
        <v>12</v>
      </c>
      <c r="L21" s="13"/>
      <c r="M21" s="13"/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Row],[Colonna1]]*$Q3</f>
        <v>0.8</v>
      </c>
      <c r="T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Row],[Colonna2]]*$Q3</f>
        <v>5.6</v>
      </c>
      <c r="U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Row],[Colonna3]]*$Q3</f>
        <v>1.6</v>
      </c>
      <c r="V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Row],[Colonna4]]*$Q3</f>
        <v>0.4</v>
      </c>
      <c r="W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Row],[Colonna5]]*$Q3</f>
        <v>4.8</v>
      </c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</v>
      </c>
      <c r="H22" s="13" t="n">
        <v>8</v>
      </c>
      <c r="I22" s="13" t="n">
        <v>1</v>
      </c>
      <c r="J22" s="13" t="n">
        <v>2</v>
      </c>
      <c r="K22" s="13" t="n">
        <v>3</v>
      </c>
      <c r="L22" s="13" t="n">
        <v>1</v>
      </c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Row],[Colonna1]]*$Q3</f>
        <v>0.4</v>
      </c>
      <c r="T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Row],[Colonna2]]*$Q3</f>
        <v>3.2</v>
      </c>
      <c r="U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Row],[Colonna3]]*$Q3</f>
        <v>0.4</v>
      </c>
      <c r="V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Row],[Colonna4]]*$Q3</f>
        <v>0.8</v>
      </c>
      <c r="W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Row],[Colonna5]]*$Q3</f>
        <v>1.2</v>
      </c>
      <c r="X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Row],[Colonna6]]*$Q3</f>
        <v>0.4</v>
      </c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6</v>
      </c>
      <c r="H38" s="13" t="n">
        <v>27</v>
      </c>
      <c r="I38" s="13" t="n">
        <v>4</v>
      </c>
      <c r="J38" s="13" t="n">
        <v>7</v>
      </c>
      <c r="K38" s="13" t="n">
        <v>7</v>
      </c>
      <c r="L38" s="13" t="n">
        <v>4</v>
      </c>
      <c r="M38" s="13"/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Row],[Colonna1]]*$Q3</f>
        <v>2.4</v>
      </c>
      <c r="T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Row],[Colonna2]]*$Q3</f>
        <v>10.8</v>
      </c>
      <c r="U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Row],[Colonna3]]*$Q3</f>
        <v>1.6</v>
      </c>
      <c r="V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Row],[Colonna4]]*$Q3</f>
        <v>2.8</v>
      </c>
      <c r="W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Row],[Colonna5]]*$Q3</f>
        <v>2.8</v>
      </c>
      <c r="X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Row],[Colonna6]]*$Q3</f>
        <v>1.6</v>
      </c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42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42"/>
      <c r="L44" s="13"/>
      <c r="M44" s="142"/>
      <c r="P44" s="12" t="s">
        <v>51</v>
      </c>
      <c r="Q44" s="12"/>
      <c r="R44" s="12"/>
      <c r="S44" s="14"/>
      <c r="T44" s="14"/>
      <c r="U44" s="14"/>
      <c r="V44" s="14"/>
      <c r="W44" s="14"/>
      <c r="X44" s="14"/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/>
      <c r="I49" s="142"/>
      <c r="J49" s="142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 t="n">
        <v>1</v>
      </c>
      <c r="H50" s="13" t="n">
        <v>4</v>
      </c>
      <c r="I50" s="13"/>
      <c r="J50" s="13"/>
      <c r="K50" s="13"/>
      <c r="L50" s="13"/>
      <c r="M50" s="13"/>
      <c r="P50" s="9" t="s">
        <v>57</v>
      </c>
      <c r="Q50" s="9"/>
      <c r="R50" s="9"/>
      <c r="S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Row],[Colonna1]]*$Q3</f>
        <v>0.4</v>
      </c>
      <c r="T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Row],[Colonna2]]*$Q3</f>
        <v>1.6</v>
      </c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12</v>
      </c>
      <c r="H53" s="55" t="n">
        <f aca="false">SUM(H6:H52)</f>
        <v>56</v>
      </c>
      <c r="I53" s="55" t="n">
        <f aca="false">SUM(I6:I52)</f>
        <v>11</v>
      </c>
      <c r="J53" s="55" t="n">
        <f aca="false">SUM(J6:J52)</f>
        <v>11</v>
      </c>
      <c r="K53" s="55" t="n">
        <f aca="false">SUM(K6:K52)</f>
        <v>25</v>
      </c>
      <c r="L53" s="55" t="n">
        <f aca="false">SUM(L6:L52)</f>
        <v>7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Row],[Colonna1]]*$Q3</f>
        <v>4.8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Row],[Colonna2]]*$Q3</f>
        <v>22.4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Row],[Colonna3]]*$Q3</f>
        <v>4.4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Row],[Colonna4]]*$Q3</f>
        <v>4.4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Row],[Colonna5]]*$Q3</f>
        <v>10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Row],[Colonna6]]*$Q3</f>
        <v>2.8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4</v>
      </c>
      <c r="H58" s="26" t="n">
        <v>4</v>
      </c>
      <c r="I58" s="26" t="n">
        <v>10</v>
      </c>
      <c r="J58" s="26" t="n">
        <v>2</v>
      </c>
      <c r="K58" s="26" t="n">
        <v>7</v>
      </c>
      <c r="L58" s="26" t="n">
        <v>10</v>
      </c>
      <c r="M58" s="26" t="n">
        <v>4</v>
      </c>
      <c r="P58" s="23" t="s">
        <v>62</v>
      </c>
      <c r="Q58" s="23"/>
      <c r="R58" s="23"/>
      <c r="S58" s="57" t="n">
        <f aca="false">G58*$Q3</f>
        <v>1.6</v>
      </c>
      <c r="T58" s="57" t="n">
        <f aca="false">H58*$Q3</f>
        <v>1.6</v>
      </c>
      <c r="U58" s="57" t="n">
        <f aca="false">I58*$Q3</f>
        <v>4</v>
      </c>
      <c r="V58" s="57" t="n">
        <f aca="false">J58*$Q3</f>
        <v>0.8</v>
      </c>
      <c r="W58" s="57" t="n">
        <f aca="false">K58*$Q3</f>
        <v>2.8</v>
      </c>
      <c r="X58" s="57" t="n">
        <f aca="false">L58*$Q3</f>
        <v>4</v>
      </c>
      <c r="Y58" s="27" t="n">
        <f aca="false">M58*$Q3</f>
        <v>1.6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6</v>
      </c>
      <c r="H62" s="26" t="n">
        <v>12</v>
      </c>
      <c r="I62" s="26" t="n">
        <v>5</v>
      </c>
      <c r="J62" s="26" t="n">
        <v>4</v>
      </c>
      <c r="K62" s="26" t="n">
        <v>3</v>
      </c>
      <c r="L62" s="26" t="n">
        <v>2</v>
      </c>
      <c r="M62" s="26" t="n">
        <v>1</v>
      </c>
      <c r="P62" s="9" t="s">
        <v>66</v>
      </c>
      <c r="Q62" s="9"/>
      <c r="R62" s="9"/>
      <c r="S62" s="57" t="n">
        <f aca="false">G62*$Q3</f>
        <v>2.4</v>
      </c>
      <c r="T62" s="57" t="n">
        <f aca="false">H62*$Q3</f>
        <v>4.8</v>
      </c>
      <c r="U62" s="57" t="n">
        <f aca="false">I62*$Q3</f>
        <v>2</v>
      </c>
      <c r="V62" s="57" t="n">
        <f aca="false">J62*$Q3</f>
        <v>1.6</v>
      </c>
      <c r="W62" s="57" t="n">
        <f aca="false">K62*$Q3</f>
        <v>1.2</v>
      </c>
      <c r="X62" s="57" t="n">
        <f aca="false">L62*$Q3</f>
        <v>0.8</v>
      </c>
      <c r="Y62" s="57" t="n">
        <f aca="false">M62*$Q3</f>
        <v>0.4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164" t="n">
        <v>1</v>
      </c>
      <c r="I63" s="13"/>
      <c r="J63" s="26"/>
      <c r="K63" s="26"/>
      <c r="L63" s="26"/>
      <c r="M63" s="26"/>
      <c r="P63" s="9" t="s">
        <v>67</v>
      </c>
      <c r="Q63" s="9"/>
      <c r="R63" s="9"/>
      <c r="S63" s="57"/>
      <c r="T63" s="57" t="n">
        <f aca="false">H63*$Q3</f>
        <v>0.4</v>
      </c>
      <c r="U63" s="57"/>
      <c r="V63" s="57"/>
      <c r="W63" s="57"/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/>
      <c r="I64" s="26" t="n">
        <v>1</v>
      </c>
      <c r="J64" s="26"/>
      <c r="K64" s="26"/>
      <c r="L64" s="26"/>
      <c r="M64" s="26"/>
      <c r="P64" s="9" t="s">
        <v>68</v>
      </c>
      <c r="Q64" s="9"/>
      <c r="R64" s="9"/>
      <c r="S64" s="57"/>
      <c r="T64" s="57"/>
      <c r="U64" s="57" t="n">
        <f aca="false">I64*$Q3</f>
        <v>0.4</v>
      </c>
      <c r="V64" s="57"/>
      <c r="W64" s="57"/>
      <c r="X64" s="57"/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 t="n">
        <v>1</v>
      </c>
      <c r="J65" s="26"/>
      <c r="K65" s="26"/>
      <c r="L65" s="26" t="n">
        <v>2</v>
      </c>
      <c r="M65" s="26"/>
      <c r="P65" s="9" t="s">
        <v>69</v>
      </c>
      <c r="Q65" s="9"/>
      <c r="R65" s="9"/>
      <c r="S65" s="57"/>
      <c r="T65" s="57"/>
      <c r="U65" s="57" t="n">
        <f aca="false">I65*$Q3</f>
        <v>0.4</v>
      </c>
      <c r="V65" s="57"/>
      <c r="W65" s="57"/>
      <c r="X65" s="57" t="n">
        <f aca="false">L65*$Q3</f>
        <v>0.8</v>
      </c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 t="n">
        <v>1</v>
      </c>
      <c r="M67" s="26"/>
      <c r="P67" s="9" t="s">
        <v>71</v>
      </c>
      <c r="Q67" s="9"/>
      <c r="R67" s="9"/>
      <c r="S67" s="57"/>
      <c r="T67" s="57"/>
      <c r="U67" s="57"/>
      <c r="V67" s="57"/>
      <c r="W67" s="57"/>
      <c r="X67" s="57" t="n">
        <f aca="false">L67*$Q3</f>
        <v>0.4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165"/>
      <c r="H68" s="30"/>
      <c r="I68" s="30" t="n">
        <v>1</v>
      </c>
      <c r="J68" s="30"/>
      <c r="K68" s="30" t="n">
        <v>1</v>
      </c>
      <c r="L68" s="30" t="n">
        <v>1</v>
      </c>
      <c r="M68" s="30"/>
      <c r="P68" s="9" t="s">
        <v>72</v>
      </c>
      <c r="Q68" s="9"/>
      <c r="R68" s="9"/>
      <c r="S68" s="57"/>
      <c r="T68" s="57"/>
      <c r="U68" s="57" t="n">
        <f aca="false">I68*$Q3</f>
        <v>0.4</v>
      </c>
      <c r="V68" s="57"/>
      <c r="W68" s="57"/>
      <c r="X68" s="57"/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 t="n">
        <v>1</v>
      </c>
      <c r="K69" s="30"/>
      <c r="L69" s="30" t="n">
        <v>4</v>
      </c>
      <c r="M69" s="30"/>
      <c r="P69" s="9" t="s">
        <v>73</v>
      </c>
      <c r="Q69" s="9"/>
      <c r="R69" s="9"/>
      <c r="S69" s="57"/>
      <c r="T69" s="57"/>
      <c r="U69" s="57"/>
      <c r="V69" s="57" t="n">
        <f aca="false">J69*$Q3</f>
        <v>0.4</v>
      </c>
      <c r="W69" s="57"/>
      <c r="X69" s="57" t="n">
        <f aca="false">L69*$Q3</f>
        <v>1.6</v>
      </c>
      <c r="Y69" s="5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10</v>
      </c>
      <c r="H70" s="60" t="n">
        <f aca="false">SUM(H58:H69)</f>
        <v>17</v>
      </c>
      <c r="I70" s="60" t="n">
        <f aca="false">SUM(I58:I69)</f>
        <v>18</v>
      </c>
      <c r="J70" s="60" t="n">
        <f aca="false">SUM(J58:J69)</f>
        <v>7</v>
      </c>
      <c r="K70" s="60" t="n">
        <f aca="false">SUM(K58:K69)</f>
        <v>11</v>
      </c>
      <c r="L70" s="60" t="n">
        <f aca="false">SUM(L58:L69)</f>
        <v>20</v>
      </c>
      <c r="M70" s="60" t="n">
        <f aca="false">SUM(M58:M69)</f>
        <v>5</v>
      </c>
      <c r="P70" s="9" t="s">
        <v>60</v>
      </c>
      <c r="Q70" s="9"/>
      <c r="R70" s="9"/>
      <c r="S70" s="61" t="n">
        <f aca="false">G70*$Q3</f>
        <v>4</v>
      </c>
      <c r="T70" s="61" t="n">
        <f aca="false">H70*$Q3</f>
        <v>6.8</v>
      </c>
      <c r="U70" s="61" t="n">
        <f aca="false">I70*$Q3</f>
        <v>7.2</v>
      </c>
      <c r="V70" s="61" t="n">
        <f aca="false">J70*$Q3</f>
        <v>2.8</v>
      </c>
      <c r="W70" s="61" t="n">
        <f aca="false">K70*$Q3</f>
        <v>4.4</v>
      </c>
      <c r="X70" s="61" t="n">
        <f aca="false">L70*$Q3</f>
        <v>8</v>
      </c>
      <c r="Y70" s="32" t="n">
        <f aca="false">M70*$Q3</f>
        <v>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110</v>
      </c>
      <c r="I3" s="119" t="s">
        <v>2</v>
      </c>
      <c r="J3" s="4" t="n">
        <v>45698</v>
      </c>
      <c r="K3" s="5" t="n">
        <v>45704</v>
      </c>
      <c r="L3" s="120" t="s">
        <v>3</v>
      </c>
      <c r="M3" s="3" t="n">
        <v>2025</v>
      </c>
      <c r="P3" s="7" t="s">
        <v>4</v>
      </c>
      <c r="Q3" s="7" t="n">
        <v>0.4</v>
      </c>
      <c r="S3" s="119" t="s">
        <v>0</v>
      </c>
      <c r="T3" s="3" t="s">
        <v>110</v>
      </c>
      <c r="U3" s="119" t="s">
        <v>2</v>
      </c>
      <c r="V3" s="4" t="n">
        <v>45698</v>
      </c>
      <c r="W3" s="5" t="n">
        <v>45704</v>
      </c>
      <c r="X3" s="120" t="s">
        <v>3</v>
      </c>
      <c r="Y3" s="3" t="n">
        <v>2025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2</v>
      </c>
      <c r="H7" s="13" t="n">
        <v>1</v>
      </c>
      <c r="I7" s="13"/>
      <c r="J7" s="13"/>
      <c r="K7" s="13"/>
      <c r="L7" s="13"/>
      <c r="M7" s="13"/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Row],[Colonna1]]*$Q3</f>
        <v>0.8</v>
      </c>
      <c r="T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Row],[Colonna2]]*$Q3</f>
        <v>0.4</v>
      </c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 t="n">
        <v>1</v>
      </c>
      <c r="L9" s="13" t="n">
        <v>3</v>
      </c>
      <c r="M9" s="13" t="n">
        <v>14</v>
      </c>
      <c r="P9" s="12" t="s">
        <v>16</v>
      </c>
      <c r="Q9" s="12"/>
      <c r="R9" s="12"/>
      <c r="S9" s="14"/>
      <c r="T9" s="14"/>
      <c r="U9" s="14"/>
      <c r="V9" s="14"/>
      <c r="W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Row],[Colonna5]]*$Q3</f>
        <v>0.4</v>
      </c>
      <c r="X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Row],[Colonna6]]*$Q3</f>
        <v>1.2</v>
      </c>
      <c r="Y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Row],[Colonna7]]*$Q3</f>
        <v>5.6</v>
      </c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1</v>
      </c>
      <c r="H21" s="13"/>
      <c r="I21" s="13"/>
      <c r="J21" s="13" t="n">
        <v>1</v>
      </c>
      <c r="K21" s="13" t="n">
        <v>4</v>
      </c>
      <c r="L21" s="13" t="n">
        <v>15</v>
      </c>
      <c r="M21" s="13" t="n">
        <v>14</v>
      </c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Row],[Colonna1]]*$Q3</f>
        <v>0.4</v>
      </c>
      <c r="T21" s="14"/>
      <c r="U21" s="14"/>
      <c r="V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Row],[Colonna4]]*$Q3</f>
        <v>0.4</v>
      </c>
      <c r="W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Row],[Colonna5]]*$Q3</f>
        <v>1.6</v>
      </c>
      <c r="X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Row],[Colonna6]]*$Q3</f>
        <v>6</v>
      </c>
      <c r="Y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Row],[Colonna7]]*$Q3</f>
        <v>5.6</v>
      </c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 t="n">
        <v>3</v>
      </c>
      <c r="I22" s="13"/>
      <c r="J22" s="13" t="n">
        <v>3</v>
      </c>
      <c r="K22" s="13" t="n">
        <v>2</v>
      </c>
      <c r="L22" s="13" t="n">
        <v>7</v>
      </c>
      <c r="M22" s="13" t="n">
        <v>9</v>
      </c>
      <c r="P22" s="12" t="s">
        <v>29</v>
      </c>
      <c r="Q22" s="12"/>
      <c r="R22" s="12"/>
      <c r="S22" s="14"/>
      <c r="T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Row],[Colonna2]]*$Q3</f>
        <v>1.2</v>
      </c>
      <c r="U22" s="14"/>
      <c r="V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Row],[Colonna4]]*$Q3</f>
        <v>1.2</v>
      </c>
      <c r="W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Row],[Colonna5]]*$Q3</f>
        <v>0.8</v>
      </c>
      <c r="X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Row],[Colonna6]]*$Q3</f>
        <v>2.8</v>
      </c>
      <c r="Y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Row],[Colonna7]]*$Q3</f>
        <v>3.6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 t="n">
        <v>5</v>
      </c>
      <c r="I38" s="13"/>
      <c r="J38" s="13" t="n">
        <v>1</v>
      </c>
      <c r="K38" s="13" t="n">
        <v>6</v>
      </c>
      <c r="L38" s="13" t="n">
        <v>6</v>
      </c>
      <c r="M38" s="13" t="n">
        <v>6</v>
      </c>
      <c r="P38" s="16" t="s">
        <v>45</v>
      </c>
      <c r="Q38" s="16"/>
      <c r="R38" s="16"/>
      <c r="S38" s="14"/>
      <c r="T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Row],[Colonna2]]*$Q3</f>
        <v>2</v>
      </c>
      <c r="U38" s="14"/>
      <c r="V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Row],[Colonna4]]*$Q3</f>
        <v>0.4</v>
      </c>
      <c r="W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Row],[Colonna5]]*$Q3</f>
        <v>2.4</v>
      </c>
      <c r="X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Row],[Colonna6]]*$Q3</f>
        <v>2.4</v>
      </c>
      <c r="Y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Row],[Colonna7]]*$Q3</f>
        <v>2.4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42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42"/>
      <c r="L44" s="13"/>
      <c r="M44" s="142"/>
      <c r="P44" s="12" t="s">
        <v>51</v>
      </c>
      <c r="Q44" s="12"/>
      <c r="R44" s="12"/>
      <c r="S44" s="14"/>
      <c r="T44" s="14"/>
      <c r="U44" s="14"/>
      <c r="V44" s="14"/>
      <c r="W44" s="14"/>
      <c r="X44" s="14"/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/>
      <c r="I49" s="142"/>
      <c r="J49" s="142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 t="n">
        <v>5</v>
      </c>
      <c r="I50" s="13"/>
      <c r="J50" s="13"/>
      <c r="K50" s="13"/>
      <c r="L50" s="13" t="n">
        <v>6</v>
      </c>
      <c r="M50" s="13" t="n">
        <v>5</v>
      </c>
      <c r="P50" s="9" t="s">
        <v>57</v>
      </c>
      <c r="Q50" s="9"/>
      <c r="R50" s="9"/>
      <c r="S50" s="14"/>
      <c r="T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Row],[Colonna2]]*$Q3</f>
        <v>2</v>
      </c>
      <c r="U50" s="14"/>
      <c r="V50" s="14"/>
      <c r="W50" s="14"/>
      <c r="X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Row],[Colonna6]]*$Q3</f>
        <v>2.4</v>
      </c>
      <c r="Y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Row],[Colonna7]]*$Q3</f>
        <v>2</v>
      </c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3</v>
      </c>
      <c r="H53" s="55" t="n">
        <f aca="false">SUM(H6:H52)</f>
        <v>14</v>
      </c>
      <c r="I53" s="55" t="n">
        <f aca="false">SUM(I6:I52)</f>
        <v>0</v>
      </c>
      <c r="J53" s="55" t="n">
        <f aca="false">SUM(J6:J52)</f>
        <v>5</v>
      </c>
      <c r="K53" s="55" t="n">
        <f aca="false">SUM(K6:K52)</f>
        <v>13</v>
      </c>
      <c r="L53" s="55" t="n">
        <f aca="false">SUM(L6:L52)</f>
        <v>37</v>
      </c>
      <c r="M53" s="55" t="n">
        <f aca="false">SUM(M6:M52)</f>
        <v>48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Row],[Colonna1]]*$Q3</f>
        <v>1.2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Row],[Colonna2]]*$Q3</f>
        <v>5.6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Row],[Colonna3]]*$Q3</f>
        <v>0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Row],[Colonna4]]*$Q3</f>
        <v>2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Row],[Colonna5]]*$Q3</f>
        <v>5.2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Row],[Colonna6]]*$Q3</f>
        <v>14.8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Row],[Colonna7]]*$Q3</f>
        <v>19.2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3</v>
      </c>
      <c r="H58" s="26" t="n">
        <v>1</v>
      </c>
      <c r="I58" s="26" t="n">
        <v>4</v>
      </c>
      <c r="J58" s="26" t="n">
        <v>2</v>
      </c>
      <c r="K58" s="26" t="n">
        <v>5</v>
      </c>
      <c r="L58" s="26" t="n">
        <v>2</v>
      </c>
      <c r="M58" s="26" t="n">
        <v>3</v>
      </c>
      <c r="P58" s="23" t="s">
        <v>62</v>
      </c>
      <c r="Q58" s="23"/>
      <c r="R58" s="23"/>
      <c r="S58" s="57" t="n">
        <f aca="false">G58*$Q3</f>
        <v>1.2</v>
      </c>
      <c r="T58" s="57" t="n">
        <f aca="false">H58*$Q3</f>
        <v>0.4</v>
      </c>
      <c r="U58" s="57" t="n">
        <f aca="false">I58*$Q3</f>
        <v>1.6</v>
      </c>
      <c r="V58" s="57" t="n">
        <f aca="false">J58*$Q3</f>
        <v>0.8</v>
      </c>
      <c r="W58" s="57" t="n">
        <f aca="false">K58*$Q3</f>
        <v>2</v>
      </c>
      <c r="X58" s="57" t="n">
        <f aca="false">L58*$Q3</f>
        <v>0.8</v>
      </c>
      <c r="Y58" s="27" t="n">
        <f aca="false">M58*$Q3</f>
        <v>1.2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2</v>
      </c>
      <c r="H62" s="26" t="n">
        <v>1</v>
      </c>
      <c r="I62" s="26" t="n">
        <v>1</v>
      </c>
      <c r="J62" s="26" t="n">
        <v>1</v>
      </c>
      <c r="K62" s="26"/>
      <c r="L62" s="26"/>
      <c r="M62" s="26"/>
      <c r="P62" s="9" t="s">
        <v>66</v>
      </c>
      <c r="Q62" s="9"/>
      <c r="R62" s="9"/>
      <c r="S62" s="57" t="n">
        <f aca="false">G62*$Q3</f>
        <v>0.8</v>
      </c>
      <c r="T62" s="57" t="n">
        <f aca="false">H62*$Q3</f>
        <v>0.4</v>
      </c>
      <c r="U62" s="57" t="n">
        <f aca="false">I62*$Q3</f>
        <v>0.4</v>
      </c>
      <c r="V62" s="57" t="n">
        <f aca="false">J62*$Q3</f>
        <v>0.4</v>
      </c>
      <c r="W62" s="57"/>
      <c r="X62" s="57"/>
      <c r="Y62" s="57"/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164" t="n">
        <v>2</v>
      </c>
      <c r="I63" s="13"/>
      <c r="J63" s="26"/>
      <c r="K63" s="26"/>
      <c r="L63" s="26"/>
      <c r="M63" s="26"/>
      <c r="P63" s="9" t="s">
        <v>67</v>
      </c>
      <c r="Q63" s="9"/>
      <c r="R63" s="9"/>
      <c r="S63" s="57"/>
      <c r="T63" s="57" t="n">
        <f aca="false">H63*$Q3</f>
        <v>0.8</v>
      </c>
      <c r="U63" s="57"/>
      <c r="V63" s="57"/>
      <c r="W63" s="57"/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57"/>
      <c r="U64" s="57"/>
      <c r="V64" s="57"/>
      <c r="W64" s="57"/>
      <c r="X64" s="57"/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 t="n">
        <v>5</v>
      </c>
      <c r="J65" s="26" t="n">
        <v>1</v>
      </c>
      <c r="K65" s="26" t="n">
        <v>7</v>
      </c>
      <c r="L65" s="26" t="n">
        <v>3</v>
      </c>
      <c r="M65" s="26"/>
      <c r="P65" s="9" t="s">
        <v>69</v>
      </c>
      <c r="Q65" s="9"/>
      <c r="R65" s="9"/>
      <c r="S65" s="57"/>
      <c r="T65" s="57"/>
      <c r="U65" s="57" t="n">
        <f aca="false">I65*$Q3</f>
        <v>2</v>
      </c>
      <c r="V65" s="57" t="n">
        <f aca="false">J65*$Q3</f>
        <v>0.4</v>
      </c>
      <c r="W65" s="57" t="n">
        <f aca="false">K65*$Q3</f>
        <v>2.8</v>
      </c>
      <c r="X65" s="57" t="n">
        <f aca="false">L65*$Q3</f>
        <v>1.2</v>
      </c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2</v>
      </c>
      <c r="H67" s="139"/>
      <c r="I67" s="139" t="n">
        <v>1</v>
      </c>
      <c r="J67" s="26"/>
      <c r="K67" s="26"/>
      <c r="L67" s="26"/>
      <c r="M67" s="26"/>
      <c r="P67" s="9" t="s">
        <v>71</v>
      </c>
      <c r="Q67" s="9"/>
      <c r="R67" s="9"/>
      <c r="S67" s="57" t="n">
        <f aca="false">G67*$Q3</f>
        <v>0.8</v>
      </c>
      <c r="T67" s="57"/>
      <c r="U67" s="57" t="n">
        <f aca="false">I67*$Q3</f>
        <v>0.4</v>
      </c>
      <c r="V67" s="57"/>
      <c r="W67" s="57"/>
      <c r="X67" s="57"/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165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/>
      <c r="T68" s="57"/>
      <c r="U68" s="57"/>
      <c r="V68" s="57"/>
      <c r="W68" s="57"/>
      <c r="X68" s="57"/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 t="n">
        <v>1</v>
      </c>
      <c r="M69" s="30" t="n">
        <v>1</v>
      </c>
      <c r="P69" s="9" t="s">
        <v>73</v>
      </c>
      <c r="Q69" s="9"/>
      <c r="R69" s="9"/>
      <c r="S69" s="57"/>
      <c r="T69" s="57"/>
      <c r="U69" s="57"/>
      <c r="V69" s="57"/>
      <c r="W69" s="57"/>
      <c r="X69" s="57" t="n">
        <f aca="false">L69*$Q3</f>
        <v>0.4</v>
      </c>
      <c r="Y69" s="57" t="n">
        <f aca="false">M69*$Q3</f>
        <v>0.4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7</v>
      </c>
      <c r="H70" s="60" t="n">
        <f aca="false">SUM(H58:H69)</f>
        <v>4</v>
      </c>
      <c r="I70" s="60" t="n">
        <f aca="false">SUM(I58:I69)</f>
        <v>11</v>
      </c>
      <c r="J70" s="60" t="n">
        <f aca="false">SUM(J58:J69)</f>
        <v>4</v>
      </c>
      <c r="K70" s="60" t="n">
        <f aca="false">SUM(K58:K69)</f>
        <v>12</v>
      </c>
      <c r="L70" s="60" t="n">
        <f aca="false">SUM(L58:L69)</f>
        <v>6</v>
      </c>
      <c r="M70" s="60" t="n">
        <f aca="false">SUM(M58:M69)</f>
        <v>4</v>
      </c>
      <c r="P70" s="9" t="s">
        <v>60</v>
      </c>
      <c r="Q70" s="9"/>
      <c r="R70" s="9"/>
      <c r="S70" s="61" t="n">
        <f aca="false">G70*$Q3</f>
        <v>2.8</v>
      </c>
      <c r="T70" s="61" t="n">
        <f aca="false">H70*$Q3</f>
        <v>1.6</v>
      </c>
      <c r="U70" s="61" t="n">
        <f aca="false">I70*$Q3</f>
        <v>4.4</v>
      </c>
      <c r="V70" s="61" t="n">
        <f aca="false">J70*$Q3</f>
        <v>1.6</v>
      </c>
      <c r="W70" s="61" t="n">
        <f aca="false">K70*$Q3</f>
        <v>4.8</v>
      </c>
      <c r="X70" s="61" t="n">
        <f aca="false">L70*$Q3</f>
        <v>2.4</v>
      </c>
      <c r="Y70" s="32" t="n">
        <f aca="false">M70*$Q3</f>
        <v>1.6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" activeCellId="0" sqref="L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110</v>
      </c>
      <c r="I3" s="119" t="s">
        <v>2</v>
      </c>
      <c r="J3" s="4" t="n">
        <v>45705</v>
      </c>
      <c r="K3" s="5" t="n">
        <v>45711</v>
      </c>
      <c r="L3" s="120" t="s">
        <v>3</v>
      </c>
      <c r="M3" s="3" t="n">
        <v>2025</v>
      </c>
      <c r="P3" s="7" t="s">
        <v>4</v>
      </c>
      <c r="Q3" s="7" t="n">
        <v>0.4</v>
      </c>
      <c r="S3" s="119" t="s">
        <v>0</v>
      </c>
      <c r="T3" s="3" t="s">
        <v>110</v>
      </c>
      <c r="U3" s="119" t="s">
        <v>2</v>
      </c>
      <c r="V3" s="4" t="n">
        <v>45705</v>
      </c>
      <c r="W3" s="5" t="n">
        <v>45711</v>
      </c>
      <c r="X3" s="120" t="s">
        <v>3</v>
      </c>
      <c r="Y3" s="3" t="n">
        <v>2025</v>
      </c>
    </row>
    <row r="5" customFormat="false" ht="15" hidden="false" customHeight="false" outlineLevel="0" collapsed="false">
      <c r="D5" s="12" t="s">
        <v>5</v>
      </c>
      <c r="E5" s="12"/>
      <c r="F5" s="12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1</v>
      </c>
      <c r="H9" s="13" t="n">
        <v>3</v>
      </c>
      <c r="I9" s="13" t="n">
        <v>2</v>
      </c>
      <c r="J9" s="13" t="n">
        <v>5</v>
      </c>
      <c r="K9" s="13" t="n">
        <v>4</v>
      </c>
      <c r="L9" s="13" t="n">
        <v>7</v>
      </c>
      <c r="M9" s="13" t="n">
        <v>2</v>
      </c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Row],[Colonna1]]*$Q3</f>
        <v>0.4</v>
      </c>
      <c r="T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Row],[Colonna2]]*$Q3</f>
        <v>1.2</v>
      </c>
      <c r="U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Row],[Colonna3]]*$Q3</f>
        <v>0.8</v>
      </c>
      <c r="V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Row],[Colonna4]]*$Q3</f>
        <v>2</v>
      </c>
      <c r="W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Row],[Colonna5]]*$Q3</f>
        <v>1.6</v>
      </c>
      <c r="X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Row],[Colonna6]]*$Q3</f>
        <v>2.8</v>
      </c>
      <c r="Y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Row],[Colonna7]]*$Q3</f>
        <v>0.8</v>
      </c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5</v>
      </c>
      <c r="H21" s="13" t="n">
        <v>8</v>
      </c>
      <c r="I21" s="13" t="n">
        <v>8</v>
      </c>
      <c r="J21" s="13"/>
      <c r="K21" s="13" t="n">
        <v>4</v>
      </c>
      <c r="L21" s="13" t="n">
        <v>5</v>
      </c>
      <c r="M21" s="13" t="n">
        <v>9</v>
      </c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Row],[Colonna1]]*$Q3</f>
        <v>2</v>
      </c>
      <c r="T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Row],[Colonna2]]*$Q3</f>
        <v>3.2</v>
      </c>
      <c r="U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Row],[Colonna3]]*$Q3</f>
        <v>3.2</v>
      </c>
      <c r="V21" s="14"/>
      <c r="W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Row],[Colonna5]]*$Q3</f>
        <v>1.6</v>
      </c>
      <c r="X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Row],[Colonna6]]*$Q3</f>
        <v>2</v>
      </c>
      <c r="Y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Row],[Colonna7]]*$Q3</f>
        <v>3.6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5</v>
      </c>
      <c r="H22" s="13" t="n">
        <v>4</v>
      </c>
      <c r="I22" s="13" t="n">
        <v>8</v>
      </c>
      <c r="J22" s="13" t="n">
        <v>9</v>
      </c>
      <c r="K22" s="13" t="n">
        <v>7</v>
      </c>
      <c r="L22" s="13" t="n">
        <v>31</v>
      </c>
      <c r="M22" s="13" t="n">
        <v>11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Row],[Colonna1]]*$Q3</f>
        <v>2</v>
      </c>
      <c r="T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Row],[Colonna2]]*$Q3</f>
        <v>1.6</v>
      </c>
      <c r="U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Row],[Colonna2]]*$Q3</f>
        <v>1.6</v>
      </c>
      <c r="V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Row],[Colonna4]]*$Q3</f>
        <v>3.6</v>
      </c>
      <c r="W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Row],[Colonna5]]*$Q3</f>
        <v>2.8</v>
      </c>
      <c r="X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Row],[Colonna6]]*$Q3</f>
        <v>12.4</v>
      </c>
      <c r="Y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Row],[Colonna7]]*$Q3</f>
        <v>4.4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1</v>
      </c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</v>
      </c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5</v>
      </c>
      <c r="H38" s="13" t="n">
        <v>7</v>
      </c>
      <c r="I38" s="13" t="n">
        <v>6</v>
      </c>
      <c r="J38" s="13" t="n">
        <v>3</v>
      </c>
      <c r="K38" s="13" t="n">
        <v>2</v>
      </c>
      <c r="L38" s="13" t="n">
        <v>1</v>
      </c>
      <c r="M38" s="13" t="n">
        <v>5</v>
      </c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Row],[Colonna1]]*$Q3</f>
        <v>2</v>
      </c>
      <c r="T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Row],[Colonna2]]*$Q3</f>
        <v>2.8</v>
      </c>
      <c r="U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Row],[Colonna2]]*$Q3</f>
        <v>2.8</v>
      </c>
      <c r="V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Row],[Colonna4]]*$Q3</f>
        <v>1.2</v>
      </c>
      <c r="W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Row],[Colonna5]]*$Q3</f>
        <v>0.8</v>
      </c>
      <c r="X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Row],[Colonna6]]*$Q3</f>
        <v>0.4</v>
      </c>
      <c r="Y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Row],[Colonna7]]*$Q3</f>
        <v>2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42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42"/>
      <c r="L44" s="13"/>
      <c r="M44" s="142"/>
      <c r="P44" s="12" t="s">
        <v>51</v>
      </c>
      <c r="Q44" s="12"/>
      <c r="R44" s="12"/>
      <c r="S44" s="14"/>
      <c r="T44" s="14"/>
      <c r="U44" s="14"/>
      <c r="V44" s="14"/>
      <c r="W44" s="14"/>
      <c r="X44" s="14"/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1</v>
      </c>
      <c r="H47" s="13"/>
      <c r="I47" s="13"/>
      <c r="J47" s="13" t="n">
        <v>1</v>
      </c>
      <c r="K47" s="13" t="n">
        <v>1</v>
      </c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/>
      <c r="I49" s="142"/>
      <c r="J49" s="142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 t="n">
        <v>10</v>
      </c>
      <c r="H50" s="13" t="n">
        <v>16</v>
      </c>
      <c r="I50" s="13" t="n">
        <v>9</v>
      </c>
      <c r="J50" s="13" t="n">
        <v>8</v>
      </c>
      <c r="K50" s="13" t="n">
        <v>4</v>
      </c>
      <c r="L50" s="13" t="n">
        <v>3</v>
      </c>
      <c r="M50" s="13" t="n">
        <v>22</v>
      </c>
      <c r="P50" s="9" t="s">
        <v>57</v>
      </c>
      <c r="Q50" s="9"/>
      <c r="R50" s="9"/>
      <c r="S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Row],[Colonna1]]*$Q3</f>
        <v>4</v>
      </c>
      <c r="T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Row],[Colonna2]]*$Q3</f>
        <v>6.4</v>
      </c>
      <c r="U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Row],[Colonna3]]*$Q3</f>
        <v>3.6</v>
      </c>
      <c r="V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Row],[Colonna4]]*$Q3</f>
        <v>3.2</v>
      </c>
      <c r="W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Row],[Colonna5]]*$Q3</f>
        <v>1.6</v>
      </c>
      <c r="X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Row],[Colonna6]]*$Q3</f>
        <v>1.2</v>
      </c>
      <c r="Y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Row],[Colonna7]]*$Q3</f>
        <v>8.8</v>
      </c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29</v>
      </c>
      <c r="H53" s="55" t="n">
        <f aca="false">SUM(H6:H52)</f>
        <v>38</v>
      </c>
      <c r="I53" s="55" t="n">
        <f aca="false">SUM(I6:I52)</f>
        <v>33</v>
      </c>
      <c r="J53" s="55" t="n">
        <f aca="false">SUM(J6:J52)</f>
        <v>26</v>
      </c>
      <c r="K53" s="55" t="n">
        <f aca="false">SUM(K6:K52)</f>
        <v>22</v>
      </c>
      <c r="L53" s="55" t="n">
        <f aca="false">SUM(L6:L52)</f>
        <v>47</v>
      </c>
      <c r="M53" s="55" t="n">
        <f aca="false">SUM(M6:M52)</f>
        <v>49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Row],[Colonna1]]*$Q3</f>
        <v>11.6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Row],[Colonna2]]*$Q3</f>
        <v>15.2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Row],[Colonna3]]*$Q3</f>
        <v>13.2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Row],[Colonna4]]*$Q3</f>
        <v>10.4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Row],[Colonna5]]*$Q3</f>
        <v>8.8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Row],[Colonna6]]*$Q3</f>
        <v>18.8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Row],[Colonna7]]*$Q3</f>
        <v>19.6</v>
      </c>
    </row>
    <row r="57" customFormat="false" ht="15" hidden="false" customHeight="false" outlineLevel="0" collapsed="false">
      <c r="D57" s="12" t="s">
        <v>61</v>
      </c>
      <c r="E57" s="12"/>
      <c r="F57" s="12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7</v>
      </c>
      <c r="H58" s="26" t="n">
        <v>9</v>
      </c>
      <c r="I58" s="26" t="n">
        <v>6</v>
      </c>
      <c r="J58" s="26"/>
      <c r="K58" s="26" t="n">
        <v>7</v>
      </c>
      <c r="L58" s="26" t="n">
        <v>2</v>
      </c>
      <c r="M58" s="26" t="n">
        <v>8</v>
      </c>
      <c r="P58" s="23" t="s">
        <v>62</v>
      </c>
      <c r="Q58" s="23"/>
      <c r="R58" s="23"/>
      <c r="S58" s="57" t="n">
        <f aca="false">G58*$Q3</f>
        <v>2.8</v>
      </c>
      <c r="T58" s="57" t="n">
        <f aca="false">H58*$Q3</f>
        <v>3.6</v>
      </c>
      <c r="U58" s="57" t="n">
        <f aca="false">I58*$Q3</f>
        <v>2.4</v>
      </c>
      <c r="V58" s="57"/>
      <c r="W58" s="57" t="n">
        <f aca="false">K58*$Q3</f>
        <v>2.8</v>
      </c>
      <c r="X58" s="57" t="n">
        <f aca="false">L58*$Q3</f>
        <v>0.8</v>
      </c>
      <c r="Y58" s="27" t="n">
        <f aca="false">M58*$Q3</f>
        <v>3.2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2</v>
      </c>
      <c r="H62" s="26" t="n">
        <v>2</v>
      </c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0.8</v>
      </c>
      <c r="T62" s="57" t="n">
        <f aca="false">H62*$Q3</f>
        <v>0.8</v>
      </c>
      <c r="U62" s="57"/>
      <c r="V62" s="57"/>
      <c r="W62" s="57"/>
      <c r="X62" s="57"/>
      <c r="Y62" s="57"/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164"/>
      <c r="I63" s="13"/>
      <c r="J63" s="26"/>
      <c r="K63" s="26"/>
      <c r="L63" s="26"/>
      <c r="M63" s="26"/>
      <c r="P63" s="9" t="s">
        <v>67</v>
      </c>
      <c r="Q63" s="9"/>
      <c r="R63" s="9"/>
      <c r="S63" s="57"/>
      <c r="T63" s="57"/>
      <c r="U63" s="57"/>
      <c r="V63" s="57"/>
      <c r="W63" s="57"/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 t="n">
        <v>3</v>
      </c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57" t="n">
        <f aca="false">H64*$Q3</f>
        <v>1.2</v>
      </c>
      <c r="U64" s="57"/>
      <c r="V64" s="57"/>
      <c r="W64" s="57"/>
      <c r="X64" s="57"/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2</v>
      </c>
      <c r="H65" s="30"/>
      <c r="I65" s="30" t="n">
        <v>3</v>
      </c>
      <c r="J65" s="26" t="n">
        <v>1</v>
      </c>
      <c r="K65" s="26"/>
      <c r="L65" s="26"/>
      <c r="M65" s="26"/>
      <c r="P65" s="9" t="s">
        <v>69</v>
      </c>
      <c r="Q65" s="9"/>
      <c r="R65" s="9"/>
      <c r="S65" s="57" t="n">
        <f aca="false">G65*$Q3</f>
        <v>0.8</v>
      </c>
      <c r="T65" s="57"/>
      <c r="U65" s="57" t="n">
        <f aca="false">I65*$Q3</f>
        <v>1.2</v>
      </c>
      <c r="V65" s="57" t="n">
        <f aca="false">J65*$Q3</f>
        <v>0.4</v>
      </c>
      <c r="W65" s="57"/>
      <c r="X65" s="5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/>
      <c r="T67" s="57"/>
      <c r="U67" s="57"/>
      <c r="V67" s="57"/>
      <c r="W67" s="57"/>
      <c r="X67" s="57"/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1</v>
      </c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 t="n">
        <f aca="false">G68*$Q3</f>
        <v>0.4</v>
      </c>
      <c r="T68" s="57"/>
      <c r="U68" s="57"/>
      <c r="V68" s="57"/>
      <c r="W68" s="57"/>
      <c r="X68" s="57"/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</v>
      </c>
      <c r="H69" s="30"/>
      <c r="I69" s="30"/>
      <c r="J69" s="30" t="n">
        <v>3</v>
      </c>
      <c r="K69" s="30" t="n">
        <v>1</v>
      </c>
      <c r="L69" s="30"/>
      <c r="M69" s="30"/>
      <c r="P69" s="9" t="s">
        <v>73</v>
      </c>
      <c r="Q69" s="9"/>
      <c r="R69" s="9"/>
      <c r="S69" s="57" t="n">
        <f aca="false">G69*$Q3</f>
        <v>0.4</v>
      </c>
      <c r="T69" s="57"/>
      <c r="U69" s="57"/>
      <c r="V69" s="57" t="n">
        <f aca="false">J69*$Q3</f>
        <v>1.2</v>
      </c>
      <c r="W69" s="57" t="n">
        <f aca="false">K69*$Q3</f>
        <v>0.4</v>
      </c>
      <c r="X69" s="57"/>
      <c r="Y69" s="5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13</v>
      </c>
      <c r="H70" s="60" t="n">
        <f aca="false">SUM(H58:H69)</f>
        <v>14</v>
      </c>
      <c r="I70" s="60" t="n">
        <f aca="false">SUM(I58:I69)</f>
        <v>9</v>
      </c>
      <c r="J70" s="60" t="n">
        <f aca="false">SUM(J58:J69)</f>
        <v>4</v>
      </c>
      <c r="K70" s="60" t="n">
        <f aca="false">SUM(K58:K69)</f>
        <v>8</v>
      </c>
      <c r="L70" s="60" t="n">
        <f aca="false">SUM(L58:L69)</f>
        <v>2</v>
      </c>
      <c r="M70" s="60" t="n">
        <f aca="false">SUM(M58:M69)</f>
        <v>8</v>
      </c>
      <c r="P70" s="9" t="s">
        <v>60</v>
      </c>
      <c r="Q70" s="9"/>
      <c r="R70" s="9"/>
      <c r="S70" s="61" t="n">
        <f aca="false">G70*$Q3</f>
        <v>5.2</v>
      </c>
      <c r="T70" s="61" t="n">
        <f aca="false">H70*$Q3</f>
        <v>5.6</v>
      </c>
      <c r="U70" s="61" t="n">
        <f aca="false">I70*$Q3</f>
        <v>3.6</v>
      </c>
      <c r="V70" s="61" t="n">
        <f aca="false">J70*$Q3</f>
        <v>1.6</v>
      </c>
      <c r="W70" s="61" t="n">
        <f aca="false">K70*$Q3</f>
        <v>3.2</v>
      </c>
      <c r="X70" s="61" t="n">
        <f aca="false">L70*$Q3</f>
        <v>0.8</v>
      </c>
      <c r="Y70" s="32" t="n">
        <f aca="false">M70*$Q3</f>
        <v>3.2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B46" colorId="64" zoomScale="100" zoomScaleNormal="100" zoomScalePageLayoutView="100" workbookViewId="0">
      <selection pane="topLeft" activeCell="D3" activeCellId="0" sqref="D3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104</v>
      </c>
      <c r="I3" s="119" t="s">
        <v>2</v>
      </c>
      <c r="J3" s="4" t="n">
        <v>45782</v>
      </c>
      <c r="K3" s="5" t="n">
        <v>45789</v>
      </c>
      <c r="L3" s="120" t="s">
        <v>3</v>
      </c>
      <c r="M3" s="3" t="n">
        <v>2025</v>
      </c>
      <c r="P3" s="7" t="s">
        <v>4</v>
      </c>
      <c r="Q3" s="7" t="n">
        <v>0.4</v>
      </c>
      <c r="S3" s="119" t="s">
        <v>0</v>
      </c>
      <c r="T3" s="3" t="s">
        <v>104</v>
      </c>
      <c r="U3" s="119" t="s">
        <v>2</v>
      </c>
      <c r="V3" s="4" t="n">
        <v>45782</v>
      </c>
      <c r="W3" s="5" t="n">
        <v>45789</v>
      </c>
      <c r="X3" s="120" t="s">
        <v>3</v>
      </c>
      <c r="Y3" s="3" t="n">
        <v>2025</v>
      </c>
    </row>
    <row r="5" customFormat="false" ht="15" hidden="false" customHeight="false" outlineLevel="0" collapsed="false">
      <c r="D5" s="12" t="s">
        <v>5</v>
      </c>
      <c r="E5" s="12"/>
      <c r="F5" s="12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16</v>
      </c>
      <c r="H7" s="13" t="n">
        <v>8</v>
      </c>
      <c r="I7" s="13" t="n">
        <v>12</v>
      </c>
      <c r="J7" s="13" t="n">
        <v>8</v>
      </c>
      <c r="K7" s="13" t="n">
        <v>4</v>
      </c>
      <c r="L7" s="13" t="n">
        <v>12</v>
      </c>
      <c r="M7" s="13" t="n">
        <v>12</v>
      </c>
      <c r="P7" s="12" t="s">
        <v>14</v>
      </c>
      <c r="Q7" s="12"/>
      <c r="R7" s="12"/>
      <c r="S7" s="14" t="n">
        <f aca="false">S6</f>
        <v>0</v>
      </c>
      <c r="T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3.2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4.8</v>
      </c>
      <c r="V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3.2</v>
      </c>
      <c r="W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1.6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4.8</v>
      </c>
      <c r="Y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4.8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9" customFormat="false" ht="15" hidden="false" customHeight="false" outlineLevel="0" collapsed="false">
      <c r="D9" s="12" t="s">
        <v>16</v>
      </c>
      <c r="E9" s="12"/>
      <c r="F9" s="12"/>
      <c r="G9" s="13" t="n">
        <v>4</v>
      </c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1.6</v>
      </c>
      <c r="T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4</v>
      </c>
      <c r="H10" s="13" t="n">
        <v>8</v>
      </c>
      <c r="I10" s="13"/>
      <c r="J10" s="13"/>
      <c r="K10" s="13"/>
      <c r="L10" s="13"/>
      <c r="M10" s="13"/>
      <c r="P10" s="12" t="s">
        <v>17</v>
      </c>
      <c r="Q10" s="12"/>
      <c r="R10" s="12"/>
      <c r="S1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1.6</v>
      </c>
      <c r="T1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3.2</v>
      </c>
      <c r="U1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1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1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1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1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13" customFormat="false" ht="15" hidden="false" customHeight="false" outlineLevel="0" collapsed="false">
      <c r="D13" s="12" t="s">
        <v>20</v>
      </c>
      <c r="E13" s="12"/>
      <c r="F13" s="12"/>
      <c r="G13" s="13" t="n">
        <v>76</v>
      </c>
      <c r="H13" s="13"/>
      <c r="I13" s="13"/>
      <c r="J13" s="13" t="n">
        <v>19</v>
      </c>
      <c r="K13" s="13"/>
      <c r="L13" s="13"/>
      <c r="M13" s="13"/>
      <c r="P13" s="12" t="s">
        <v>20</v>
      </c>
      <c r="Q13" s="12"/>
      <c r="R13" s="12"/>
      <c r="S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30.4</v>
      </c>
      <c r="T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7.6</v>
      </c>
      <c r="W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1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1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1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1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1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1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1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1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1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1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1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1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19" customFormat="false" ht="15" hidden="false" customHeight="false" outlineLevel="0" collapsed="false">
      <c r="D19" s="9" t="s">
        <v>26</v>
      </c>
      <c r="E19" s="9"/>
      <c r="F19" s="9"/>
      <c r="G19" s="13" t="n">
        <v>32</v>
      </c>
      <c r="H19" s="13" t="n">
        <v>8</v>
      </c>
      <c r="I19" s="13" t="n">
        <v>16</v>
      </c>
      <c r="J19" s="13" t="n">
        <v>4</v>
      </c>
      <c r="K19" s="13" t="n">
        <v>4</v>
      </c>
      <c r="L19" s="13" t="n">
        <v>4</v>
      </c>
      <c r="M19" s="13"/>
      <c r="P19" s="9" t="s">
        <v>26</v>
      </c>
      <c r="Q19" s="9"/>
      <c r="R19" s="9"/>
      <c r="S1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12.8</v>
      </c>
      <c r="T1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3.2</v>
      </c>
      <c r="U1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6.4</v>
      </c>
      <c r="V1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1.6</v>
      </c>
      <c r="W1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1.6</v>
      </c>
      <c r="X1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1.6</v>
      </c>
      <c r="Y1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2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2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2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2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2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2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 t="n">
        <v>12</v>
      </c>
      <c r="I22" s="13" t="n">
        <v>4</v>
      </c>
      <c r="J22" s="13"/>
      <c r="K22" s="13" t="n">
        <v>8</v>
      </c>
      <c r="L22" s="13" t="n">
        <v>12</v>
      </c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4.8</v>
      </c>
      <c r="U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4.8</v>
      </c>
      <c r="V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3.2</v>
      </c>
      <c r="X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4.8</v>
      </c>
      <c r="Y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2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2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2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2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2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2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2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2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2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2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2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2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8</v>
      </c>
      <c r="H27" s="13" t="n">
        <v>16</v>
      </c>
      <c r="I27" s="166" t="n">
        <v>4</v>
      </c>
      <c r="J27" s="136" t="n">
        <v>4</v>
      </c>
      <c r="K27" s="13"/>
      <c r="L27" s="13"/>
      <c r="M27" s="13"/>
      <c r="P27" s="12" t="s">
        <v>34</v>
      </c>
      <c r="Q27" s="12"/>
      <c r="R27" s="12"/>
      <c r="S2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3.2</v>
      </c>
      <c r="T2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6.4</v>
      </c>
      <c r="U2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1.6</v>
      </c>
      <c r="V2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1.6</v>
      </c>
      <c r="W2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2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2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20</v>
      </c>
      <c r="H28" s="13" t="n">
        <v>24</v>
      </c>
      <c r="I28" s="13" t="n">
        <v>32</v>
      </c>
      <c r="J28" s="13" t="n">
        <v>36</v>
      </c>
      <c r="K28" s="13" t="n">
        <v>16</v>
      </c>
      <c r="L28" s="13" t="n">
        <v>4</v>
      </c>
      <c r="M28" s="13" t="n">
        <v>12</v>
      </c>
      <c r="P28" s="12" t="s">
        <v>35</v>
      </c>
      <c r="Q28" s="12"/>
      <c r="R28" s="12"/>
      <c r="S2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8</v>
      </c>
      <c r="T2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9.6</v>
      </c>
      <c r="U2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12.8</v>
      </c>
      <c r="V2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14.4</v>
      </c>
      <c r="W2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6.4</v>
      </c>
      <c r="X2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1.6</v>
      </c>
      <c r="Y2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4.8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56</v>
      </c>
      <c r="H29" s="13" t="n">
        <v>100</v>
      </c>
      <c r="I29" s="13" t="n">
        <v>96</v>
      </c>
      <c r="J29" s="13" t="n">
        <v>108</v>
      </c>
      <c r="K29" s="13" t="n">
        <v>112</v>
      </c>
      <c r="L29" s="13" t="n">
        <v>44</v>
      </c>
      <c r="M29" s="13" t="n">
        <v>92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22.4</v>
      </c>
      <c r="T2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40</v>
      </c>
      <c r="U2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38.4</v>
      </c>
      <c r="V2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43.2</v>
      </c>
      <c r="W2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44.8</v>
      </c>
      <c r="X2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17.6</v>
      </c>
      <c r="Y2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36.8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76</v>
      </c>
      <c r="H38" s="13" t="n">
        <v>24</v>
      </c>
      <c r="I38" s="13" t="n">
        <v>64</v>
      </c>
      <c r="J38" s="13" t="n">
        <v>52</v>
      </c>
      <c r="K38" s="13" t="n">
        <v>40</v>
      </c>
      <c r="L38" s="13" t="n">
        <v>24</v>
      </c>
      <c r="M38" s="13" t="n">
        <v>8</v>
      </c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30.4</v>
      </c>
      <c r="T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9.6</v>
      </c>
      <c r="U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25.6</v>
      </c>
      <c r="V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20.8</v>
      </c>
      <c r="W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16</v>
      </c>
      <c r="X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9.6</v>
      </c>
      <c r="Y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3.2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40" customFormat="false" ht="15" hidden="false" customHeight="false" outlineLevel="0" collapsed="false">
      <c r="D40" s="12" t="s">
        <v>47</v>
      </c>
      <c r="E40" s="12"/>
      <c r="F40" s="12"/>
      <c r="G40" s="13" t="n">
        <v>24</v>
      </c>
      <c r="H40" s="13" t="n">
        <v>16</v>
      </c>
      <c r="I40" s="13" t="n">
        <v>4</v>
      </c>
      <c r="J40" s="13" t="n">
        <v>4</v>
      </c>
      <c r="K40" s="13" t="n">
        <v>8</v>
      </c>
      <c r="L40" s="13" t="n">
        <v>4</v>
      </c>
      <c r="M40" s="13"/>
      <c r="P40" s="12" t="s">
        <v>47</v>
      </c>
      <c r="Q40" s="12"/>
      <c r="R40" s="12"/>
      <c r="S4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9.6</v>
      </c>
      <c r="T4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6.4</v>
      </c>
      <c r="U4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1.6</v>
      </c>
      <c r="V4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1.6</v>
      </c>
      <c r="W4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3.2</v>
      </c>
      <c r="X4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1.6</v>
      </c>
      <c r="Y4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16</v>
      </c>
      <c r="H41" s="13"/>
      <c r="I41" s="13" t="n">
        <v>16</v>
      </c>
      <c r="J41" s="13" t="n">
        <v>8</v>
      </c>
      <c r="K41" s="13" t="n">
        <v>12</v>
      </c>
      <c r="L41" s="13"/>
      <c r="M41" s="13" t="n">
        <v>16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6.4</v>
      </c>
      <c r="T4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4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6.4</v>
      </c>
      <c r="V4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3.2</v>
      </c>
      <c r="W4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4.8</v>
      </c>
      <c r="X4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4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6.4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42"/>
      <c r="K42" s="13"/>
      <c r="L42" s="13"/>
      <c r="M42" s="13"/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42"/>
      <c r="L44" s="13"/>
      <c r="M44" s="142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 t="n">
        <v>12</v>
      </c>
      <c r="I45" s="13" t="n">
        <v>8</v>
      </c>
      <c r="J45" s="13" t="n">
        <v>4</v>
      </c>
      <c r="K45" s="13"/>
      <c r="L45" s="13" t="n">
        <v>4</v>
      </c>
      <c r="M45" s="13"/>
      <c r="P45" s="18" t="s">
        <v>52</v>
      </c>
      <c r="Q45" s="18"/>
      <c r="R45" s="18"/>
      <c r="S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4.8</v>
      </c>
      <c r="U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3.2</v>
      </c>
      <c r="V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1.6</v>
      </c>
      <c r="W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1.6</v>
      </c>
      <c r="Y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/>
      <c r="I49" s="142"/>
      <c r="J49" s="142"/>
      <c r="K49" s="13"/>
      <c r="L49" s="13"/>
      <c r="M49" s="13"/>
      <c r="P49" s="18" t="s">
        <v>56</v>
      </c>
      <c r="Q49" s="18"/>
      <c r="R49" s="18"/>
      <c r="S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16</v>
      </c>
      <c r="H52" s="13" t="n">
        <v>12</v>
      </c>
      <c r="I52" s="13" t="n">
        <v>12</v>
      </c>
      <c r="J52" s="13" t="n">
        <v>16</v>
      </c>
      <c r="K52" s="13" t="n">
        <v>12</v>
      </c>
      <c r="L52" s="13" t="n">
        <v>4</v>
      </c>
      <c r="M52" s="13" t="n">
        <v>32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6.4</v>
      </c>
      <c r="T5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4.8</v>
      </c>
      <c r="U5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4.8</v>
      </c>
      <c r="V5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6.4</v>
      </c>
      <c r="W5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4.8</v>
      </c>
      <c r="X5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1.6</v>
      </c>
      <c r="Y5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12.8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348</v>
      </c>
      <c r="H53" s="55" t="n">
        <f aca="false">SUM(H6:H52)</f>
        <v>240</v>
      </c>
      <c r="I53" s="55" t="n">
        <f aca="false">SUM(I6:I52)</f>
        <v>268</v>
      </c>
      <c r="J53" s="55" t="n">
        <f aca="false">SUM(J6:J52)</f>
        <v>263</v>
      </c>
      <c r="K53" s="55" t="n">
        <f aca="false">SUM(K6:K52)</f>
        <v>216</v>
      </c>
      <c r="L53" s="55" t="n">
        <f aca="false">SUM(L6:L52)</f>
        <v>112</v>
      </c>
      <c r="M53" s="55" t="n">
        <f aca="false">SUM(M6:M52)</f>
        <v>172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139.2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96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107.2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105.2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86.4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44.8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68.8</v>
      </c>
    </row>
    <row r="57" customFormat="false" ht="15" hidden="false" customHeight="false" outlineLevel="0" collapsed="false">
      <c r="D57" s="12" t="s">
        <v>61</v>
      </c>
      <c r="E57" s="12"/>
      <c r="F57" s="12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4</v>
      </c>
      <c r="H58" s="26" t="n">
        <v>16</v>
      </c>
      <c r="I58" s="26" t="n">
        <v>12</v>
      </c>
      <c r="J58" s="26" t="n">
        <v>44</v>
      </c>
      <c r="K58" s="26" t="n">
        <v>64</v>
      </c>
      <c r="L58" s="26" t="n">
        <v>76</v>
      </c>
      <c r="M58" s="26" t="n">
        <v>56</v>
      </c>
      <c r="P58" s="23" t="s">
        <v>62</v>
      </c>
      <c r="Q58" s="23"/>
      <c r="R58" s="23"/>
      <c r="S58" s="57" t="n">
        <f aca="false">G58*$Q3</f>
        <v>1.6</v>
      </c>
      <c r="T58" s="57" t="n">
        <f aca="false">H58*$Q3</f>
        <v>6.4</v>
      </c>
      <c r="U58" s="57" t="n">
        <f aca="false">I58*$Q3</f>
        <v>4.8</v>
      </c>
      <c r="V58" s="57" t="n">
        <f aca="false">J58*$Q3</f>
        <v>17.6</v>
      </c>
      <c r="W58" s="57" t="n">
        <f aca="false">K58*$Q3</f>
        <v>25.6</v>
      </c>
      <c r="X58" s="57" t="n">
        <f aca="false">L58*$Q3</f>
        <v>30.4</v>
      </c>
      <c r="Y58" s="27" t="n">
        <f aca="false">M58*$Q3</f>
        <v>22.4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 t="n">
        <f aca="false">G59*$Q3</f>
        <v>0</v>
      </c>
      <c r="T59" s="57" t="n">
        <f aca="false">H59*$Q3</f>
        <v>0</v>
      </c>
      <c r="U59" s="57" t="n">
        <f aca="false">I59*$Q3</f>
        <v>0</v>
      </c>
      <c r="V59" s="57" t="n">
        <f aca="false">J59*$Q3</f>
        <v>0</v>
      </c>
      <c r="W59" s="57" t="n">
        <f aca="false">K59*$Q3</f>
        <v>0</v>
      </c>
      <c r="X59" s="57" t="n">
        <f aca="false">L59*$Q3</f>
        <v>0</v>
      </c>
      <c r="Y59" s="57" t="n">
        <f aca="false">M59*$Q3</f>
        <v>0</v>
      </c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 t="n">
        <f aca="false">G60*$Q3</f>
        <v>0</v>
      </c>
      <c r="T60" s="57" t="n">
        <f aca="false">H60*$Q3</f>
        <v>0</v>
      </c>
      <c r="U60" s="57" t="n">
        <f aca="false">I60*$Q3</f>
        <v>0</v>
      </c>
      <c r="V60" s="57" t="n">
        <f aca="false">J60*$Q3</f>
        <v>0</v>
      </c>
      <c r="W60" s="57" t="n">
        <f aca="false">K60*$Q3</f>
        <v>0</v>
      </c>
      <c r="X60" s="57" t="n">
        <f aca="false">L60*$Q3</f>
        <v>0</v>
      </c>
      <c r="Y60" s="57" t="n">
        <f aca="false">M60*$Q3</f>
        <v>0</v>
      </c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 t="n">
        <f aca="false">G61*$Q3</f>
        <v>0</v>
      </c>
      <c r="T61" s="57" t="n">
        <f aca="false">H61*$Q3</f>
        <v>0</v>
      </c>
      <c r="U61" s="57" t="n">
        <f aca="false">I61*$Q3</f>
        <v>0</v>
      </c>
      <c r="V61" s="57" t="n">
        <f aca="false">J61*$Q3</f>
        <v>0</v>
      </c>
      <c r="W61" s="57" t="n">
        <f aca="false">K61*$Q3</f>
        <v>0</v>
      </c>
      <c r="X61" s="57" t="n">
        <f aca="false">L61*$Q3</f>
        <v>0</v>
      </c>
      <c r="Y61" s="57" t="n">
        <f aca="false">M61*$Q3</f>
        <v>0</v>
      </c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8</v>
      </c>
      <c r="H62" s="26" t="n">
        <v>4</v>
      </c>
      <c r="I62" s="26" t="n">
        <v>16</v>
      </c>
      <c r="J62" s="26" t="n">
        <v>16</v>
      </c>
      <c r="K62" s="26" t="n">
        <v>40</v>
      </c>
      <c r="L62" s="26" t="n">
        <v>48</v>
      </c>
      <c r="M62" s="26" t="n">
        <v>80</v>
      </c>
      <c r="P62" s="9" t="s">
        <v>66</v>
      </c>
      <c r="Q62" s="9"/>
      <c r="R62" s="9"/>
      <c r="S62" s="57" t="n">
        <f aca="false">G62*$Q3</f>
        <v>3.2</v>
      </c>
      <c r="T62" s="57" t="n">
        <f aca="false">H62*$Q3</f>
        <v>1.6</v>
      </c>
      <c r="U62" s="57" t="n">
        <f aca="false">I62*$Q3</f>
        <v>6.4</v>
      </c>
      <c r="V62" s="57" t="n">
        <f aca="false">J62*$Q3</f>
        <v>6.4</v>
      </c>
      <c r="W62" s="57" t="n">
        <f aca="false">K62*$Q3</f>
        <v>16</v>
      </c>
      <c r="X62" s="57" t="n">
        <f aca="false">L62*$Q3</f>
        <v>19.2</v>
      </c>
      <c r="Y62" s="57" t="n">
        <f aca="false">M62*$Q3</f>
        <v>32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164"/>
      <c r="I63" s="13"/>
      <c r="J63" s="26" t="n">
        <v>8</v>
      </c>
      <c r="K63" s="26" t="n">
        <v>4</v>
      </c>
      <c r="L63" s="26"/>
      <c r="M63" s="26"/>
      <c r="P63" s="9" t="s">
        <v>67</v>
      </c>
      <c r="Q63" s="9"/>
      <c r="R63" s="9"/>
      <c r="S63" s="57" t="n">
        <f aca="false">G63*$Q3</f>
        <v>0</v>
      </c>
      <c r="T63" s="57" t="n">
        <f aca="false">H63*$Q3</f>
        <v>0</v>
      </c>
      <c r="U63" s="57" t="n">
        <f aca="false">I63*$Q3</f>
        <v>0</v>
      </c>
      <c r="V63" s="57" t="n">
        <f aca="false">J63*$Q3</f>
        <v>3.2</v>
      </c>
      <c r="W63" s="57" t="n">
        <f aca="false">K63*$Q3</f>
        <v>1.6</v>
      </c>
      <c r="X63" s="57" t="n">
        <f aca="false">L63*$Q3</f>
        <v>0</v>
      </c>
      <c r="Y63" s="57" t="n">
        <f aca="false">M63*$Q3</f>
        <v>0</v>
      </c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</v>
      </c>
      <c r="U64" s="57" t="n">
        <f aca="false">I64*$Q3</f>
        <v>0</v>
      </c>
      <c r="V64" s="57" t="n">
        <f aca="false">J64*$Q3</f>
        <v>0</v>
      </c>
      <c r="W64" s="57" t="n">
        <f aca="false">K64*$Q3</f>
        <v>0</v>
      </c>
      <c r="X64" s="57" t="n">
        <f aca="false">L64*$Q3</f>
        <v>0</v>
      </c>
      <c r="Y64" s="57" t="n">
        <f aca="false">M64*$Q3</f>
        <v>0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 t="n">
        <v>8</v>
      </c>
      <c r="I65" s="30" t="n">
        <v>12</v>
      </c>
      <c r="J65" s="26" t="n">
        <v>4</v>
      </c>
      <c r="K65" s="26"/>
      <c r="L65" s="26"/>
      <c r="M65" s="26"/>
      <c r="P65" s="9" t="s">
        <v>69</v>
      </c>
      <c r="Q65" s="9"/>
      <c r="R65" s="9"/>
      <c r="S65" s="57" t="n">
        <f aca="false">G65*$Q3</f>
        <v>0</v>
      </c>
      <c r="T65" s="57" t="n">
        <f aca="false">H65*$Q3</f>
        <v>3.2</v>
      </c>
      <c r="U65" s="57" t="n">
        <f aca="false">I65*$Q3</f>
        <v>4.8</v>
      </c>
      <c r="V65" s="57" t="n">
        <f aca="false">J65*$Q3</f>
        <v>1.6</v>
      </c>
      <c r="W65" s="57" t="n">
        <f aca="false">K65*$Q3</f>
        <v>0</v>
      </c>
      <c r="X65" s="57" t="n">
        <f aca="false">L65*$Q3</f>
        <v>0</v>
      </c>
      <c r="Y65" s="57" t="n">
        <f aca="false">M65*$Q3</f>
        <v>0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 t="n">
        <v>4</v>
      </c>
      <c r="P66" s="9" t="s">
        <v>70</v>
      </c>
      <c r="Q66" s="9"/>
      <c r="R66" s="9"/>
      <c r="S66" s="57" t="n">
        <f aca="false">G66*$Q3</f>
        <v>0</v>
      </c>
      <c r="T66" s="57" t="n">
        <f aca="false">H66*$Q3</f>
        <v>0</v>
      </c>
      <c r="U66" s="57" t="n">
        <f aca="false">I66*$Q3</f>
        <v>0</v>
      </c>
      <c r="V66" s="57" t="n">
        <f aca="false">J66*$Q3</f>
        <v>0</v>
      </c>
      <c r="W66" s="57" t="n">
        <f aca="false">K66*$Q3</f>
        <v>0</v>
      </c>
      <c r="X66" s="57" t="n">
        <f aca="false">L66*$Q3</f>
        <v>0</v>
      </c>
      <c r="Y66" s="57" t="n">
        <f aca="false">M66*$Q3</f>
        <v>1.6</v>
      </c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4</v>
      </c>
      <c r="H67" s="139"/>
      <c r="I67" s="139" t="n">
        <v>4</v>
      </c>
      <c r="J67" s="26" t="n">
        <v>4</v>
      </c>
      <c r="K67" s="26" t="n">
        <v>4</v>
      </c>
      <c r="L67" s="26"/>
      <c r="M67" s="26" t="n">
        <v>8</v>
      </c>
      <c r="P67" s="9" t="s">
        <v>71</v>
      </c>
      <c r="Q67" s="9"/>
      <c r="R67" s="9"/>
      <c r="S67" s="57" t="n">
        <f aca="false">G67*$Q3</f>
        <v>1.6</v>
      </c>
      <c r="T67" s="57" t="n">
        <f aca="false">H67*$Q3</f>
        <v>0</v>
      </c>
      <c r="U67" s="57" t="n">
        <f aca="false">I67*$Q3</f>
        <v>1.6</v>
      </c>
      <c r="V67" s="57" t="n">
        <f aca="false">J67*$Q3</f>
        <v>1.6</v>
      </c>
      <c r="W67" s="57" t="n">
        <f aca="false">K67*$Q3</f>
        <v>1.6</v>
      </c>
      <c r="X67" s="57" t="n">
        <f aca="false">L67*$Q3</f>
        <v>0</v>
      </c>
      <c r="Y67" s="57" t="n">
        <f aca="false">M67*$Q3</f>
        <v>3.2</v>
      </c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20</v>
      </c>
      <c r="H68" s="30" t="n">
        <v>32</v>
      </c>
      <c r="I68" s="30" t="n">
        <v>12</v>
      </c>
      <c r="J68" s="30"/>
      <c r="K68" s="30"/>
      <c r="L68" s="30"/>
      <c r="M68" s="30"/>
      <c r="P68" s="9" t="s">
        <v>72</v>
      </c>
      <c r="Q68" s="9"/>
      <c r="R68" s="9"/>
      <c r="S68" s="57" t="n">
        <f aca="false">G68*$Q3</f>
        <v>8</v>
      </c>
      <c r="T68" s="57" t="n">
        <f aca="false">H68*$Q3</f>
        <v>12.8</v>
      </c>
      <c r="U68" s="57" t="n">
        <f aca="false">I68*$Q3</f>
        <v>4.8</v>
      </c>
      <c r="V68" s="57" t="n">
        <f aca="false">J68*$Q3</f>
        <v>0</v>
      </c>
      <c r="W68" s="57" t="n">
        <f aca="false">K68*$Q3</f>
        <v>0</v>
      </c>
      <c r="X68" s="57" t="n">
        <f aca="false">L68*$Q3</f>
        <v>0</v>
      </c>
      <c r="Y68" s="57" t="n">
        <f aca="false">M68*$Q3</f>
        <v>0</v>
      </c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 t="n">
        <v>8</v>
      </c>
      <c r="I69" s="30"/>
      <c r="J69" s="30"/>
      <c r="K69" s="30"/>
      <c r="L69" s="30" t="n">
        <v>20</v>
      </c>
      <c r="M69" s="30" t="n">
        <v>12</v>
      </c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3.2</v>
      </c>
      <c r="U69" s="57" t="n">
        <f aca="false">I69*$Q3</f>
        <v>0</v>
      </c>
      <c r="V69" s="57" t="n">
        <f aca="false">J69*$Q3</f>
        <v>0</v>
      </c>
      <c r="W69" s="57" t="n">
        <f aca="false">K69*$Q3</f>
        <v>0</v>
      </c>
      <c r="X69" s="57" t="n">
        <f aca="false">L69*$Q3</f>
        <v>8</v>
      </c>
      <c r="Y69" s="57" t="n">
        <f aca="false">M69*$Q3</f>
        <v>4.8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36</v>
      </c>
      <c r="H70" s="60" t="n">
        <f aca="false">SUM(H58:H69)</f>
        <v>68</v>
      </c>
      <c r="I70" s="60" t="n">
        <f aca="false">SUM(I58:I69)</f>
        <v>56</v>
      </c>
      <c r="J70" s="60" t="n">
        <f aca="false">SUM(J58:J69)</f>
        <v>76</v>
      </c>
      <c r="K70" s="60" t="n">
        <f aca="false">SUM(K58:K69)</f>
        <v>112</v>
      </c>
      <c r="L70" s="60" t="n">
        <f aca="false">SUM(L58:L69)</f>
        <v>144</v>
      </c>
      <c r="M70" s="60" t="n">
        <f aca="false">SUM(M58:M69)</f>
        <v>160</v>
      </c>
      <c r="P70" s="9" t="s">
        <v>60</v>
      </c>
      <c r="Q70" s="9"/>
      <c r="R70" s="9"/>
      <c r="S70" s="61" t="n">
        <f aca="false">G70*$Q3</f>
        <v>14.4</v>
      </c>
      <c r="T70" s="61" t="n">
        <f aca="false">H70*$Q3</f>
        <v>27.2</v>
      </c>
      <c r="U70" s="61" t="n">
        <f aca="false">I70*$Q3</f>
        <v>22.4</v>
      </c>
      <c r="V70" s="61" t="n">
        <f aca="false">J70*$Q3</f>
        <v>30.4</v>
      </c>
      <c r="W70" s="61" t="n">
        <f aca="false">K70*$Q3</f>
        <v>44.8</v>
      </c>
      <c r="X70" s="61" t="n">
        <f aca="false">L70*$Q3</f>
        <v>57.6</v>
      </c>
      <c r="Y70" s="32" t="n">
        <f aca="false">M70*$Q3</f>
        <v>64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AA83"/>
  <sheetViews>
    <sheetView showFormulas="false" showGridLines="true" showRowColHeaders="true" showZeros="true" rightToLeft="false" tabSelected="false" showOutlineSymbols="true" defaultGridColor="true" view="normal" topLeftCell="A58" colorId="64" zoomScale="100" zoomScaleNormal="100" zoomScalePageLayoutView="100" workbookViewId="0">
      <selection pane="topLeft" activeCell="P57" activeCellId="0" sqref="P57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104</v>
      </c>
      <c r="I3" s="119" t="s">
        <v>2</v>
      </c>
      <c r="J3" s="4" t="n">
        <v>45789</v>
      </c>
      <c r="K3" s="5" t="n">
        <v>45796</v>
      </c>
      <c r="L3" s="120" t="s">
        <v>3</v>
      </c>
      <c r="M3" s="3" t="n">
        <v>2025</v>
      </c>
      <c r="P3" s="168" t="s">
        <v>4</v>
      </c>
      <c r="Q3" s="168" t="n">
        <v>0.4</v>
      </c>
      <c r="S3" s="119" t="s">
        <v>0</v>
      </c>
      <c r="T3" s="3" t="s">
        <v>104</v>
      </c>
      <c r="U3" s="119" t="s">
        <v>2</v>
      </c>
      <c r="V3" s="4" t="n">
        <v>45789</v>
      </c>
      <c r="W3" s="5" t="n">
        <v>45796</v>
      </c>
      <c r="X3" s="120" t="s">
        <v>3</v>
      </c>
      <c r="Y3" s="3" t="n">
        <v>2025</v>
      </c>
    </row>
    <row r="5" customFormat="false" ht="15" hidden="false" customHeight="false" outlineLevel="0" collapsed="false">
      <c r="D5" s="169" t="s">
        <v>5</v>
      </c>
      <c r="E5" s="169"/>
      <c r="F5" s="169"/>
      <c r="G5" s="170" t="s">
        <v>6</v>
      </c>
      <c r="H5" s="170" t="s">
        <v>7</v>
      </c>
      <c r="I5" s="170" t="s">
        <v>8</v>
      </c>
      <c r="J5" s="170" t="s">
        <v>9</v>
      </c>
      <c r="K5" s="170" t="s">
        <v>10</v>
      </c>
      <c r="L5" s="170" t="s">
        <v>11</v>
      </c>
      <c r="M5" s="170" t="s">
        <v>12</v>
      </c>
      <c r="P5" s="169" t="s">
        <v>5</v>
      </c>
      <c r="Q5" s="169"/>
      <c r="R5" s="169"/>
      <c r="S5" s="170" t="s">
        <v>6</v>
      </c>
      <c r="T5" s="170" t="s">
        <v>7</v>
      </c>
      <c r="U5" s="170" t="s">
        <v>8</v>
      </c>
      <c r="V5" s="170" t="s">
        <v>9</v>
      </c>
      <c r="W5" s="170" t="s">
        <v>10</v>
      </c>
      <c r="X5" s="170" t="s">
        <v>11</v>
      </c>
      <c r="Y5" s="170" t="s">
        <v>12</v>
      </c>
      <c r="AA5" s="171" t="s">
        <v>111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6" s="87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5</v>
      </c>
      <c r="H7" s="13" t="n">
        <v>1</v>
      </c>
      <c r="I7" s="13" t="n">
        <v>0</v>
      </c>
      <c r="J7" s="13" t="n">
        <v>1</v>
      </c>
      <c r="K7" s="13" t="n">
        <v>2</v>
      </c>
      <c r="L7" s="13" t="n">
        <v>0</v>
      </c>
      <c r="M7" s="13" t="n">
        <v>1</v>
      </c>
      <c r="P7" s="12" t="s">
        <v>14</v>
      </c>
      <c r="Q7" s="12"/>
      <c r="R7" s="12"/>
      <c r="S7" s="14" t="n">
        <f aca="false">S6</f>
        <v>0</v>
      </c>
      <c r="T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0.4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0.4</v>
      </c>
      <c r="W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0.8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0.4</v>
      </c>
      <c r="AA7" s="87" t="n">
        <f aca="false">AVERAGE(S7:Y7)</f>
        <v>0.285714285714286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8" s="87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 t="n">
        <v>1</v>
      </c>
      <c r="M9" s="13"/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0.4</v>
      </c>
      <c r="Y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9" s="87" t="n">
        <f aca="false">AVERAGE(S9:Y9)</f>
        <v>0.0571428571428572</v>
      </c>
    </row>
    <row r="10" customFormat="false" ht="15" hidden="false" customHeight="false" outlineLevel="0" collapsed="false">
      <c r="D10" s="172" t="s">
        <v>17</v>
      </c>
      <c r="E10" s="172"/>
      <c r="F10" s="172"/>
      <c r="G10" s="173"/>
      <c r="H10" s="173"/>
      <c r="I10" s="173"/>
      <c r="J10" s="173" t="n">
        <v>1</v>
      </c>
      <c r="K10" s="173"/>
      <c r="L10" s="173" t="n">
        <v>1</v>
      </c>
      <c r="M10" s="173" t="n">
        <v>2</v>
      </c>
      <c r="P10" s="172" t="s">
        <v>17</v>
      </c>
      <c r="Q10" s="172"/>
      <c r="R10" s="172"/>
      <c r="S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0.4</v>
      </c>
      <c r="W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0.4</v>
      </c>
      <c r="Y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0.8</v>
      </c>
      <c r="AA10" s="87" t="n">
        <f aca="false">AVERAGE(S10:Y10)</f>
        <v>0.228571428571429</v>
      </c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11" s="87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12" s="87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13" s="87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14" s="87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15" s="87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16" s="87"/>
    </row>
    <row r="17" customFormat="false" ht="15" hidden="false" customHeight="false" outlineLevel="0" collapsed="false">
      <c r="D17" s="175" t="s">
        <v>112</v>
      </c>
      <c r="E17" s="175"/>
      <c r="F17" s="175"/>
      <c r="G17" s="173"/>
      <c r="H17" s="173"/>
      <c r="I17" s="173" t="n">
        <v>4</v>
      </c>
      <c r="J17" s="173" t="n">
        <v>1</v>
      </c>
      <c r="K17" s="173" t="n">
        <v>1</v>
      </c>
      <c r="L17" s="173" t="n">
        <v>2</v>
      </c>
      <c r="M17" s="173" t="n">
        <v>3</v>
      </c>
      <c r="P17" s="175" t="s">
        <v>24</v>
      </c>
      <c r="Q17" s="175"/>
      <c r="R17" s="175"/>
      <c r="S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1.6</v>
      </c>
      <c r="V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0.4</v>
      </c>
      <c r="W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0.4</v>
      </c>
      <c r="X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0.8</v>
      </c>
      <c r="Y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1.2</v>
      </c>
      <c r="AA17" s="87"/>
    </row>
    <row r="18" customFormat="false" ht="15" hidden="false" customHeight="false" outlineLevel="0" collapsed="false">
      <c r="D18" s="172" t="s">
        <v>25</v>
      </c>
      <c r="E18" s="172"/>
      <c r="F18" s="172"/>
      <c r="G18" s="173"/>
      <c r="H18" s="173"/>
      <c r="I18" s="173"/>
      <c r="J18" s="173"/>
      <c r="K18" s="173"/>
      <c r="L18" s="173"/>
      <c r="M18" s="173"/>
      <c r="P18" s="172" t="s">
        <v>25</v>
      </c>
      <c r="Q18" s="172"/>
      <c r="R18" s="172"/>
      <c r="S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18" s="87" t="n">
        <f aca="false">AVERAGE(S18:Y18)</f>
        <v>0</v>
      </c>
    </row>
    <row r="19" customFormat="false" ht="15" hidden="false" customHeight="false" outlineLevel="0" collapsed="false">
      <c r="D19" s="176" t="s">
        <v>26</v>
      </c>
      <c r="E19" s="176"/>
      <c r="F19" s="176"/>
      <c r="G19" s="173"/>
      <c r="H19" s="173"/>
      <c r="I19" s="173" t="n">
        <v>3</v>
      </c>
      <c r="J19" s="173" t="n">
        <v>1</v>
      </c>
      <c r="K19" s="173" t="n">
        <v>1</v>
      </c>
      <c r="L19" s="173" t="n">
        <v>2</v>
      </c>
      <c r="M19" s="173" t="n">
        <v>3</v>
      </c>
      <c r="P19" s="176" t="s">
        <v>26</v>
      </c>
      <c r="Q19" s="176"/>
      <c r="R19" s="176"/>
      <c r="S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1.2</v>
      </c>
      <c r="V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0.4</v>
      </c>
      <c r="W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0.4</v>
      </c>
      <c r="X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0.8</v>
      </c>
      <c r="Y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1.2</v>
      </c>
      <c r="AA19" s="87" t="n">
        <f aca="false">AVERAGE(S19:Y19)</f>
        <v>0.571428571428571</v>
      </c>
    </row>
    <row r="20" customFormat="false" ht="15" hidden="false" customHeight="false" outlineLevel="0" collapsed="false">
      <c r="D20" s="176" t="s">
        <v>27</v>
      </c>
      <c r="E20" s="176"/>
      <c r="F20" s="176"/>
      <c r="G20" s="173"/>
      <c r="H20" s="173"/>
      <c r="I20" s="173" t="n">
        <v>1</v>
      </c>
      <c r="J20" s="173"/>
      <c r="K20" s="173"/>
      <c r="L20" s="173"/>
      <c r="M20" s="173"/>
      <c r="P20" s="176" t="s">
        <v>27</v>
      </c>
      <c r="Q20" s="176"/>
      <c r="R20" s="176"/>
      <c r="S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0.4</v>
      </c>
      <c r="V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20" s="87" t="n">
        <f aca="false">AVERAGE(S20:Y20)</f>
        <v>0.0571428571428572</v>
      </c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21" s="87"/>
    </row>
    <row r="22" customFormat="false" ht="15" hidden="false" customHeight="false" outlineLevel="0" collapsed="false">
      <c r="D22" s="172" t="s">
        <v>29</v>
      </c>
      <c r="E22" s="172"/>
      <c r="F22" s="172"/>
      <c r="G22" s="173" t="n">
        <v>10</v>
      </c>
      <c r="H22" s="173" t="n">
        <v>1</v>
      </c>
      <c r="I22" s="173" t="n">
        <v>3</v>
      </c>
      <c r="J22" s="173" t="n">
        <v>3</v>
      </c>
      <c r="K22" s="173" t="n">
        <v>1</v>
      </c>
      <c r="L22" s="173"/>
      <c r="M22" s="173" t="n">
        <v>1</v>
      </c>
      <c r="P22" s="172" t="s">
        <v>29</v>
      </c>
      <c r="Q22" s="172"/>
      <c r="R22" s="172"/>
      <c r="S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4</v>
      </c>
      <c r="T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0.4</v>
      </c>
      <c r="U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0.4</v>
      </c>
      <c r="V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1.2</v>
      </c>
      <c r="W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0.4</v>
      </c>
      <c r="X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0.4</v>
      </c>
      <c r="AA22" s="87" t="n">
        <f aca="false">AVERAGE(S22:Y22)</f>
        <v>0.971428571428572</v>
      </c>
    </row>
    <row r="23" customFormat="false" ht="15" hidden="false" customHeight="false" outlineLevel="0" collapsed="false">
      <c r="D23" s="177" t="s">
        <v>30</v>
      </c>
      <c r="E23" s="177"/>
      <c r="F23" s="177"/>
      <c r="G23" s="173"/>
      <c r="H23" s="173"/>
      <c r="I23" s="173"/>
      <c r="J23" s="173"/>
      <c r="K23" s="173"/>
      <c r="L23" s="173"/>
      <c r="M23" s="173" t="n">
        <v>1</v>
      </c>
      <c r="P23" s="177" t="s">
        <v>30</v>
      </c>
      <c r="Q23" s="177"/>
      <c r="R23" s="177"/>
      <c r="S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0.4</v>
      </c>
      <c r="AA23" s="87" t="n">
        <f aca="false">AVERAGE(S23:Y23)</f>
        <v>0.0571428571428572</v>
      </c>
    </row>
    <row r="24" customFormat="false" ht="15" hidden="false" customHeight="false" outlineLevel="0" collapsed="false">
      <c r="D24" s="176" t="s">
        <v>31</v>
      </c>
      <c r="E24" s="176"/>
      <c r="F24" s="176"/>
      <c r="G24" s="173"/>
      <c r="H24" s="173"/>
      <c r="I24" s="173"/>
      <c r="J24" s="173"/>
      <c r="K24" s="173"/>
      <c r="L24" s="173"/>
      <c r="M24" s="173"/>
      <c r="P24" s="176" t="s">
        <v>31</v>
      </c>
      <c r="Q24" s="176"/>
      <c r="R24" s="176"/>
      <c r="S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24" s="87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25" s="87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26" s="87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4</v>
      </c>
      <c r="H27" s="13"/>
      <c r="I27" s="166"/>
      <c r="J27" s="142" t="n">
        <v>1</v>
      </c>
      <c r="K27" s="13"/>
      <c r="L27" s="13"/>
      <c r="M27" s="13" t="n">
        <v>1</v>
      </c>
      <c r="P27" s="12" t="s">
        <v>34</v>
      </c>
      <c r="Q27" s="12"/>
      <c r="R27" s="12"/>
      <c r="S2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1.6</v>
      </c>
      <c r="T2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2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2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0.4</v>
      </c>
      <c r="W2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2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2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0.4</v>
      </c>
      <c r="AA27" s="87" t="n">
        <f aca="false">AVERAGE(S27:Y27)</f>
        <v>0.342857142857143</v>
      </c>
    </row>
    <row r="28" customFormat="false" ht="15" hidden="false" customHeight="false" outlineLevel="0" collapsed="false">
      <c r="D28" s="172" t="s">
        <v>35</v>
      </c>
      <c r="E28" s="172"/>
      <c r="F28" s="172"/>
      <c r="G28" s="173" t="n">
        <v>12</v>
      </c>
      <c r="H28" s="173" t="n">
        <v>5</v>
      </c>
      <c r="I28" s="173" t="n">
        <v>10</v>
      </c>
      <c r="J28" s="173" t="n">
        <v>33</v>
      </c>
      <c r="K28" s="173" t="n">
        <v>17</v>
      </c>
      <c r="L28" s="173" t="n">
        <v>25</v>
      </c>
      <c r="M28" s="173" t="n">
        <v>25</v>
      </c>
      <c r="P28" s="172" t="s">
        <v>35</v>
      </c>
      <c r="Q28" s="172"/>
      <c r="R28" s="172"/>
      <c r="S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4.8</v>
      </c>
      <c r="T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2</v>
      </c>
      <c r="U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4</v>
      </c>
      <c r="V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13.2</v>
      </c>
      <c r="W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6.8</v>
      </c>
      <c r="X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10</v>
      </c>
      <c r="Y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10</v>
      </c>
      <c r="AA28" s="87" t="n">
        <f aca="false">AVERAGE(S28:Y28)</f>
        <v>7.25714285714286</v>
      </c>
    </row>
    <row r="29" customFormat="false" ht="15" hidden="false" customHeight="false" outlineLevel="0" collapsed="false">
      <c r="D29" s="172" t="s">
        <v>36</v>
      </c>
      <c r="E29" s="172"/>
      <c r="F29" s="172"/>
      <c r="G29" s="173" t="n">
        <v>83</v>
      </c>
      <c r="H29" s="173" t="n">
        <v>70</v>
      </c>
      <c r="I29" s="173" t="n">
        <v>198</v>
      </c>
      <c r="J29" s="173" t="n">
        <v>255</v>
      </c>
      <c r="K29" s="173" t="n">
        <v>94</v>
      </c>
      <c r="L29" s="173" t="n">
        <v>90</v>
      </c>
      <c r="M29" s="173" t="n">
        <v>191</v>
      </c>
      <c r="P29" s="172" t="s">
        <v>36</v>
      </c>
      <c r="Q29" s="172"/>
      <c r="R29" s="172"/>
      <c r="S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33.2</v>
      </c>
      <c r="T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28</v>
      </c>
      <c r="U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79.2</v>
      </c>
      <c r="V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102</v>
      </c>
      <c r="W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37.6</v>
      </c>
      <c r="X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36</v>
      </c>
      <c r="Y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76.4</v>
      </c>
      <c r="AA29" s="87" t="n">
        <f aca="false">AVERAGE(S29:Y29)</f>
        <v>56.0571428571429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30" s="87"/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4</v>
      </c>
      <c r="H31" s="13" t="n">
        <v>1</v>
      </c>
      <c r="I31" s="13" t="n">
        <v>4</v>
      </c>
      <c r="J31" s="13"/>
      <c r="K31" s="13"/>
      <c r="L31" s="13" t="n">
        <v>4</v>
      </c>
      <c r="M31" s="13"/>
      <c r="P31" s="9" t="s">
        <v>38</v>
      </c>
      <c r="Q31" s="9"/>
      <c r="R31" s="9"/>
      <c r="S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1.6</v>
      </c>
      <c r="T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0.4</v>
      </c>
      <c r="U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1.6</v>
      </c>
      <c r="V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1.6</v>
      </c>
      <c r="Y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31" s="87" t="n">
        <f aca="false">AVERAGE(S31:Y31)</f>
        <v>0.742857142857143</v>
      </c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32" s="87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33" s="87"/>
    </row>
    <row r="34" customFormat="false" ht="15" hidden="false" customHeight="false" outlineLevel="0" collapsed="false">
      <c r="D34" s="9" t="s">
        <v>41</v>
      </c>
      <c r="E34" s="9"/>
      <c r="F34" s="9"/>
      <c r="G34" s="13" t="n">
        <v>4</v>
      </c>
      <c r="H34" s="13" t="n">
        <v>2</v>
      </c>
      <c r="I34" s="13" t="n">
        <v>11</v>
      </c>
      <c r="J34" s="13" t="n">
        <v>10</v>
      </c>
      <c r="K34" s="13" t="n">
        <v>7</v>
      </c>
      <c r="L34" s="13" t="n">
        <v>6</v>
      </c>
      <c r="M34" s="13" t="n">
        <v>8</v>
      </c>
      <c r="P34" s="9" t="s">
        <v>41</v>
      </c>
      <c r="Q34" s="9"/>
      <c r="R34" s="9"/>
      <c r="S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1.6</v>
      </c>
      <c r="T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0.8</v>
      </c>
      <c r="U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4.4</v>
      </c>
      <c r="V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4</v>
      </c>
      <c r="W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2.8</v>
      </c>
      <c r="X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2.4</v>
      </c>
      <c r="Y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3.2</v>
      </c>
      <c r="AA34" s="87" t="n">
        <f aca="false">AVERAGE(S34:Y34)</f>
        <v>2.74285714285714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 t="n">
        <v>1</v>
      </c>
      <c r="J35" s="13"/>
      <c r="K35" s="13"/>
      <c r="L35" s="13"/>
      <c r="M35" s="13"/>
      <c r="P35" s="9" t="s">
        <v>42</v>
      </c>
      <c r="Q35" s="9"/>
      <c r="R35" s="9"/>
      <c r="S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0.4</v>
      </c>
      <c r="V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35" s="87" t="n">
        <f aca="false">AVERAGE(S35:Y35)</f>
        <v>0.0571428571428572</v>
      </c>
    </row>
    <row r="36" customFormat="false" ht="15" hidden="false" customHeight="false" outlineLevel="0" collapsed="false">
      <c r="D36" s="16" t="s">
        <v>43</v>
      </c>
      <c r="E36" s="16"/>
      <c r="F36" s="16"/>
      <c r="G36" s="13" t="n">
        <v>4</v>
      </c>
      <c r="H36" s="13"/>
      <c r="I36" s="13" t="n">
        <v>4</v>
      </c>
      <c r="J36" s="13" t="n">
        <v>6</v>
      </c>
      <c r="K36" s="13"/>
      <c r="L36" s="13" t="n">
        <v>3</v>
      </c>
      <c r="M36" s="13" t="n">
        <v>14</v>
      </c>
      <c r="P36" s="16" t="s">
        <v>43</v>
      </c>
      <c r="Q36" s="16"/>
      <c r="R36" s="16"/>
      <c r="S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1.6</v>
      </c>
      <c r="T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1.6</v>
      </c>
      <c r="V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2.4</v>
      </c>
      <c r="W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1.2</v>
      </c>
      <c r="Y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5.6</v>
      </c>
      <c r="AA36" s="87" t="n">
        <f aca="false">AVERAGE(S36:Y36)</f>
        <v>1.77142857142857</v>
      </c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 t="n">
        <v>4</v>
      </c>
      <c r="K37" s="13" t="n">
        <v>1</v>
      </c>
      <c r="L37" s="13" t="n">
        <v>1</v>
      </c>
      <c r="M37" s="13"/>
      <c r="P37" s="12" t="s">
        <v>44</v>
      </c>
      <c r="Q37" s="12"/>
      <c r="R37" s="12"/>
      <c r="S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1.6</v>
      </c>
      <c r="W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0.4</v>
      </c>
      <c r="X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0.4</v>
      </c>
      <c r="Y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37" s="87" t="n">
        <f aca="false">AVERAGE(S37:Y37)</f>
        <v>0.342857142857143</v>
      </c>
    </row>
    <row r="38" customFormat="false" ht="15" hidden="false" customHeight="false" outlineLevel="0" collapsed="false">
      <c r="D38" s="178" t="s">
        <v>45</v>
      </c>
      <c r="E38" s="178"/>
      <c r="F38" s="178"/>
      <c r="G38" s="173" t="n">
        <v>12</v>
      </c>
      <c r="H38" s="173"/>
      <c r="I38" s="173" t="n">
        <v>12</v>
      </c>
      <c r="J38" s="173" t="n">
        <v>15</v>
      </c>
      <c r="K38" s="173" t="n">
        <v>9</v>
      </c>
      <c r="L38" s="173" t="n">
        <v>7</v>
      </c>
      <c r="M38" s="173" t="n">
        <v>58</v>
      </c>
      <c r="P38" s="178" t="s">
        <v>45</v>
      </c>
      <c r="Q38" s="178"/>
      <c r="R38" s="178"/>
      <c r="S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4.8</v>
      </c>
      <c r="T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4.8</v>
      </c>
      <c r="V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6</v>
      </c>
      <c r="W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3.6</v>
      </c>
      <c r="X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2.8</v>
      </c>
      <c r="Y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23.2</v>
      </c>
      <c r="AA38" s="87" t="n">
        <f aca="false">AVERAGE(S38:Y38)</f>
        <v>6.45714285714286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39" s="87"/>
    </row>
    <row r="40" customFormat="false" ht="15" hidden="false" customHeight="false" outlineLevel="0" collapsed="false">
      <c r="D40" s="172" t="s">
        <v>47</v>
      </c>
      <c r="E40" s="172"/>
      <c r="F40" s="172"/>
      <c r="G40" s="173" t="n">
        <v>16</v>
      </c>
      <c r="H40" s="173" t="n">
        <v>7</v>
      </c>
      <c r="I40" s="173" t="n">
        <v>20</v>
      </c>
      <c r="J40" s="173" t="n">
        <v>46</v>
      </c>
      <c r="K40" s="173" t="n">
        <v>16</v>
      </c>
      <c r="L40" s="173" t="n">
        <v>28</v>
      </c>
      <c r="M40" s="173" t="n">
        <v>59</v>
      </c>
      <c r="P40" s="172" t="s">
        <v>47</v>
      </c>
      <c r="Q40" s="172"/>
      <c r="R40" s="172"/>
      <c r="S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6.4</v>
      </c>
      <c r="T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2.8</v>
      </c>
      <c r="U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8</v>
      </c>
      <c r="V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18.4</v>
      </c>
      <c r="W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6.4</v>
      </c>
      <c r="X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11.2</v>
      </c>
      <c r="Y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23.6</v>
      </c>
      <c r="AA40" s="87" t="n">
        <f aca="false">AVERAGE(S40:Y40)</f>
        <v>10.9714285714286</v>
      </c>
    </row>
    <row r="41" customFormat="false" ht="15" hidden="false" customHeight="false" outlineLevel="0" collapsed="false">
      <c r="D41" s="179" t="s">
        <v>48</v>
      </c>
      <c r="E41" s="179"/>
      <c r="F41" s="179"/>
      <c r="G41" s="173" t="n">
        <v>12</v>
      </c>
      <c r="H41" s="173" t="n">
        <v>1</v>
      </c>
      <c r="I41" s="173" t="n">
        <v>11</v>
      </c>
      <c r="J41" s="173" t="n">
        <v>24</v>
      </c>
      <c r="K41" s="173" t="n">
        <v>49</v>
      </c>
      <c r="L41" s="173" t="n">
        <v>25</v>
      </c>
      <c r="M41" s="173" t="n">
        <v>43</v>
      </c>
      <c r="P41" s="179" t="s">
        <v>48</v>
      </c>
      <c r="Q41" s="179"/>
      <c r="R41" s="179"/>
      <c r="S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4.8</v>
      </c>
      <c r="T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0.4</v>
      </c>
      <c r="U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4.4</v>
      </c>
      <c r="V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9.6</v>
      </c>
      <c r="W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19.6</v>
      </c>
      <c r="X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10</v>
      </c>
      <c r="Y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17.2</v>
      </c>
      <c r="AA41" s="87" t="n">
        <f aca="false">AVERAGE(S41:Y41)</f>
        <v>9.42857142857143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 t="n">
        <v>1</v>
      </c>
      <c r="J42" s="142" t="n">
        <v>1</v>
      </c>
      <c r="K42" s="13" t="n">
        <v>1</v>
      </c>
      <c r="L42" s="13"/>
      <c r="M42" s="13"/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0.4</v>
      </c>
      <c r="V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0.4</v>
      </c>
      <c r="W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0.4</v>
      </c>
      <c r="X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42" s="87" t="n">
        <f aca="false">AVERAGE(S42:Y42)</f>
        <v>0.171428571428571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43" s="87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4</v>
      </c>
      <c r="H44" s="13" t="n">
        <v>1</v>
      </c>
      <c r="I44" s="13" t="n">
        <v>10</v>
      </c>
      <c r="J44" s="13" t="n">
        <v>4</v>
      </c>
      <c r="K44" s="142" t="n">
        <v>1</v>
      </c>
      <c r="L44" s="13" t="n">
        <v>3</v>
      </c>
      <c r="M44" s="142" t="n">
        <v>2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1.6</v>
      </c>
      <c r="T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0.4</v>
      </c>
      <c r="U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4</v>
      </c>
      <c r="V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1.6</v>
      </c>
      <c r="W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0.4</v>
      </c>
      <c r="X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1.2</v>
      </c>
      <c r="Y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0.8</v>
      </c>
      <c r="AA44" s="87" t="n">
        <f aca="false">AVERAGE(S44:Y44)</f>
        <v>1.42857142857143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 t="n">
        <v>2</v>
      </c>
      <c r="J45" s="13" t="n">
        <v>1</v>
      </c>
      <c r="K45" s="13" t="n">
        <v>4</v>
      </c>
      <c r="L45" s="13" t="n">
        <v>2</v>
      </c>
      <c r="M45" s="13" t="n">
        <v>6</v>
      </c>
      <c r="P45" s="18" t="s">
        <v>52</v>
      </c>
      <c r="Q45" s="18"/>
      <c r="R45" s="18"/>
      <c r="S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0.8</v>
      </c>
      <c r="V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0.4</v>
      </c>
      <c r="W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1.6</v>
      </c>
      <c r="X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0.8</v>
      </c>
      <c r="Y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2.4</v>
      </c>
      <c r="AA45" s="87" t="n">
        <f aca="false">AVERAGE(S45:Y45)</f>
        <v>0.857142857142857</v>
      </c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46" s="87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47" s="87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48" s="87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/>
      <c r="I49" s="142" t="n">
        <v>5</v>
      </c>
      <c r="J49" s="142"/>
      <c r="K49" s="13" t="n">
        <v>1</v>
      </c>
      <c r="L49" s="13"/>
      <c r="M49" s="13" t="n">
        <v>1</v>
      </c>
      <c r="P49" s="18" t="s">
        <v>56</v>
      </c>
      <c r="Q49" s="18"/>
      <c r="R49" s="18"/>
      <c r="S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2</v>
      </c>
      <c r="V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0.4</v>
      </c>
      <c r="X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0.4</v>
      </c>
      <c r="AA49" s="87" t="n">
        <f aca="false">AVERAGE(S49:Y49)</f>
        <v>0.4</v>
      </c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50" s="87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51" s="87"/>
    </row>
    <row r="52" customFormat="false" ht="15" hidden="false" customHeight="false" outlineLevel="0" collapsed="false">
      <c r="D52" s="172" t="s">
        <v>59</v>
      </c>
      <c r="E52" s="172"/>
      <c r="F52" s="172"/>
      <c r="G52" s="173" t="n">
        <v>16</v>
      </c>
      <c r="H52" s="173" t="n">
        <v>6</v>
      </c>
      <c r="I52" s="173" t="n">
        <v>24</v>
      </c>
      <c r="J52" s="173" t="n">
        <v>35</v>
      </c>
      <c r="K52" s="173" t="n">
        <v>9</v>
      </c>
      <c r="L52" s="173" t="n">
        <v>6</v>
      </c>
      <c r="M52" s="173" t="n">
        <v>2</v>
      </c>
      <c r="P52" s="172" t="s">
        <v>59</v>
      </c>
      <c r="Q52" s="172"/>
      <c r="R52" s="172"/>
      <c r="S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6.4</v>
      </c>
      <c r="T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2.4</v>
      </c>
      <c r="U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9.6</v>
      </c>
      <c r="V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14</v>
      </c>
      <c r="W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3.6</v>
      </c>
      <c r="X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2.4</v>
      </c>
      <c r="Y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0.8</v>
      </c>
      <c r="AA52" s="87" t="n">
        <f aca="false">AVERAGE(S52:Y52)</f>
        <v>5.6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186</v>
      </c>
      <c r="H53" s="55" t="n">
        <f aca="false">SUM(H6:H52)</f>
        <v>95</v>
      </c>
      <c r="I53" s="55" t="n">
        <f aca="false">SUM(I6:I52)</f>
        <v>324</v>
      </c>
      <c r="J53" s="55" t="n">
        <f aca="false">SUM(J6:J52)</f>
        <v>442</v>
      </c>
      <c r="K53" s="55" t="n">
        <f aca="false">SUM(K6:K52)</f>
        <v>214</v>
      </c>
      <c r="L53" s="55" t="n">
        <f aca="false">SUM(L6:L52)</f>
        <v>206</v>
      </c>
      <c r="M53" s="55" t="n">
        <f aca="false">SUM(M6:M52)</f>
        <v>421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74.4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38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129.6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176.8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85.6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82.4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168.4</v>
      </c>
      <c r="AA53" s="87" t="n">
        <f aca="false">AVERAGE(S53:Y53)</f>
        <v>107.885714285714</v>
      </c>
    </row>
    <row r="57" customFormat="false" ht="15" hidden="false" customHeight="false" outlineLevel="0" collapsed="false">
      <c r="D57" s="169" t="s">
        <v>61</v>
      </c>
      <c r="E57" s="169"/>
      <c r="F57" s="169"/>
      <c r="G57" s="180" t="s">
        <v>6</v>
      </c>
      <c r="H57" s="181" t="s">
        <v>7</v>
      </c>
      <c r="I57" s="181" t="s">
        <v>8</v>
      </c>
      <c r="J57" s="181" t="s">
        <v>9</v>
      </c>
      <c r="K57" s="181" t="s">
        <v>10</v>
      </c>
      <c r="L57" s="181" t="s">
        <v>11</v>
      </c>
      <c r="M57" s="181" t="s">
        <v>12</v>
      </c>
      <c r="P57" s="169" t="s">
        <v>61</v>
      </c>
      <c r="Q57" s="169"/>
      <c r="R57" s="169"/>
      <c r="S57" s="180" t="s">
        <v>6</v>
      </c>
      <c r="T57" s="181" t="s">
        <v>7</v>
      </c>
      <c r="U57" s="181" t="s">
        <v>8</v>
      </c>
      <c r="V57" s="181" t="s">
        <v>9</v>
      </c>
      <c r="W57" s="181" t="s">
        <v>10</v>
      </c>
      <c r="X57" s="181" t="s">
        <v>11</v>
      </c>
      <c r="Y57" s="181" t="s">
        <v>12</v>
      </c>
      <c r="AA57" s="171" t="s">
        <v>111</v>
      </c>
    </row>
    <row r="58" customFormat="false" ht="15" hidden="false" customHeight="false" outlineLevel="0" collapsed="false">
      <c r="D58" s="182" t="s">
        <v>62</v>
      </c>
      <c r="E58" s="182"/>
      <c r="F58" s="182"/>
      <c r="G58" s="183" t="n">
        <v>25</v>
      </c>
      <c r="H58" s="184" t="n">
        <v>40</v>
      </c>
      <c r="I58" s="184" t="n">
        <v>74</v>
      </c>
      <c r="J58" s="184" t="n">
        <v>78</v>
      </c>
      <c r="K58" s="184" t="n">
        <v>8</v>
      </c>
      <c r="L58" s="184" t="n">
        <v>9</v>
      </c>
      <c r="M58" s="184" t="n">
        <v>5</v>
      </c>
      <c r="P58" s="182" t="s">
        <v>62</v>
      </c>
      <c r="Q58" s="182"/>
      <c r="R58" s="182"/>
      <c r="S58" s="185" t="n">
        <f aca="false">G58*$Q3</f>
        <v>10</v>
      </c>
      <c r="T58" s="185" t="n">
        <f aca="false">H58*$Q3</f>
        <v>16</v>
      </c>
      <c r="U58" s="185" t="n">
        <f aca="false">I58*$Q3</f>
        <v>29.6</v>
      </c>
      <c r="V58" s="185" t="n">
        <f aca="false">J58*$Q3</f>
        <v>31.2</v>
      </c>
      <c r="W58" s="185" t="n">
        <f aca="false">K58*$Q3</f>
        <v>3.2</v>
      </c>
      <c r="X58" s="185" t="n">
        <f aca="false">L58*$Q3</f>
        <v>3.6</v>
      </c>
      <c r="Y58" s="186" t="n">
        <f aca="false">M58*$Q3</f>
        <v>2</v>
      </c>
      <c r="AA58" s="87" t="n">
        <f aca="false">AVERAGE(S58:Y58)</f>
        <v>13.6571428571429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 t="n">
        <f aca="false">G59*$Q3</f>
        <v>0</v>
      </c>
      <c r="T59" s="57" t="n">
        <f aca="false">H59*$Q3</f>
        <v>0</v>
      </c>
      <c r="U59" s="57" t="n">
        <f aca="false">I59*$Q3</f>
        <v>0</v>
      </c>
      <c r="V59" s="57" t="n">
        <f aca="false">J59*$Q3</f>
        <v>0</v>
      </c>
      <c r="W59" s="57" t="n">
        <f aca="false">K59*$Q3</f>
        <v>0</v>
      </c>
      <c r="X59" s="57" t="n">
        <f aca="false">L59*$Q3</f>
        <v>0</v>
      </c>
      <c r="Y59" s="57" t="n">
        <f aca="false">M59*$Q3</f>
        <v>0</v>
      </c>
      <c r="AA59" s="87"/>
    </row>
    <row r="60" customFormat="false" ht="15" hidden="false" customHeight="false" outlineLevel="0" collapsed="false">
      <c r="D60" s="9" t="s">
        <v>64</v>
      </c>
      <c r="E60" s="9"/>
      <c r="F60" s="9"/>
      <c r="G60" s="164" t="n">
        <v>4</v>
      </c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 t="n">
        <f aca="false">G60*$Q3</f>
        <v>1.6</v>
      </c>
      <c r="T60" s="57" t="n">
        <f aca="false">H60*$Q3</f>
        <v>0</v>
      </c>
      <c r="U60" s="57" t="n">
        <f aca="false">I60*$Q3</f>
        <v>0</v>
      </c>
      <c r="V60" s="57" t="n">
        <f aca="false">J60*$Q3</f>
        <v>0</v>
      </c>
      <c r="W60" s="57" t="n">
        <f aca="false">K60*$Q3</f>
        <v>0</v>
      </c>
      <c r="X60" s="57" t="n">
        <f aca="false">L60*$Q3</f>
        <v>0</v>
      </c>
      <c r="Y60" s="57" t="n">
        <f aca="false">M60*$Q3</f>
        <v>0</v>
      </c>
      <c r="AA60" s="87" t="n">
        <f aca="false">AVERAGE(S60:Y60)</f>
        <v>0.228571428571429</v>
      </c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 t="n">
        <f aca="false">G61*$Q3</f>
        <v>0</v>
      </c>
      <c r="T61" s="57" t="n">
        <f aca="false">H61*$Q3</f>
        <v>0</v>
      </c>
      <c r="U61" s="57" t="n">
        <f aca="false">I61*$Q3</f>
        <v>0</v>
      </c>
      <c r="V61" s="57" t="n">
        <f aca="false">J61*$Q3</f>
        <v>0</v>
      </c>
      <c r="W61" s="57" t="n">
        <f aca="false">K61*$Q3</f>
        <v>0</v>
      </c>
      <c r="X61" s="57" t="n">
        <f aca="false">L61*$Q3</f>
        <v>0</v>
      </c>
      <c r="Y61" s="57" t="n">
        <f aca="false">M61*$Q3</f>
        <v>0</v>
      </c>
      <c r="AA61" s="8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37</v>
      </c>
      <c r="H62" s="26" t="n">
        <v>63</v>
      </c>
      <c r="I62" s="26" t="n">
        <v>121</v>
      </c>
      <c r="J62" s="26" t="n">
        <v>154</v>
      </c>
      <c r="K62" s="26" t="n">
        <v>31</v>
      </c>
      <c r="L62" s="26" t="n">
        <v>30</v>
      </c>
      <c r="M62" s="26" t="n">
        <v>17</v>
      </c>
      <c r="P62" s="9" t="s">
        <v>66</v>
      </c>
      <c r="Q62" s="9"/>
      <c r="R62" s="9"/>
      <c r="S62" s="57" t="n">
        <f aca="false">G62*$Q3</f>
        <v>14.8</v>
      </c>
      <c r="T62" s="57" t="n">
        <f aca="false">H62*$Q3</f>
        <v>25.2</v>
      </c>
      <c r="U62" s="57" t="n">
        <f aca="false">I62*$Q3</f>
        <v>48.4</v>
      </c>
      <c r="V62" s="57" t="n">
        <f aca="false">J62*$Q3</f>
        <v>61.6</v>
      </c>
      <c r="W62" s="57" t="n">
        <f aca="false">K62*$Q3</f>
        <v>12.4</v>
      </c>
      <c r="X62" s="57" t="n">
        <f aca="false">L62*$Q3</f>
        <v>12</v>
      </c>
      <c r="Y62" s="57" t="n">
        <f aca="false">M62*$Q3</f>
        <v>6.8</v>
      </c>
      <c r="AA62" s="87" t="n">
        <f aca="false">AVERAGE(S62:Y62)</f>
        <v>25.8857142857143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4</v>
      </c>
      <c r="H63" s="164" t="n">
        <v>3</v>
      </c>
      <c r="I63" s="13" t="n">
        <v>14</v>
      </c>
      <c r="J63" s="26" t="n">
        <v>10</v>
      </c>
      <c r="K63" s="26" t="n">
        <v>2</v>
      </c>
      <c r="L63" s="26"/>
      <c r="M63" s="26"/>
      <c r="P63" s="9" t="s">
        <v>67</v>
      </c>
      <c r="Q63" s="9"/>
      <c r="R63" s="9"/>
      <c r="S63" s="57" t="n">
        <f aca="false">G63*$Q3</f>
        <v>1.6</v>
      </c>
      <c r="T63" s="57" t="n">
        <f aca="false">H63*$Q3</f>
        <v>1.2</v>
      </c>
      <c r="U63" s="57" t="n">
        <f aca="false">I63*$Q3</f>
        <v>5.6</v>
      </c>
      <c r="V63" s="57" t="n">
        <f aca="false">J63*$Q3</f>
        <v>4</v>
      </c>
      <c r="W63" s="57" t="n">
        <f aca="false">K63*$Q3</f>
        <v>0.8</v>
      </c>
      <c r="X63" s="57" t="n">
        <f aca="false">L63*$Q3</f>
        <v>0</v>
      </c>
      <c r="Y63" s="57" t="n">
        <f aca="false">M63*$Q3</f>
        <v>0</v>
      </c>
      <c r="AA63" s="87" t="n">
        <f aca="false">AVERAGE(S63:Y63)</f>
        <v>1.88571428571429</v>
      </c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/>
      <c r="I64" s="26" t="n">
        <v>1</v>
      </c>
      <c r="J64" s="26" t="n">
        <v>1</v>
      </c>
      <c r="K64" s="26"/>
      <c r="L64" s="26"/>
      <c r="M64" s="26"/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</v>
      </c>
      <c r="U64" s="57" t="n">
        <f aca="false">I64*$Q3</f>
        <v>0.4</v>
      </c>
      <c r="V64" s="57" t="n">
        <f aca="false">J64*$Q3</f>
        <v>0.4</v>
      </c>
      <c r="W64" s="57" t="n">
        <f aca="false">K64*$Q3</f>
        <v>0</v>
      </c>
      <c r="X64" s="57" t="n">
        <f aca="false">L64*$Q3</f>
        <v>0</v>
      </c>
      <c r="Y64" s="57" t="n">
        <f aca="false">M64*$Q3</f>
        <v>0</v>
      </c>
      <c r="AA64" s="87" t="n">
        <f aca="false">AVERAGE(S64:Y64)</f>
        <v>0.114285714285714</v>
      </c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12</v>
      </c>
      <c r="H65" s="30" t="n">
        <v>3</v>
      </c>
      <c r="I65" s="30" t="n">
        <v>1</v>
      </c>
      <c r="J65" s="26"/>
      <c r="K65" s="26" t="n">
        <v>2</v>
      </c>
      <c r="L65" s="26"/>
      <c r="M65" s="26"/>
      <c r="P65" s="9" t="s">
        <v>69</v>
      </c>
      <c r="Q65" s="9"/>
      <c r="R65" s="9"/>
      <c r="S65" s="57" t="n">
        <f aca="false">G65*$Q3</f>
        <v>4.8</v>
      </c>
      <c r="T65" s="57" t="n">
        <f aca="false">H65*$Q3</f>
        <v>1.2</v>
      </c>
      <c r="U65" s="57" t="n">
        <f aca="false">I65*$Q3</f>
        <v>0.4</v>
      </c>
      <c r="V65" s="57" t="n">
        <f aca="false">J65*$Q3</f>
        <v>0</v>
      </c>
      <c r="W65" s="57" t="n">
        <f aca="false">K65*$Q3</f>
        <v>0.8</v>
      </c>
      <c r="X65" s="57" t="n">
        <f aca="false">L65*$Q3</f>
        <v>0</v>
      </c>
      <c r="Y65" s="57" t="n">
        <f aca="false">M65*$Q3</f>
        <v>0</v>
      </c>
      <c r="AA65" s="87" t="n">
        <f aca="false">AVERAGE(S65:Y65)</f>
        <v>1.02857142857143</v>
      </c>
    </row>
    <row r="66" customFormat="false" ht="15" hidden="false" customHeight="false" outlineLevel="0" collapsed="false">
      <c r="D66" s="9" t="s">
        <v>70</v>
      </c>
      <c r="E66" s="9"/>
      <c r="F66" s="9"/>
      <c r="G66" s="26" t="n">
        <v>8</v>
      </c>
      <c r="H66" s="87"/>
      <c r="I66" s="26" t="n">
        <v>3</v>
      </c>
      <c r="J66" s="164" t="n">
        <v>3</v>
      </c>
      <c r="K66" s="26"/>
      <c r="L66" s="26"/>
      <c r="M66" s="26"/>
      <c r="P66" s="9" t="s">
        <v>70</v>
      </c>
      <c r="Q66" s="9"/>
      <c r="R66" s="9"/>
      <c r="S66" s="57" t="n">
        <f aca="false">G66*$Q3</f>
        <v>3.2</v>
      </c>
      <c r="T66" s="57" t="n">
        <f aca="false">H66*$Q3</f>
        <v>0</v>
      </c>
      <c r="U66" s="57" t="n">
        <f aca="false">I66*$Q3</f>
        <v>1.2</v>
      </c>
      <c r="V66" s="57" t="n">
        <f aca="false">J66*$Q3</f>
        <v>1.2</v>
      </c>
      <c r="W66" s="57" t="n">
        <f aca="false">K66*$Q3</f>
        <v>0</v>
      </c>
      <c r="X66" s="57" t="n">
        <f aca="false">L66*$Q3</f>
        <v>0</v>
      </c>
      <c r="Y66" s="57" t="n">
        <f aca="false">M66*$Q3</f>
        <v>0</v>
      </c>
      <c r="AA66" s="87" t="n">
        <f aca="false">AVERAGE(S66:Y66)</f>
        <v>0.8</v>
      </c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4</v>
      </c>
      <c r="H67" s="139" t="n">
        <v>4</v>
      </c>
      <c r="I67" s="139" t="n">
        <v>3</v>
      </c>
      <c r="J67" s="26" t="n">
        <v>8</v>
      </c>
      <c r="K67" s="26" t="n">
        <v>1</v>
      </c>
      <c r="L67" s="26" t="n">
        <v>2</v>
      </c>
      <c r="M67" s="26"/>
      <c r="P67" s="9" t="s">
        <v>71</v>
      </c>
      <c r="Q67" s="9"/>
      <c r="R67" s="9"/>
      <c r="S67" s="57" t="n">
        <f aca="false">G67*$Q3</f>
        <v>1.6</v>
      </c>
      <c r="T67" s="57" t="n">
        <f aca="false">H67*$Q3</f>
        <v>1.6</v>
      </c>
      <c r="U67" s="57" t="n">
        <f aca="false">I67*$Q3</f>
        <v>1.2</v>
      </c>
      <c r="V67" s="57" t="n">
        <f aca="false">J67*$Q3</f>
        <v>3.2</v>
      </c>
      <c r="W67" s="57" t="n">
        <f aca="false">K67*$Q3</f>
        <v>0.4</v>
      </c>
      <c r="X67" s="57" t="n">
        <f aca="false">L67*$Q3</f>
        <v>0.8</v>
      </c>
      <c r="Y67" s="57" t="n">
        <f aca="false">M67*$Q3</f>
        <v>0</v>
      </c>
      <c r="AA67" s="87" t="n">
        <f aca="false">AVERAGE(S67:Y67)</f>
        <v>1.25714285714286</v>
      </c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4</v>
      </c>
      <c r="H68" s="30" t="n">
        <v>1</v>
      </c>
      <c r="I68" s="30" t="n">
        <v>6</v>
      </c>
      <c r="J68" s="30" t="n">
        <v>8</v>
      </c>
      <c r="K68" s="30" t="n">
        <v>6</v>
      </c>
      <c r="L68" s="30" t="n">
        <v>11</v>
      </c>
      <c r="M68" s="30" t="n">
        <v>17</v>
      </c>
      <c r="P68" s="9" t="s">
        <v>72</v>
      </c>
      <c r="Q68" s="9"/>
      <c r="R68" s="9"/>
      <c r="S68" s="57" t="n">
        <f aca="false">G68*$Q3</f>
        <v>1.6</v>
      </c>
      <c r="T68" s="57" t="n">
        <f aca="false">H68*$Q3</f>
        <v>0.4</v>
      </c>
      <c r="U68" s="57" t="n">
        <f aca="false">I68*$Q3</f>
        <v>2.4</v>
      </c>
      <c r="V68" s="57" t="n">
        <f aca="false">J68*$Q3</f>
        <v>3.2</v>
      </c>
      <c r="W68" s="57" t="n">
        <f aca="false">K68*$Q3</f>
        <v>2.4</v>
      </c>
      <c r="X68" s="57" t="n">
        <f aca="false">L68*$Q3</f>
        <v>4.4</v>
      </c>
      <c r="Y68" s="57" t="n">
        <f aca="false">M68*$Q3</f>
        <v>6.8</v>
      </c>
      <c r="AA68" s="87" t="n">
        <f aca="false">AVERAGE(S68:Y68)</f>
        <v>3.02857142857143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8</v>
      </c>
      <c r="H69" s="30" t="n">
        <v>10</v>
      </c>
      <c r="I69" s="30" t="n">
        <v>77</v>
      </c>
      <c r="J69" s="30" t="n">
        <v>47</v>
      </c>
      <c r="K69" s="30" t="n">
        <v>6</v>
      </c>
      <c r="L69" s="30" t="n">
        <v>10</v>
      </c>
      <c r="M69" s="30" t="n">
        <v>14</v>
      </c>
      <c r="N69" s="187"/>
      <c r="P69" s="9" t="s">
        <v>73</v>
      </c>
      <c r="Q69" s="9"/>
      <c r="R69" s="9"/>
      <c r="S69" s="57" t="n">
        <f aca="false">G69*$Q3</f>
        <v>3.2</v>
      </c>
      <c r="T69" s="57" t="n">
        <f aca="false">H69*$Q3</f>
        <v>4</v>
      </c>
      <c r="U69" s="57" t="n">
        <f aca="false">I69*$Q3</f>
        <v>30.8</v>
      </c>
      <c r="V69" s="57" t="n">
        <f aca="false">J69*$Q3</f>
        <v>18.8</v>
      </c>
      <c r="W69" s="57" t="n">
        <f aca="false">K69*$Q3</f>
        <v>2.4</v>
      </c>
      <c r="X69" s="57" t="n">
        <f aca="false">L69*$Q3</f>
        <v>4</v>
      </c>
      <c r="Y69" s="57" t="n">
        <f aca="false">M69*$Q3</f>
        <v>5.6</v>
      </c>
      <c r="AA69" s="87" t="n">
        <f aca="false">AVERAGE(S69:Y69)</f>
        <v>9.82857142857143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106</v>
      </c>
      <c r="H70" s="60" t="n">
        <f aca="false">SUM(H58:H69)</f>
        <v>124</v>
      </c>
      <c r="I70" s="60" t="n">
        <f aca="false">SUM(I58:I69)</f>
        <v>300</v>
      </c>
      <c r="J70" s="60" t="n">
        <f aca="false">SUM(J58:J69)</f>
        <v>309</v>
      </c>
      <c r="K70" s="60" t="n">
        <f aca="false">SUM(K58:K69)</f>
        <v>56</v>
      </c>
      <c r="L70" s="60" t="n">
        <f aca="false">SUM(L58:L69)</f>
        <v>62</v>
      </c>
      <c r="M70" s="60" t="n">
        <f aca="false">SUM(M58:M69)</f>
        <v>53</v>
      </c>
      <c r="P70" s="9" t="s">
        <v>60</v>
      </c>
      <c r="Q70" s="9"/>
      <c r="R70" s="9"/>
      <c r="S70" s="61" t="n">
        <f aca="false">G70*$Q3</f>
        <v>42.4</v>
      </c>
      <c r="T70" s="61" t="n">
        <f aca="false">H70*$Q3</f>
        <v>49.6</v>
      </c>
      <c r="U70" s="61" t="n">
        <f aca="false">I70*$Q3</f>
        <v>120</v>
      </c>
      <c r="V70" s="61" t="n">
        <f aca="false">J70*$Q3</f>
        <v>123.6</v>
      </c>
      <c r="W70" s="61" t="n">
        <f aca="false">K70*$Q3</f>
        <v>22.4</v>
      </c>
      <c r="X70" s="61" t="n">
        <f aca="false">L70*$Q3</f>
        <v>24.8</v>
      </c>
      <c r="Y70" s="32" t="n">
        <f aca="false">M70*$Q3</f>
        <v>21.2</v>
      </c>
      <c r="AA70" s="87" t="n">
        <f aca="false">AVERAGE(S70:Y70)</f>
        <v>57.7142857142857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2" zoomScaleNormal="122" zoomScalePageLayoutView="100" workbookViewId="0">
      <selection pane="topLeft" activeCell="A1" activeCellId="0" sqref="A1"/>
    </sheetView>
  </sheetViews>
  <sheetFormatPr defaultColWidth="8.5078125" defaultRowHeight="12.8" customHeight="tru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AA8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104</v>
      </c>
      <c r="I3" s="119" t="s">
        <v>2</v>
      </c>
      <c r="J3" s="4" t="n">
        <v>45803</v>
      </c>
      <c r="K3" s="5" t="n">
        <v>45809</v>
      </c>
      <c r="L3" s="120" t="s">
        <v>3</v>
      </c>
      <c r="M3" s="3" t="n">
        <v>2025</v>
      </c>
      <c r="P3" s="168" t="s">
        <v>4</v>
      </c>
      <c r="Q3" s="168" t="n">
        <v>0.4</v>
      </c>
      <c r="S3" s="119" t="s">
        <v>0</v>
      </c>
      <c r="T3" s="3" t="s">
        <v>104</v>
      </c>
      <c r="U3" s="119" t="s">
        <v>2</v>
      </c>
      <c r="V3" s="4" t="n">
        <v>45789</v>
      </c>
      <c r="W3" s="5" t="n">
        <v>45796</v>
      </c>
      <c r="X3" s="120" t="s">
        <v>3</v>
      </c>
      <c r="Y3" s="3" t="n">
        <v>2025</v>
      </c>
    </row>
    <row r="5" customFormat="false" ht="15" hidden="false" customHeight="false" outlineLevel="0" collapsed="false">
      <c r="D5" s="169" t="s">
        <v>5</v>
      </c>
      <c r="E5" s="169"/>
      <c r="F5" s="169"/>
      <c r="G5" s="170" t="s">
        <v>6</v>
      </c>
      <c r="H5" s="170" t="s">
        <v>7</v>
      </c>
      <c r="I5" s="170" t="s">
        <v>8</v>
      </c>
      <c r="J5" s="170" t="s">
        <v>9</v>
      </c>
      <c r="K5" s="170" t="s">
        <v>10</v>
      </c>
      <c r="L5" s="170" t="s">
        <v>11</v>
      </c>
      <c r="M5" s="170" t="s">
        <v>12</v>
      </c>
      <c r="P5" s="169" t="s">
        <v>5</v>
      </c>
      <c r="Q5" s="169"/>
      <c r="R5" s="169"/>
      <c r="S5" s="170" t="s">
        <v>6</v>
      </c>
      <c r="T5" s="170" t="s">
        <v>7</v>
      </c>
      <c r="U5" s="170" t="s">
        <v>8</v>
      </c>
      <c r="V5" s="170" t="s">
        <v>9</v>
      </c>
      <c r="W5" s="170" t="s">
        <v>10</v>
      </c>
      <c r="X5" s="170" t="s">
        <v>11</v>
      </c>
      <c r="Y5" s="170" t="s">
        <v>12</v>
      </c>
      <c r="AA5" s="171" t="s">
        <v>111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6" s="87" t="n">
        <f aca="false">AVERAGE(S6:Y6)</f>
        <v>0</v>
      </c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</v>
      </c>
      <c r="H7" s="13" t="n">
        <v>2</v>
      </c>
      <c r="I7" s="13" t="n">
        <v>1</v>
      </c>
      <c r="J7" s="13"/>
      <c r="K7" s="13" t="n">
        <v>2</v>
      </c>
      <c r="L7" s="13"/>
      <c r="M7" s="13" t="n">
        <v>4</v>
      </c>
      <c r="P7" s="12" t="s">
        <v>14</v>
      </c>
      <c r="Q7" s="12"/>
      <c r="R7" s="12"/>
      <c r="S7" s="14" t="n">
        <f aca="false">S6</f>
        <v>0</v>
      </c>
      <c r="T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0.8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0.4</v>
      </c>
      <c r="V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0.8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1.6</v>
      </c>
      <c r="AA7" s="87" t="n">
        <f aca="false">AVERAGE(S7:Y7)</f>
        <v>0.514285714285714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8" s="87" t="n">
        <f aca="false">AVERAGE(S8:Y8)</f>
        <v>0</v>
      </c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9" s="87" t="n">
        <f aca="false">AVERAGE(S9:Y9)</f>
        <v>0</v>
      </c>
    </row>
    <row r="10" customFormat="false" ht="15" hidden="false" customHeight="false" outlineLevel="0" collapsed="false">
      <c r="D10" s="172" t="s">
        <v>17</v>
      </c>
      <c r="E10" s="172"/>
      <c r="F10" s="172"/>
      <c r="G10" s="173"/>
      <c r="H10" s="173"/>
      <c r="I10" s="173"/>
      <c r="J10" s="173"/>
      <c r="K10" s="173"/>
      <c r="L10" s="173"/>
      <c r="M10" s="173"/>
      <c r="P10" s="172" t="s">
        <v>17</v>
      </c>
      <c r="Q10" s="172"/>
      <c r="R10" s="172"/>
      <c r="S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10" s="87" t="n">
        <f aca="false">AVERAGE(S10:Y10)</f>
        <v>0</v>
      </c>
    </row>
    <row r="11" customFormat="false" ht="15" hidden="false" customHeight="false" outlineLevel="0" collapsed="false">
      <c r="D11" s="9" t="s">
        <v>18</v>
      </c>
      <c r="E11" s="9"/>
      <c r="F11" s="9"/>
      <c r="G11" s="13" t="n">
        <v>2</v>
      </c>
      <c r="H11" s="13"/>
      <c r="I11" s="13" t="n">
        <v>1</v>
      </c>
      <c r="J11" s="13" t="n">
        <v>2</v>
      </c>
      <c r="K11" s="13" t="n">
        <v>1</v>
      </c>
      <c r="L11" s="13"/>
      <c r="M11" s="13"/>
      <c r="P11" s="9" t="s">
        <v>18</v>
      </c>
      <c r="Q11" s="9"/>
      <c r="R11" s="9"/>
      <c r="S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0.8</v>
      </c>
      <c r="T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0.4</v>
      </c>
      <c r="V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0.8</v>
      </c>
      <c r="W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0.4</v>
      </c>
      <c r="X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11" s="87" t="n">
        <f aca="false">AVERAGE(S11:Y11)</f>
        <v>0.342857142857143</v>
      </c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12</v>
      </c>
      <c r="H12" s="13" t="n">
        <v>9</v>
      </c>
      <c r="I12" s="13" t="n">
        <v>14</v>
      </c>
      <c r="J12" s="13" t="n">
        <v>7</v>
      </c>
      <c r="K12" s="13" t="n">
        <v>21</v>
      </c>
      <c r="L12" s="13" t="n">
        <v>7</v>
      </c>
      <c r="M12" s="13" t="n">
        <v>4</v>
      </c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4.8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3.6</v>
      </c>
      <c r="U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5.6</v>
      </c>
      <c r="V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2.8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8.4</v>
      </c>
      <c r="X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2.8</v>
      </c>
      <c r="Y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1.6</v>
      </c>
      <c r="AA12" s="87" t="n">
        <f aca="false">AVERAGE(S12:Y12)</f>
        <v>4.22857142857143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13" s="87" t="n">
        <f aca="false">AVERAGE(S13:Y13)</f>
        <v>0</v>
      </c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14" s="87" t="n">
        <f aca="false">AVERAGE(S14:Y14)</f>
        <v>0</v>
      </c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2</v>
      </c>
      <c r="H15" s="13"/>
      <c r="I15" s="13" t="n">
        <v>9</v>
      </c>
      <c r="J15" s="13" t="n">
        <v>5</v>
      </c>
      <c r="K15" s="13" t="n">
        <v>4</v>
      </c>
      <c r="L15" s="13" t="n">
        <v>7</v>
      </c>
      <c r="M15" s="13" t="n">
        <v>2</v>
      </c>
      <c r="P15" s="12" t="s">
        <v>22</v>
      </c>
      <c r="Q15" s="12"/>
      <c r="R15" s="12"/>
      <c r="S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0.8</v>
      </c>
      <c r="T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3.6</v>
      </c>
      <c r="V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2</v>
      </c>
      <c r="W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1.6</v>
      </c>
      <c r="X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2.8</v>
      </c>
      <c r="Y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0.8</v>
      </c>
      <c r="AA15" s="87" t="n">
        <f aca="false">AVERAGE(S15:Y15)</f>
        <v>1.65714285714286</v>
      </c>
    </row>
    <row r="16" customFormat="false" ht="15" hidden="false" customHeight="false" outlineLevel="0" collapsed="false">
      <c r="D16" s="12" t="s">
        <v>23</v>
      </c>
      <c r="E16" s="12"/>
      <c r="F16" s="12"/>
      <c r="G16" s="13" t="n">
        <v>1</v>
      </c>
      <c r="H16" s="13" t="n">
        <v>1</v>
      </c>
      <c r="I16" s="13"/>
      <c r="J16" s="13" t="n">
        <v>3</v>
      </c>
      <c r="K16" s="13" t="n">
        <v>18</v>
      </c>
      <c r="L16" s="13" t="n">
        <v>6</v>
      </c>
      <c r="M16" s="13" t="n">
        <v>7</v>
      </c>
      <c r="P16" s="12" t="s">
        <v>23</v>
      </c>
      <c r="Q16" s="12"/>
      <c r="R16" s="12"/>
      <c r="S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0.4</v>
      </c>
      <c r="T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0.4</v>
      </c>
      <c r="U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1.2</v>
      </c>
      <c r="W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7.2</v>
      </c>
      <c r="X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2.4</v>
      </c>
      <c r="Y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2.8</v>
      </c>
      <c r="AA16" s="87" t="n">
        <f aca="false">AVERAGE(S16:Y16)</f>
        <v>2.05714285714286</v>
      </c>
    </row>
    <row r="17" customFormat="false" ht="15" hidden="false" customHeight="false" outlineLevel="0" collapsed="false">
      <c r="D17" s="175" t="s">
        <v>112</v>
      </c>
      <c r="E17" s="175"/>
      <c r="F17" s="175"/>
      <c r="G17" s="173"/>
      <c r="H17" s="173"/>
      <c r="I17" s="173"/>
      <c r="J17" s="173"/>
      <c r="K17" s="173"/>
      <c r="L17" s="173"/>
      <c r="M17" s="173"/>
      <c r="P17" s="175" t="s">
        <v>24</v>
      </c>
      <c r="Q17" s="175"/>
      <c r="R17" s="175"/>
      <c r="S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17" s="87" t="n">
        <f aca="false">AVERAGE(S17:Y17)</f>
        <v>0</v>
      </c>
    </row>
    <row r="18" customFormat="false" ht="15" hidden="false" customHeight="false" outlineLevel="0" collapsed="false">
      <c r="D18" s="172" t="s">
        <v>25</v>
      </c>
      <c r="E18" s="172"/>
      <c r="F18" s="172"/>
      <c r="G18" s="173"/>
      <c r="H18" s="173"/>
      <c r="I18" s="173"/>
      <c r="J18" s="173"/>
      <c r="K18" s="173"/>
      <c r="L18" s="173"/>
      <c r="M18" s="173"/>
      <c r="P18" s="172" t="s">
        <v>25</v>
      </c>
      <c r="Q18" s="172"/>
      <c r="R18" s="172"/>
      <c r="S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18" s="87" t="n">
        <f aca="false">AVERAGE(S18:Y18)</f>
        <v>0</v>
      </c>
    </row>
    <row r="19" customFormat="false" ht="15" hidden="false" customHeight="false" outlineLevel="0" collapsed="false">
      <c r="D19" s="176" t="s">
        <v>26</v>
      </c>
      <c r="E19" s="176"/>
      <c r="F19" s="176"/>
      <c r="G19" s="173"/>
      <c r="H19" s="173"/>
      <c r="I19" s="173"/>
      <c r="J19" s="173"/>
      <c r="K19" s="173"/>
      <c r="L19" s="173"/>
      <c r="M19" s="173"/>
      <c r="P19" s="176" t="s">
        <v>26</v>
      </c>
      <c r="Q19" s="176"/>
      <c r="R19" s="176"/>
      <c r="S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19" s="87" t="n">
        <f aca="false">AVERAGE(S19:Y19)</f>
        <v>0</v>
      </c>
    </row>
    <row r="20" customFormat="false" ht="15" hidden="false" customHeight="false" outlineLevel="0" collapsed="false">
      <c r="D20" s="176" t="s">
        <v>27</v>
      </c>
      <c r="E20" s="176"/>
      <c r="F20" s="176"/>
      <c r="G20" s="173"/>
      <c r="H20" s="173"/>
      <c r="I20" s="173"/>
      <c r="J20" s="173"/>
      <c r="K20" s="173"/>
      <c r="L20" s="173"/>
      <c r="M20" s="173"/>
      <c r="P20" s="176" t="s">
        <v>27</v>
      </c>
      <c r="Q20" s="176"/>
      <c r="R20" s="176"/>
      <c r="S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20" s="87" t="n">
        <f aca="false">AVERAGE(S20:Y20)</f>
        <v>0</v>
      </c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21" s="87" t="n">
        <f aca="false">AVERAGE(S21:Y21)</f>
        <v>0</v>
      </c>
    </row>
    <row r="22" customFormat="false" ht="15" hidden="false" customHeight="false" outlineLevel="0" collapsed="false">
      <c r="D22" s="172" t="s">
        <v>29</v>
      </c>
      <c r="E22" s="172"/>
      <c r="F22" s="172"/>
      <c r="G22" s="173"/>
      <c r="H22" s="173" t="n">
        <v>1</v>
      </c>
      <c r="I22" s="173" t="n">
        <v>1</v>
      </c>
      <c r="J22" s="173"/>
      <c r="K22" s="173"/>
      <c r="L22" s="173"/>
      <c r="M22" s="173"/>
      <c r="P22" s="172" t="s">
        <v>29</v>
      </c>
      <c r="Q22" s="172"/>
      <c r="R22" s="172"/>
      <c r="S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0.4</v>
      </c>
      <c r="U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0.4</v>
      </c>
      <c r="V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22" s="87" t="n">
        <f aca="false">AVERAGE(S22:Y22)</f>
        <v>0.114285714285714</v>
      </c>
    </row>
    <row r="23" customFormat="false" ht="15" hidden="false" customHeight="false" outlineLevel="0" collapsed="false">
      <c r="D23" s="177" t="s">
        <v>30</v>
      </c>
      <c r="E23" s="177"/>
      <c r="F23" s="177"/>
      <c r="G23" s="173"/>
      <c r="H23" s="173"/>
      <c r="I23" s="173"/>
      <c r="J23" s="173"/>
      <c r="K23" s="173"/>
      <c r="L23" s="173"/>
      <c r="M23" s="173"/>
      <c r="P23" s="177" t="s">
        <v>30</v>
      </c>
      <c r="Q23" s="177"/>
      <c r="R23" s="177"/>
      <c r="S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23" s="87" t="n">
        <f aca="false">AVERAGE(S23:Y23)</f>
        <v>0</v>
      </c>
    </row>
    <row r="24" customFormat="false" ht="15" hidden="false" customHeight="false" outlineLevel="0" collapsed="false">
      <c r="D24" s="176" t="s">
        <v>31</v>
      </c>
      <c r="E24" s="176"/>
      <c r="F24" s="176"/>
      <c r="G24" s="173"/>
      <c r="H24" s="173"/>
      <c r="I24" s="173"/>
      <c r="J24" s="173"/>
      <c r="K24" s="173"/>
      <c r="L24" s="173"/>
      <c r="M24" s="173"/>
      <c r="P24" s="176" t="s">
        <v>31</v>
      </c>
      <c r="Q24" s="176"/>
      <c r="R24" s="176"/>
      <c r="S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24" s="87" t="n">
        <f aca="false">AVERAGE(S24:Y24)</f>
        <v>0</v>
      </c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25" s="87" t="n">
        <f aca="false">AVERAGE(S25:Y25)</f>
        <v>0</v>
      </c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26" s="87" t="n">
        <f aca="false">AVERAGE(S26:Y26)</f>
        <v>0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42"/>
      <c r="K27" s="13"/>
      <c r="L27" s="13"/>
      <c r="M27" s="13"/>
      <c r="P27" s="172" t="s">
        <v>34</v>
      </c>
      <c r="Q27" s="172"/>
      <c r="R27" s="172"/>
      <c r="S2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2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2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2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2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2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2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27" s="87" t="n">
        <f aca="false">AVERAGE(S27:Y27)</f>
        <v>0</v>
      </c>
    </row>
    <row r="28" customFormat="false" ht="15" hidden="false" customHeight="false" outlineLevel="0" collapsed="false">
      <c r="D28" s="172" t="s">
        <v>35</v>
      </c>
      <c r="E28" s="172"/>
      <c r="F28" s="172"/>
      <c r="G28" s="173"/>
      <c r="H28" s="173"/>
      <c r="I28" s="173"/>
      <c r="J28" s="173"/>
      <c r="K28" s="173"/>
      <c r="L28" s="173"/>
      <c r="M28" s="173"/>
      <c r="P28" s="172" t="s">
        <v>35</v>
      </c>
      <c r="Q28" s="172"/>
      <c r="R28" s="172"/>
      <c r="S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28" s="87" t="n">
        <f aca="false">AVERAGE(S28:Y28)</f>
        <v>0</v>
      </c>
    </row>
    <row r="29" customFormat="false" ht="15" hidden="false" customHeight="false" outlineLevel="0" collapsed="false">
      <c r="D29" s="172" t="s">
        <v>36</v>
      </c>
      <c r="E29" s="172"/>
      <c r="F29" s="172"/>
      <c r="G29" s="173" t="n">
        <v>10</v>
      </c>
      <c r="H29" s="173" t="n">
        <v>8</v>
      </c>
      <c r="I29" s="173" t="n">
        <v>30</v>
      </c>
      <c r="J29" s="173" t="n">
        <v>13</v>
      </c>
      <c r="K29" s="173" t="n">
        <v>27</v>
      </c>
      <c r="L29" s="173" t="n">
        <v>9</v>
      </c>
      <c r="M29" s="173" t="n">
        <v>16</v>
      </c>
      <c r="P29" s="172" t="s">
        <v>36</v>
      </c>
      <c r="Q29" s="172"/>
      <c r="R29" s="172"/>
      <c r="S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4</v>
      </c>
      <c r="T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3.2</v>
      </c>
      <c r="U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12</v>
      </c>
      <c r="V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5.2</v>
      </c>
      <c r="W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10.8</v>
      </c>
      <c r="X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3.6</v>
      </c>
      <c r="Y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6.4</v>
      </c>
      <c r="AA29" s="87" t="n">
        <f aca="false">AVERAGE(S29:Y29)</f>
        <v>6.45714285714286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30" s="87" t="n">
        <f aca="false">AVERAGE(S30:Y30)</f>
        <v>0</v>
      </c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31" s="87" t="n">
        <f aca="false">AVERAGE(S31:Y31)</f>
        <v>0</v>
      </c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32" s="87" t="n">
        <f aca="false">AVERAGE(S32:Y32)</f>
        <v>0</v>
      </c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33" s="87" t="n">
        <f aca="false">AVERAGE(S33:Y33)</f>
        <v>0</v>
      </c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34" s="87" t="n">
        <f aca="false">AVERAGE(S34:Y34)</f>
        <v>0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35" s="87" t="n">
        <f aca="false">AVERAGE(S35:Y35)</f>
        <v>0</v>
      </c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36" s="87" t="n">
        <f aca="false">AVERAGE(S36:Y36)</f>
        <v>0</v>
      </c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37" s="87" t="n">
        <f aca="false">AVERAGE(S37:Y37)</f>
        <v>0</v>
      </c>
    </row>
    <row r="38" customFormat="false" ht="15" hidden="false" customHeight="false" outlineLevel="0" collapsed="false">
      <c r="D38" s="178" t="s">
        <v>45</v>
      </c>
      <c r="E38" s="178"/>
      <c r="F38" s="178"/>
      <c r="G38" s="173"/>
      <c r="H38" s="173"/>
      <c r="I38" s="173"/>
      <c r="J38" s="173"/>
      <c r="K38" s="173"/>
      <c r="L38" s="173"/>
      <c r="M38" s="173"/>
      <c r="P38" s="178" t="s">
        <v>45</v>
      </c>
      <c r="Q38" s="178"/>
      <c r="R38" s="178"/>
      <c r="S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38" s="87" t="n">
        <f aca="false">AVERAGE(S38:Y38)</f>
        <v>0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39" s="87" t="n">
        <f aca="false">AVERAGE(S39:Y39)</f>
        <v>0</v>
      </c>
    </row>
    <row r="40" customFormat="false" ht="15" hidden="false" customHeight="false" outlineLevel="0" collapsed="false">
      <c r="D40" s="172" t="s">
        <v>47</v>
      </c>
      <c r="E40" s="172"/>
      <c r="F40" s="172"/>
      <c r="G40" s="173"/>
      <c r="H40" s="173"/>
      <c r="I40" s="173"/>
      <c r="J40" s="173"/>
      <c r="K40" s="173"/>
      <c r="L40" s="173"/>
      <c r="M40" s="173"/>
      <c r="P40" s="172" t="s">
        <v>47</v>
      </c>
      <c r="Q40" s="172"/>
      <c r="R40" s="172"/>
      <c r="S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40" s="87" t="n">
        <f aca="false">AVERAGE(S40:Y40)</f>
        <v>0</v>
      </c>
    </row>
    <row r="41" customFormat="false" ht="15" hidden="false" customHeight="false" outlineLevel="0" collapsed="false">
      <c r="D41" s="179" t="s">
        <v>48</v>
      </c>
      <c r="E41" s="179"/>
      <c r="F41" s="179"/>
      <c r="G41" s="173" t="n">
        <v>1</v>
      </c>
      <c r="H41" s="173"/>
      <c r="I41" s="173"/>
      <c r="J41" s="173"/>
      <c r="K41" s="173" t="n">
        <v>1</v>
      </c>
      <c r="L41" s="173"/>
      <c r="M41" s="173"/>
      <c r="P41" s="179" t="s">
        <v>48</v>
      </c>
      <c r="Q41" s="179"/>
      <c r="R41" s="179"/>
      <c r="S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0.4</v>
      </c>
      <c r="T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0.4</v>
      </c>
      <c r="X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41" s="87" t="n">
        <f aca="false">AVERAGE(S41:Y41)</f>
        <v>0.114285714285714</v>
      </c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2</v>
      </c>
      <c r="H42" s="13" t="n">
        <v>2</v>
      </c>
      <c r="I42" s="13" t="n">
        <v>6</v>
      </c>
      <c r="J42" s="142" t="n">
        <v>8</v>
      </c>
      <c r="K42" s="13" t="n">
        <v>7</v>
      </c>
      <c r="L42" s="13" t="n">
        <v>5</v>
      </c>
      <c r="M42" s="13" t="n">
        <v>4</v>
      </c>
      <c r="P42" s="12" t="s">
        <v>49</v>
      </c>
      <c r="Q42" s="12"/>
      <c r="R42" s="12"/>
      <c r="S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0.8</v>
      </c>
      <c r="T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0.8</v>
      </c>
      <c r="U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2.4</v>
      </c>
      <c r="V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3.2</v>
      </c>
      <c r="W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2.8</v>
      </c>
      <c r="X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2</v>
      </c>
      <c r="Y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1.6</v>
      </c>
      <c r="AA42" s="87" t="n">
        <f aca="false">AVERAGE(S42:Y42)</f>
        <v>1.94285714285714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43" s="87" t="n">
        <f aca="false">AVERAGE(S43:Y43)</f>
        <v>0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3</v>
      </c>
      <c r="H44" s="13" t="n">
        <v>2</v>
      </c>
      <c r="I44" s="13" t="n">
        <v>3</v>
      </c>
      <c r="J44" s="13"/>
      <c r="K44" s="142"/>
      <c r="L44" s="13"/>
      <c r="M44" s="142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1.2</v>
      </c>
      <c r="T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0.8</v>
      </c>
      <c r="U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1.2</v>
      </c>
      <c r="V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44" s="87" t="n">
        <f aca="false">AVERAGE(S44:Y44)</f>
        <v>0.457142857142857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45" s="87" t="n">
        <f aca="false">AVERAGE(S45:Y45)</f>
        <v>0</v>
      </c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46" s="87" t="n">
        <f aca="false">AVERAGE(S46:Y46)</f>
        <v>0</v>
      </c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47" s="87" t="n">
        <f aca="false">AVERAGE(S47:Y47)</f>
        <v>0</v>
      </c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 t="n">
        <v>2</v>
      </c>
      <c r="I48" s="13"/>
      <c r="J48" s="13"/>
      <c r="K48" s="13"/>
      <c r="L48" s="13"/>
      <c r="M48" s="13"/>
      <c r="P48" s="12" t="s">
        <v>55</v>
      </c>
      <c r="Q48" s="12"/>
      <c r="R48" s="12"/>
      <c r="S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0.8</v>
      </c>
      <c r="U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48" s="87" t="n">
        <f aca="false">AVERAGE(S48:Y48)</f>
        <v>0.114285714285714</v>
      </c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1</v>
      </c>
      <c r="H49" s="142"/>
      <c r="I49" s="142" t="n">
        <v>1</v>
      </c>
      <c r="J49" s="142"/>
      <c r="K49" s="13" t="n">
        <v>1</v>
      </c>
      <c r="L49" s="13"/>
      <c r="M49" s="13"/>
      <c r="P49" s="18" t="s">
        <v>56</v>
      </c>
      <c r="Q49" s="18"/>
      <c r="R49" s="18"/>
      <c r="S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0.4</v>
      </c>
      <c r="T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0.4</v>
      </c>
      <c r="V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0.4</v>
      </c>
      <c r="X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49" s="87" t="n">
        <f aca="false">AVERAGE(S49:Y49)</f>
        <v>0.171428571428571</v>
      </c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50" s="87" t="n">
        <f aca="false">AVERAGE(S50:Y50)</f>
        <v>0</v>
      </c>
    </row>
    <row r="51" customFormat="false" ht="15" hidden="false" customHeight="false" outlineLevel="0" collapsed="false">
      <c r="D51" s="18" t="s">
        <v>58</v>
      </c>
      <c r="E51" s="18"/>
      <c r="F51" s="18"/>
      <c r="G51" s="13" t="n">
        <v>1</v>
      </c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0.4</v>
      </c>
      <c r="T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51" s="87" t="n">
        <f aca="false">AVERAGE(S51:Y51)</f>
        <v>0.0571428571428572</v>
      </c>
    </row>
    <row r="52" customFormat="false" ht="15" hidden="false" customHeight="false" outlineLevel="0" collapsed="false">
      <c r="D52" s="172" t="s">
        <v>59</v>
      </c>
      <c r="E52" s="172"/>
      <c r="F52" s="172"/>
      <c r="G52" s="173" t="n">
        <v>69</v>
      </c>
      <c r="H52" s="173" t="n">
        <v>55</v>
      </c>
      <c r="I52" s="173" t="n">
        <v>59</v>
      </c>
      <c r="J52" s="173" t="n">
        <v>76</v>
      </c>
      <c r="K52" s="173" t="n">
        <v>186</v>
      </c>
      <c r="L52" s="173" t="n">
        <v>85</v>
      </c>
      <c r="M52" s="173" t="n">
        <v>79</v>
      </c>
      <c r="P52" s="172" t="s">
        <v>59</v>
      </c>
      <c r="Q52" s="172"/>
      <c r="R52" s="172"/>
      <c r="S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27.6</v>
      </c>
      <c r="T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22</v>
      </c>
      <c r="U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23.6</v>
      </c>
      <c r="V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30.4</v>
      </c>
      <c r="W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74.4</v>
      </c>
      <c r="X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34</v>
      </c>
      <c r="Y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31.6</v>
      </c>
      <c r="AA52" s="87" t="n">
        <f aca="false">AVERAGE(S52:Y52)</f>
        <v>34.8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/>
      <c r="H53" s="55"/>
      <c r="I53" s="55"/>
      <c r="J53" s="55"/>
      <c r="K53" s="55"/>
      <c r="L53" s="55"/>
      <c r="M53" s="55"/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53" s="87" t="n">
        <f aca="false">AVERAGE(S53:Y53)</f>
        <v>0</v>
      </c>
    </row>
    <row r="57" customFormat="false" ht="15" hidden="false" customHeight="false" outlineLevel="0" collapsed="false">
      <c r="D57" s="169" t="s">
        <v>61</v>
      </c>
      <c r="E57" s="169"/>
      <c r="F57" s="169"/>
      <c r="G57" s="180" t="s">
        <v>6</v>
      </c>
      <c r="H57" s="181" t="s">
        <v>7</v>
      </c>
      <c r="I57" s="181" t="s">
        <v>8</v>
      </c>
      <c r="J57" s="181" t="s">
        <v>9</v>
      </c>
      <c r="K57" s="181" t="s">
        <v>10</v>
      </c>
      <c r="L57" s="181" t="s">
        <v>11</v>
      </c>
      <c r="M57" s="181" t="s">
        <v>12</v>
      </c>
      <c r="P57" s="169" t="s">
        <v>61</v>
      </c>
      <c r="Q57" s="169"/>
      <c r="R57" s="169"/>
      <c r="S57" s="180" t="s">
        <v>6</v>
      </c>
      <c r="T57" s="181" t="s">
        <v>7</v>
      </c>
      <c r="U57" s="181" t="s">
        <v>8</v>
      </c>
      <c r="V57" s="181" t="s">
        <v>9</v>
      </c>
      <c r="W57" s="181" t="s">
        <v>10</v>
      </c>
      <c r="X57" s="181" t="s">
        <v>11</v>
      </c>
      <c r="Y57" s="181" t="s">
        <v>12</v>
      </c>
      <c r="AA57" s="171" t="s">
        <v>111</v>
      </c>
    </row>
    <row r="58" customFormat="false" ht="15" hidden="false" customHeight="false" outlineLevel="0" collapsed="false">
      <c r="D58" s="182" t="s">
        <v>62</v>
      </c>
      <c r="E58" s="182"/>
      <c r="F58" s="182"/>
      <c r="G58" s="183" t="n">
        <v>248</v>
      </c>
      <c r="H58" s="184" t="n">
        <v>174</v>
      </c>
      <c r="I58" s="184" t="n">
        <v>787</v>
      </c>
      <c r="J58" s="184" t="n">
        <v>486</v>
      </c>
      <c r="K58" s="184" t="n">
        <v>700</v>
      </c>
      <c r="L58" s="184" t="n">
        <v>808</v>
      </c>
      <c r="M58" s="184" t="n">
        <v>318</v>
      </c>
      <c r="P58" s="182" t="s">
        <v>62</v>
      </c>
      <c r="Q58" s="182"/>
      <c r="R58" s="182"/>
      <c r="S58" s="185" t="n">
        <f aca="false">G58*$Q3</f>
        <v>99.2</v>
      </c>
      <c r="T58" s="185" t="n">
        <f aca="false">H58*$Q3</f>
        <v>69.6</v>
      </c>
      <c r="U58" s="185" t="n">
        <f aca="false">I58*$Q3</f>
        <v>314.8</v>
      </c>
      <c r="V58" s="185" t="n">
        <f aca="false">J58*$Q3</f>
        <v>194.4</v>
      </c>
      <c r="W58" s="185" t="n">
        <f aca="false">K58*$Q3</f>
        <v>280</v>
      </c>
      <c r="X58" s="185" t="n">
        <f aca="false">L58*$Q3</f>
        <v>323.2</v>
      </c>
      <c r="Y58" s="186" t="n">
        <f aca="false">M58*$Q3</f>
        <v>127.2</v>
      </c>
      <c r="AA58" s="87" t="n">
        <f aca="false">AVERAGE(S58:Y58)</f>
        <v>201.2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 t="n">
        <f aca="false">G59*$Q3</f>
        <v>0</v>
      </c>
      <c r="T59" s="57" t="n">
        <f aca="false">H59*$Q3</f>
        <v>0</v>
      </c>
      <c r="U59" s="57" t="n">
        <f aca="false">I59*$Q3</f>
        <v>0</v>
      </c>
      <c r="V59" s="57" t="n">
        <f aca="false">J59*$Q3</f>
        <v>0</v>
      </c>
      <c r="W59" s="57" t="n">
        <f aca="false">K59*$Q3</f>
        <v>0</v>
      </c>
      <c r="X59" s="57" t="n">
        <f aca="false">L59*$Q3</f>
        <v>0</v>
      </c>
      <c r="Y59" s="57" t="n">
        <f aca="false">M59*$Q3</f>
        <v>0</v>
      </c>
      <c r="AA59" s="8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 t="n">
        <f aca="false">G60*$Q3</f>
        <v>0</v>
      </c>
      <c r="T60" s="57" t="n">
        <f aca="false">H60*$Q3</f>
        <v>0</v>
      </c>
      <c r="U60" s="57" t="n">
        <f aca="false">I60*$Q3</f>
        <v>0</v>
      </c>
      <c r="V60" s="57" t="n">
        <f aca="false">J60*$Q3</f>
        <v>0</v>
      </c>
      <c r="W60" s="57" t="n">
        <f aca="false">K60*$Q3</f>
        <v>0</v>
      </c>
      <c r="X60" s="57" t="n">
        <f aca="false">L60*$Q3</f>
        <v>0</v>
      </c>
      <c r="Y60" s="57" t="n">
        <f aca="false">M60*$Q3</f>
        <v>0</v>
      </c>
      <c r="AA60" s="87" t="n">
        <f aca="false">AVERAGE(S60:Y60)</f>
        <v>0</v>
      </c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 t="n">
        <f aca="false">G61*$Q3</f>
        <v>0</v>
      </c>
      <c r="T61" s="57" t="n">
        <f aca="false">H61*$Q3</f>
        <v>0</v>
      </c>
      <c r="U61" s="57" t="n">
        <f aca="false">I61*$Q3</f>
        <v>0</v>
      </c>
      <c r="V61" s="57" t="n">
        <f aca="false">J61*$Q3</f>
        <v>0</v>
      </c>
      <c r="W61" s="57" t="n">
        <f aca="false">K61*$Q3</f>
        <v>0</v>
      </c>
      <c r="X61" s="57" t="n">
        <f aca="false">L61*$Q3</f>
        <v>0</v>
      </c>
      <c r="Y61" s="57" t="n">
        <f aca="false">M61*$Q3</f>
        <v>0</v>
      </c>
      <c r="AA61" s="8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103</v>
      </c>
      <c r="H62" s="26" t="n">
        <v>85</v>
      </c>
      <c r="I62" s="26" t="n">
        <v>384</v>
      </c>
      <c r="J62" s="26" t="n">
        <v>237</v>
      </c>
      <c r="K62" s="26" t="n">
        <v>415</v>
      </c>
      <c r="L62" s="26" t="n">
        <v>337</v>
      </c>
      <c r="M62" s="26" t="n">
        <v>177</v>
      </c>
      <c r="P62" s="9" t="s">
        <v>66</v>
      </c>
      <c r="Q62" s="9"/>
      <c r="R62" s="9"/>
      <c r="S62" s="57" t="n">
        <f aca="false">G62*$Q3</f>
        <v>41.2</v>
      </c>
      <c r="T62" s="57" t="n">
        <f aca="false">H62*$Q3</f>
        <v>34</v>
      </c>
      <c r="U62" s="57" t="n">
        <f aca="false">I62*$Q3</f>
        <v>153.6</v>
      </c>
      <c r="V62" s="57" t="n">
        <f aca="false">J62*$Q3</f>
        <v>94.8</v>
      </c>
      <c r="W62" s="57" t="n">
        <f aca="false">K62*$Q3</f>
        <v>166</v>
      </c>
      <c r="X62" s="57" t="n">
        <f aca="false">L62*$Q3</f>
        <v>134.8</v>
      </c>
      <c r="Y62" s="57" t="n">
        <f aca="false">M62*$Q3</f>
        <v>70.8</v>
      </c>
      <c r="AA62" s="87" t="n">
        <f aca="false">AVERAGE(S62:Y62)</f>
        <v>99.3142857142857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8</v>
      </c>
      <c r="H63" s="164" t="n">
        <v>13</v>
      </c>
      <c r="I63" s="13" t="n">
        <v>14</v>
      </c>
      <c r="J63" s="26" t="n">
        <v>31</v>
      </c>
      <c r="K63" s="26" t="n">
        <v>29</v>
      </c>
      <c r="L63" s="26" t="n">
        <v>29</v>
      </c>
      <c r="M63" s="26" t="n">
        <v>21</v>
      </c>
      <c r="P63" s="9" t="s">
        <v>67</v>
      </c>
      <c r="Q63" s="9"/>
      <c r="R63" s="9"/>
      <c r="S63" s="57" t="n">
        <f aca="false">G63*$Q3</f>
        <v>3.2</v>
      </c>
      <c r="T63" s="57" t="n">
        <f aca="false">H63*$Q3</f>
        <v>5.2</v>
      </c>
      <c r="U63" s="57" t="n">
        <f aca="false">I63*$Q3</f>
        <v>5.6</v>
      </c>
      <c r="V63" s="57" t="n">
        <f aca="false">J63*$Q3</f>
        <v>12.4</v>
      </c>
      <c r="W63" s="57" t="n">
        <f aca="false">K63*$Q3</f>
        <v>11.6</v>
      </c>
      <c r="X63" s="57" t="n">
        <f aca="false">L63*$Q3</f>
        <v>11.6</v>
      </c>
      <c r="Y63" s="57" t="n">
        <f aca="false">M63*$Q3</f>
        <v>8.4</v>
      </c>
      <c r="AA63" s="87" t="n">
        <f aca="false">AVERAGE(S63:Y63)</f>
        <v>8.28571428571429</v>
      </c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64</v>
      </c>
      <c r="H64" s="26" t="n">
        <v>66</v>
      </c>
      <c r="I64" s="26" t="n">
        <v>127</v>
      </c>
      <c r="J64" s="26" t="n">
        <v>120</v>
      </c>
      <c r="K64" s="26" t="n">
        <v>121</v>
      </c>
      <c r="L64" s="26" t="n">
        <v>128</v>
      </c>
      <c r="M64" s="26" t="n">
        <v>70</v>
      </c>
      <c r="P64" s="9" t="s">
        <v>68</v>
      </c>
      <c r="Q64" s="9"/>
      <c r="R64" s="9"/>
      <c r="S64" s="57" t="n">
        <f aca="false">G64*$Q3</f>
        <v>25.6</v>
      </c>
      <c r="T64" s="57" t="n">
        <f aca="false">H64*$Q3</f>
        <v>26.4</v>
      </c>
      <c r="U64" s="57" t="n">
        <f aca="false">I64*$Q3</f>
        <v>50.8</v>
      </c>
      <c r="V64" s="57" t="n">
        <f aca="false">J64*$Q3</f>
        <v>48</v>
      </c>
      <c r="W64" s="57" t="n">
        <f aca="false">K64*$Q3</f>
        <v>48.4</v>
      </c>
      <c r="X64" s="57" t="n">
        <f aca="false">L64*$Q3</f>
        <v>51.2</v>
      </c>
      <c r="Y64" s="57" t="n">
        <f aca="false">M64*$Q3</f>
        <v>28</v>
      </c>
      <c r="AA64" s="87" t="n">
        <f aca="false">AVERAGE(S64:Y64)</f>
        <v>39.7714285714286</v>
      </c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1</v>
      </c>
      <c r="H65" s="30" t="n">
        <v>2</v>
      </c>
      <c r="I65" s="30"/>
      <c r="J65" s="26" t="n">
        <v>3</v>
      </c>
      <c r="K65" s="26" t="n">
        <v>3</v>
      </c>
      <c r="L65" s="26" t="n">
        <v>2</v>
      </c>
      <c r="M65" s="26"/>
      <c r="P65" s="9" t="s">
        <v>69</v>
      </c>
      <c r="Q65" s="9"/>
      <c r="R65" s="9"/>
      <c r="S65" s="57" t="n">
        <f aca="false">G65*$Q3</f>
        <v>0.4</v>
      </c>
      <c r="T65" s="57" t="n">
        <f aca="false">H65*$Q3</f>
        <v>0.8</v>
      </c>
      <c r="U65" s="57" t="n">
        <f aca="false">I65*$Q3</f>
        <v>0</v>
      </c>
      <c r="V65" s="57" t="n">
        <f aca="false">J65*$Q3</f>
        <v>1.2</v>
      </c>
      <c r="W65" s="57" t="n">
        <f aca="false">K65*$Q3</f>
        <v>1.2</v>
      </c>
      <c r="X65" s="57" t="n">
        <f aca="false">L65*$Q3</f>
        <v>0.8</v>
      </c>
      <c r="Y65" s="57" t="n">
        <f aca="false">M65*$Q3</f>
        <v>0</v>
      </c>
      <c r="AA65" s="87" t="n">
        <f aca="false">AVERAGE(S65:Y65)</f>
        <v>0.628571428571429</v>
      </c>
    </row>
    <row r="66" customFormat="false" ht="15" hidden="false" customHeight="false" outlineLevel="0" collapsed="false">
      <c r="D66" s="9" t="s">
        <v>70</v>
      </c>
      <c r="E66" s="9"/>
      <c r="F66" s="9"/>
      <c r="G66" s="26" t="n">
        <v>3</v>
      </c>
      <c r="H66" s="87" t="n">
        <v>2</v>
      </c>
      <c r="I66" s="26"/>
      <c r="J66" s="164"/>
      <c r="K66" s="26"/>
      <c r="L66" s="26"/>
      <c r="M66" s="26"/>
      <c r="P66" s="9" t="s">
        <v>70</v>
      </c>
      <c r="Q66" s="9"/>
      <c r="R66" s="9"/>
      <c r="S66" s="57" t="n">
        <f aca="false">G66*$Q3</f>
        <v>1.2</v>
      </c>
      <c r="T66" s="57" t="n">
        <f aca="false">H66*$Q3</f>
        <v>0.8</v>
      </c>
      <c r="U66" s="57" t="n">
        <f aca="false">I66*$Q3</f>
        <v>0</v>
      </c>
      <c r="V66" s="57" t="n">
        <f aca="false">J66*$Q3</f>
        <v>0</v>
      </c>
      <c r="W66" s="57" t="n">
        <f aca="false">K66*$Q3</f>
        <v>0</v>
      </c>
      <c r="X66" s="57" t="n">
        <f aca="false">L66*$Q3</f>
        <v>0</v>
      </c>
      <c r="Y66" s="57" t="n">
        <f aca="false">M66*$Q3</f>
        <v>0</v>
      </c>
      <c r="AA66" s="87" t="n">
        <f aca="false">AVERAGE(S66:Y66)</f>
        <v>0.285714285714286</v>
      </c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12</v>
      </c>
      <c r="H67" s="139" t="n">
        <v>10</v>
      </c>
      <c r="I67" s="139" t="n">
        <v>6</v>
      </c>
      <c r="J67" s="26" t="n">
        <v>10</v>
      </c>
      <c r="K67" s="26" t="n">
        <v>19</v>
      </c>
      <c r="L67" s="26" t="n">
        <v>19</v>
      </c>
      <c r="M67" s="26" t="n">
        <v>14</v>
      </c>
      <c r="P67" s="9" t="s">
        <v>71</v>
      </c>
      <c r="Q67" s="9"/>
      <c r="R67" s="9"/>
      <c r="S67" s="57" t="n">
        <f aca="false">G67*$Q3</f>
        <v>4.8</v>
      </c>
      <c r="T67" s="57" t="n">
        <f aca="false">H67*$Q3</f>
        <v>4</v>
      </c>
      <c r="U67" s="57" t="n">
        <f aca="false">I67*$Q3</f>
        <v>2.4</v>
      </c>
      <c r="V67" s="57" t="n">
        <f aca="false">J67*$Q3</f>
        <v>4</v>
      </c>
      <c r="W67" s="57" t="n">
        <f aca="false">K67*$Q3</f>
        <v>7.6</v>
      </c>
      <c r="X67" s="57" t="n">
        <f aca="false">L67*$Q3</f>
        <v>7.6</v>
      </c>
      <c r="Y67" s="57" t="n">
        <f aca="false">M67*$Q3</f>
        <v>5.6</v>
      </c>
      <c r="AA67" s="87" t="n">
        <f aca="false">AVERAGE(S67:Y67)</f>
        <v>5.14285714285714</v>
      </c>
    </row>
    <row r="68" customFormat="false" ht="15" hidden="false" customHeight="false" outlineLevel="0" collapsed="false">
      <c r="D68" s="9" t="s">
        <v>72</v>
      </c>
      <c r="E68" s="9"/>
      <c r="F68" s="9"/>
      <c r="G68" s="165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 t="n">
        <f aca="false">I68*$Q3</f>
        <v>0</v>
      </c>
      <c r="V68" s="57" t="n">
        <f aca="false">J68*$Q3</f>
        <v>0</v>
      </c>
      <c r="W68" s="57" t="n">
        <f aca="false">K68*$Q3</f>
        <v>0</v>
      </c>
      <c r="X68" s="57" t="n">
        <f aca="false">L68*$Q3</f>
        <v>0</v>
      </c>
      <c r="Y68" s="57" t="n">
        <f aca="false">M68*$Q3</f>
        <v>0</v>
      </c>
      <c r="AA68" s="87" t="n">
        <f aca="false">AVERAGE(S68:Y68)</f>
        <v>0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45</v>
      </c>
      <c r="H69" s="30" t="n">
        <v>200</v>
      </c>
      <c r="I69" s="30" t="n">
        <v>139</v>
      </c>
      <c r="J69" s="30" t="n">
        <v>112</v>
      </c>
      <c r="K69" s="30" t="n">
        <v>165</v>
      </c>
      <c r="L69" s="30" t="n">
        <v>187</v>
      </c>
      <c r="M69" s="26" t="n">
        <v>29</v>
      </c>
      <c r="N69" s="165"/>
      <c r="P69" s="9" t="s">
        <v>73</v>
      </c>
      <c r="Q69" s="9"/>
      <c r="R69" s="9"/>
      <c r="S69" s="57" t="n">
        <f aca="false">G69*$Q3</f>
        <v>18</v>
      </c>
      <c r="T69" s="57" t="n">
        <f aca="false">H69*$Q3</f>
        <v>80</v>
      </c>
      <c r="U69" s="57" t="n">
        <f aca="false">I69*$Q3</f>
        <v>55.6</v>
      </c>
      <c r="V69" s="57" t="n">
        <f aca="false">J69*$Q3</f>
        <v>44.8</v>
      </c>
      <c r="W69" s="57" t="n">
        <f aca="false">K69*$Q3</f>
        <v>66</v>
      </c>
      <c r="X69" s="57" t="n">
        <f aca="false">L69*$Q3</f>
        <v>74.8</v>
      </c>
      <c r="Y69" s="57" t="n">
        <f aca="false">M69*$Q3</f>
        <v>11.6</v>
      </c>
      <c r="AA69" s="87" t="n">
        <f aca="false">AVERAGE(S69:Y69)</f>
        <v>50.1142857142857</v>
      </c>
    </row>
    <row r="70" customFormat="false" ht="15" hidden="false" customHeight="false" outlineLevel="0" collapsed="false">
      <c r="D70" s="9" t="s">
        <v>60</v>
      </c>
      <c r="E70" s="9"/>
      <c r="F70" s="9"/>
      <c r="G70" s="60"/>
      <c r="H70" s="60"/>
      <c r="I70" s="60"/>
      <c r="J70" s="60"/>
      <c r="K70" s="60"/>
      <c r="L70" s="60"/>
      <c r="M70" s="60"/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32" t="n">
        <f aca="false">M70*$Q3</f>
        <v>0</v>
      </c>
      <c r="AA70" s="87" t="n">
        <f aca="false">AVERAGE(S70:Y70)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AA83"/>
  <sheetViews>
    <sheetView showFormulas="false" showGridLines="true" showRowColHeaders="true" showZeros="true" rightToLeft="false" tabSelected="true" showOutlineSymbols="true" defaultGridColor="true" view="normal" topLeftCell="D2" colorId="64" zoomScale="100" zoomScaleNormal="100" zoomScalePageLayoutView="100" workbookViewId="0">
      <selection pane="topLeft" activeCell="J11" activeCellId="0" sqref="J1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113</v>
      </c>
      <c r="I3" s="119" t="s">
        <v>2</v>
      </c>
      <c r="J3" s="4" t="n">
        <v>46041</v>
      </c>
      <c r="K3" s="5" t="n">
        <v>46048</v>
      </c>
      <c r="L3" s="120" t="s">
        <v>3</v>
      </c>
      <c r="M3" s="3" t="n">
        <v>2026</v>
      </c>
      <c r="P3" s="168" t="s">
        <v>4</v>
      </c>
      <c r="Q3" s="168" t="n">
        <v>0.4</v>
      </c>
      <c r="S3" s="119" t="s">
        <v>0</v>
      </c>
      <c r="T3" s="3" t="s">
        <v>114</v>
      </c>
      <c r="U3" s="119" t="s">
        <v>2</v>
      </c>
      <c r="V3" s="4" t="n">
        <v>45985</v>
      </c>
      <c r="W3" s="5" t="n">
        <v>45992</v>
      </c>
      <c r="X3" s="120" t="s">
        <v>3</v>
      </c>
      <c r="Y3" s="3" t="n">
        <v>2025</v>
      </c>
    </row>
    <row r="5" customFormat="false" ht="15" hidden="false" customHeight="false" outlineLevel="0" collapsed="false">
      <c r="D5" s="169" t="s">
        <v>5</v>
      </c>
      <c r="E5" s="169"/>
      <c r="F5" s="169"/>
      <c r="G5" s="170" t="s">
        <v>6</v>
      </c>
      <c r="H5" s="170" t="s">
        <v>7</v>
      </c>
      <c r="I5" s="170" t="s">
        <v>8</v>
      </c>
      <c r="J5" s="170" t="s">
        <v>9</v>
      </c>
      <c r="K5" s="170" t="s">
        <v>10</v>
      </c>
      <c r="L5" s="170" t="s">
        <v>11</v>
      </c>
      <c r="M5" s="170" t="s">
        <v>12</v>
      </c>
      <c r="P5" s="169" t="s">
        <v>5</v>
      </c>
      <c r="Q5" s="169"/>
      <c r="R5" s="169"/>
      <c r="S5" s="170" t="s">
        <v>6</v>
      </c>
      <c r="T5" s="170" t="s">
        <v>7</v>
      </c>
      <c r="U5" s="170" t="s">
        <v>8</v>
      </c>
      <c r="V5" s="170" t="s">
        <v>9</v>
      </c>
      <c r="W5" s="170" t="s">
        <v>10</v>
      </c>
      <c r="X5" s="170" t="s">
        <v>11</v>
      </c>
      <c r="Y5" s="170" t="s">
        <v>12</v>
      </c>
      <c r="AA5" s="171" t="s">
        <v>111</v>
      </c>
    </row>
    <row r="6" customFormat="false" ht="15" hidden="false" customHeight="false" outlineLevel="0" collapsed="false">
      <c r="D6" s="9" t="s">
        <v>13</v>
      </c>
      <c r="E6" s="9"/>
      <c r="F6" s="9"/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  <c r="M6" s="13" t="n">
        <v>0</v>
      </c>
      <c r="P6" s="9" t="s">
        <v>13</v>
      </c>
      <c r="Q6" s="9"/>
      <c r="R6" s="9"/>
      <c r="S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6" s="87" t="n">
        <f aca="false">AVERAGE(S6:Y6)</f>
        <v>0</v>
      </c>
    </row>
    <row r="7" customFormat="false" ht="15" hidden="false" customHeight="false" outlineLevel="0" collapsed="false">
      <c r="D7" s="12" t="s">
        <v>14</v>
      </c>
      <c r="E7" s="12"/>
      <c r="F7" s="12"/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  <c r="P7" s="12" t="s">
        <v>14</v>
      </c>
      <c r="Q7" s="12"/>
      <c r="R7" s="12"/>
      <c r="S7" s="14" t="n">
        <f aca="false">S6</f>
        <v>0</v>
      </c>
      <c r="T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7" s="87" t="n">
        <f aca="false">AVERAGE(S7:Y7)</f>
        <v>0</v>
      </c>
    </row>
    <row r="8" customFormat="false" ht="15" hidden="false" customHeight="false" outlineLevel="0" collapsed="false">
      <c r="D8" s="12" t="s">
        <v>15</v>
      </c>
      <c r="E8" s="12"/>
      <c r="F8" s="12"/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  <c r="M8" s="13" t="n">
        <v>0</v>
      </c>
      <c r="P8" s="12" t="s">
        <v>15</v>
      </c>
      <c r="Q8" s="12"/>
      <c r="R8" s="12"/>
      <c r="S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8" s="87" t="n">
        <f aca="false">AVERAGE(S8:Y8)</f>
        <v>0</v>
      </c>
    </row>
    <row r="9" customFormat="false" ht="15" hidden="false" customHeight="false" outlineLevel="0" collapsed="false">
      <c r="D9" s="12" t="s">
        <v>16</v>
      </c>
      <c r="E9" s="12"/>
      <c r="F9" s="12"/>
      <c r="G9" s="13" t="n">
        <v>1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0.4</v>
      </c>
      <c r="T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9" s="87" t="n">
        <f aca="false">AVERAGE(S9:Y9)</f>
        <v>0.0571428571428572</v>
      </c>
    </row>
    <row r="10" customFormat="false" ht="15" hidden="false" customHeight="false" outlineLevel="0" collapsed="false">
      <c r="D10" s="172" t="s">
        <v>17</v>
      </c>
      <c r="E10" s="172"/>
      <c r="F10" s="172"/>
      <c r="G10" s="173" t="n">
        <v>0</v>
      </c>
      <c r="H10" s="173" t="n">
        <v>0</v>
      </c>
      <c r="I10" s="173" t="n">
        <v>0</v>
      </c>
      <c r="J10" s="173" t="n">
        <v>0</v>
      </c>
      <c r="K10" s="173" t="n">
        <v>0</v>
      </c>
      <c r="L10" s="173" t="n">
        <v>0</v>
      </c>
      <c r="M10" s="173" t="n">
        <v>0</v>
      </c>
      <c r="P10" s="172" t="s">
        <v>17</v>
      </c>
      <c r="Q10" s="172"/>
      <c r="R10" s="172"/>
      <c r="S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10" s="87" t="n">
        <f aca="false">AVERAGE(S10:Y10)</f>
        <v>0</v>
      </c>
    </row>
    <row r="11" customFormat="false" ht="15" hidden="false" customHeight="false" outlineLevel="0" collapsed="false">
      <c r="D11" s="9" t="s">
        <v>18</v>
      </c>
      <c r="E11" s="9"/>
      <c r="F11" s="9"/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P11" s="9" t="s">
        <v>18</v>
      </c>
      <c r="Q11" s="9"/>
      <c r="R11" s="9"/>
      <c r="S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11" s="87" t="n">
        <f aca="false">AVERAGE(S11:Y11)</f>
        <v>0</v>
      </c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12" s="87" t="n">
        <f aca="false">AVERAGE(S12:Y12)</f>
        <v>0</v>
      </c>
    </row>
    <row r="13" customFormat="false" ht="15" hidden="false" customHeight="false" outlineLevel="0" collapsed="false">
      <c r="D13" s="12" t="s">
        <v>20</v>
      </c>
      <c r="E13" s="12"/>
      <c r="F13" s="12"/>
      <c r="G13" s="13" t="n">
        <v>0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0</v>
      </c>
      <c r="P13" s="12" t="s">
        <v>20</v>
      </c>
      <c r="Q13" s="12"/>
      <c r="R13" s="12"/>
      <c r="S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13" s="87" t="n">
        <f aca="false">AVERAGE(S13:Y13)</f>
        <v>0</v>
      </c>
    </row>
    <row r="14" customFormat="false" ht="15" hidden="false" customHeight="false" outlineLevel="0" collapsed="false">
      <c r="D14" s="12" t="s">
        <v>21</v>
      </c>
      <c r="E14" s="12"/>
      <c r="F14" s="12"/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P14" s="12" t="s">
        <v>21</v>
      </c>
      <c r="Q14" s="12"/>
      <c r="R14" s="12"/>
      <c r="S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14" s="87" t="n">
        <f aca="false">AVERAGE(S14:Y14)</f>
        <v>0</v>
      </c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P15" s="12" t="s">
        <v>22</v>
      </c>
      <c r="Q15" s="12"/>
      <c r="R15" s="12"/>
      <c r="S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15" s="87" t="n">
        <f aca="false">AVERAGE(S15:Y15)</f>
        <v>0</v>
      </c>
    </row>
    <row r="16" customFormat="false" ht="15" hidden="false" customHeight="false" outlineLevel="0" collapsed="false">
      <c r="D16" s="12" t="s">
        <v>23</v>
      </c>
      <c r="E16" s="12"/>
      <c r="F16" s="12"/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P16" s="12" t="s">
        <v>23</v>
      </c>
      <c r="Q16" s="12"/>
      <c r="R16" s="12"/>
      <c r="S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16" s="87" t="n">
        <f aca="false">AVERAGE(S16:Y16)</f>
        <v>0</v>
      </c>
    </row>
    <row r="17" customFormat="false" ht="15" hidden="false" customHeight="false" outlineLevel="0" collapsed="false">
      <c r="D17" s="175" t="s">
        <v>112</v>
      </c>
      <c r="E17" s="175"/>
      <c r="F17" s="175"/>
      <c r="G17" s="173" t="n">
        <v>0</v>
      </c>
      <c r="H17" s="173" t="n">
        <v>0</v>
      </c>
      <c r="I17" s="173" t="n">
        <v>0</v>
      </c>
      <c r="J17" s="173" t="n">
        <v>0</v>
      </c>
      <c r="K17" s="173" t="n">
        <v>0</v>
      </c>
      <c r="L17" s="173" t="n">
        <v>0</v>
      </c>
      <c r="M17" s="173" t="n">
        <v>0</v>
      </c>
      <c r="P17" s="175" t="s">
        <v>24</v>
      </c>
      <c r="Q17" s="175"/>
      <c r="R17" s="175"/>
      <c r="S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17" s="87" t="n">
        <f aca="false">AVERAGE(S17:Y17)</f>
        <v>0</v>
      </c>
    </row>
    <row r="18" customFormat="false" ht="15" hidden="false" customHeight="false" outlineLevel="0" collapsed="false">
      <c r="D18" s="172" t="s">
        <v>25</v>
      </c>
      <c r="E18" s="172"/>
      <c r="F18" s="172"/>
      <c r="G18" s="173" t="n">
        <v>0</v>
      </c>
      <c r="H18" s="173" t="n">
        <v>0</v>
      </c>
      <c r="I18" s="173" t="n">
        <v>0</v>
      </c>
      <c r="J18" s="173" t="n">
        <v>0</v>
      </c>
      <c r="K18" s="173" t="n">
        <v>0</v>
      </c>
      <c r="L18" s="173" t="n">
        <v>0</v>
      </c>
      <c r="M18" s="173" t="n">
        <v>0</v>
      </c>
      <c r="P18" s="172" t="s">
        <v>25</v>
      </c>
      <c r="Q18" s="172"/>
      <c r="R18" s="172"/>
      <c r="S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18" s="87" t="n">
        <f aca="false">AVERAGE(S18:Y18)</f>
        <v>0</v>
      </c>
    </row>
    <row r="19" customFormat="false" ht="15" hidden="false" customHeight="false" outlineLevel="0" collapsed="false">
      <c r="D19" s="176" t="s">
        <v>26</v>
      </c>
      <c r="E19" s="176"/>
      <c r="F19" s="176"/>
      <c r="G19" s="173" t="n">
        <v>0</v>
      </c>
      <c r="H19" s="173" t="n">
        <v>0</v>
      </c>
      <c r="I19" s="173" t="n">
        <v>0</v>
      </c>
      <c r="J19" s="173" t="n">
        <v>0</v>
      </c>
      <c r="K19" s="173" t="n">
        <v>0</v>
      </c>
      <c r="L19" s="173" t="n">
        <v>0</v>
      </c>
      <c r="M19" s="173" t="n">
        <v>0</v>
      </c>
      <c r="P19" s="176" t="s">
        <v>26</v>
      </c>
      <c r="Q19" s="176"/>
      <c r="R19" s="176"/>
      <c r="S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19" s="87" t="n">
        <f aca="false">AVERAGE(S19:Y19)</f>
        <v>0</v>
      </c>
    </row>
    <row r="20" customFormat="false" ht="15" hidden="false" customHeight="false" outlineLevel="0" collapsed="false">
      <c r="D20" s="176" t="s">
        <v>27</v>
      </c>
      <c r="E20" s="176"/>
      <c r="F20" s="176"/>
      <c r="G20" s="173" t="n">
        <v>0</v>
      </c>
      <c r="H20" s="173" t="n">
        <v>0</v>
      </c>
      <c r="I20" s="173" t="n">
        <v>0</v>
      </c>
      <c r="J20" s="173" t="n">
        <v>0</v>
      </c>
      <c r="K20" s="173" t="n">
        <v>0</v>
      </c>
      <c r="L20" s="173" t="n">
        <v>0</v>
      </c>
      <c r="M20" s="173" t="n">
        <v>0</v>
      </c>
      <c r="P20" s="176" t="s">
        <v>27</v>
      </c>
      <c r="Q20" s="176"/>
      <c r="R20" s="176"/>
      <c r="S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20" s="87" t="n">
        <f aca="false">AVERAGE(S20:Y20)</f>
        <v>0</v>
      </c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0</v>
      </c>
      <c r="H21" s="13" t="n">
        <v>2</v>
      </c>
      <c r="I21" s="13" t="n">
        <v>2</v>
      </c>
      <c r="J21" s="13" t="n">
        <v>2</v>
      </c>
      <c r="K21" s="13" t="n">
        <v>0</v>
      </c>
      <c r="L21" s="13" t="n">
        <v>0</v>
      </c>
      <c r="M21" s="13" t="n">
        <v>0</v>
      </c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0.8</v>
      </c>
      <c r="U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0.8</v>
      </c>
      <c r="V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0.8</v>
      </c>
      <c r="W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21" s="87" t="n">
        <f aca="false">AVERAGE(S21:Y21)</f>
        <v>0.342857142857143</v>
      </c>
    </row>
    <row r="22" customFormat="false" ht="15" hidden="false" customHeight="false" outlineLevel="0" collapsed="false">
      <c r="D22" s="172" t="s">
        <v>29</v>
      </c>
      <c r="E22" s="172"/>
      <c r="F22" s="172"/>
      <c r="G22" s="173" t="n">
        <v>0</v>
      </c>
      <c r="H22" s="173" t="n">
        <v>0</v>
      </c>
      <c r="I22" s="173" t="n">
        <v>10</v>
      </c>
      <c r="J22" s="173" t="n">
        <v>0</v>
      </c>
      <c r="K22" s="173" t="n">
        <v>0</v>
      </c>
      <c r="L22" s="173" t="n">
        <v>0</v>
      </c>
      <c r="M22" s="173" t="n">
        <v>0</v>
      </c>
      <c r="P22" s="172" t="s">
        <v>29</v>
      </c>
      <c r="Q22" s="172"/>
      <c r="R22" s="172"/>
      <c r="S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4</v>
      </c>
      <c r="V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22" s="87" t="n">
        <f aca="false">AVERAGE(S22:Y22)</f>
        <v>0.571428571428571</v>
      </c>
    </row>
    <row r="23" customFormat="false" ht="15" hidden="false" customHeight="false" outlineLevel="0" collapsed="false">
      <c r="D23" s="177" t="s">
        <v>30</v>
      </c>
      <c r="E23" s="177"/>
      <c r="F23" s="177"/>
      <c r="G23" s="173" t="n">
        <v>0</v>
      </c>
      <c r="H23" s="173" t="n">
        <v>0</v>
      </c>
      <c r="I23" s="173" t="n">
        <v>0</v>
      </c>
      <c r="J23" s="173" t="n">
        <v>0</v>
      </c>
      <c r="K23" s="173" t="n">
        <v>0</v>
      </c>
      <c r="L23" s="173" t="n">
        <v>0</v>
      </c>
      <c r="M23" s="173" t="n">
        <v>0</v>
      </c>
      <c r="P23" s="177" t="s">
        <v>30</v>
      </c>
      <c r="Q23" s="177"/>
      <c r="R23" s="177"/>
      <c r="S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23" s="87" t="n">
        <f aca="false">AVERAGE(S23:Y23)</f>
        <v>0</v>
      </c>
    </row>
    <row r="24" customFormat="false" ht="15" hidden="false" customHeight="false" outlineLevel="0" collapsed="false">
      <c r="D24" s="176" t="s">
        <v>31</v>
      </c>
      <c r="E24" s="176"/>
      <c r="F24" s="176"/>
      <c r="G24" s="173" t="n">
        <v>0</v>
      </c>
      <c r="H24" s="173" t="n">
        <v>0</v>
      </c>
      <c r="I24" s="173" t="n">
        <v>0</v>
      </c>
      <c r="J24" s="173" t="n">
        <v>0</v>
      </c>
      <c r="K24" s="173" t="n">
        <v>0</v>
      </c>
      <c r="L24" s="173" t="n">
        <v>0</v>
      </c>
      <c r="M24" s="173" t="n">
        <v>0</v>
      </c>
      <c r="P24" s="176" t="s">
        <v>31</v>
      </c>
      <c r="Q24" s="176"/>
      <c r="R24" s="176"/>
      <c r="S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24" s="87" t="n">
        <f aca="false">AVERAGE(S24:Y24)</f>
        <v>0</v>
      </c>
    </row>
    <row r="25" customFormat="false" ht="15" hidden="false" customHeight="false" outlineLevel="0" collapsed="false">
      <c r="D25" s="12" t="s">
        <v>32</v>
      </c>
      <c r="E25" s="12"/>
      <c r="F25" s="12"/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P25" s="12" t="s">
        <v>32</v>
      </c>
      <c r="Q25" s="12"/>
      <c r="R25" s="12"/>
      <c r="S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25" s="87" t="n">
        <f aca="false">AVERAGE(S25:Y25)</f>
        <v>0</v>
      </c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0</v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P26" s="12" t="s">
        <v>33</v>
      </c>
      <c r="Q26" s="12"/>
      <c r="R26" s="12"/>
      <c r="S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26" s="87" t="n">
        <f aca="false">AVERAGE(S26:Y26)</f>
        <v>0</v>
      </c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0</v>
      </c>
      <c r="H27" s="13" t="n">
        <v>0</v>
      </c>
      <c r="I27" s="166" t="n">
        <v>0</v>
      </c>
      <c r="J27" s="142" t="n">
        <v>0</v>
      </c>
      <c r="K27" s="13" t="n">
        <v>0</v>
      </c>
      <c r="L27" s="13" t="n">
        <v>0</v>
      </c>
      <c r="M27" s="13" t="n">
        <v>0</v>
      </c>
      <c r="P27" s="172" t="s">
        <v>34</v>
      </c>
      <c r="Q27" s="172"/>
      <c r="R27" s="172"/>
      <c r="S2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2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2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2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2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2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2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27" s="87" t="n">
        <f aca="false">AVERAGE(S27:Y27)</f>
        <v>0</v>
      </c>
    </row>
    <row r="28" customFormat="false" ht="15" hidden="false" customHeight="false" outlineLevel="0" collapsed="false">
      <c r="D28" s="172" t="s">
        <v>35</v>
      </c>
      <c r="E28" s="172"/>
      <c r="F28" s="172"/>
      <c r="G28" s="173" t="n">
        <v>0</v>
      </c>
      <c r="H28" s="173" t="n">
        <v>1</v>
      </c>
      <c r="I28" s="173" t="n">
        <v>0</v>
      </c>
      <c r="J28" s="173" t="n">
        <v>0</v>
      </c>
      <c r="K28" s="173" t="n">
        <v>0</v>
      </c>
      <c r="L28" s="173" t="n">
        <v>0</v>
      </c>
      <c r="M28" s="173" t="n">
        <v>0</v>
      </c>
      <c r="P28" s="172" t="s">
        <v>35</v>
      </c>
      <c r="Q28" s="172"/>
      <c r="R28" s="172"/>
      <c r="S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0.4</v>
      </c>
      <c r="U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28" s="87" t="n">
        <f aca="false">AVERAGE(S28:Y28)</f>
        <v>0.0571428571428572</v>
      </c>
    </row>
    <row r="29" customFormat="false" ht="15" hidden="false" customHeight="false" outlineLevel="0" collapsed="false">
      <c r="D29" s="172" t="s">
        <v>36</v>
      </c>
      <c r="E29" s="172"/>
      <c r="F29" s="172"/>
      <c r="G29" s="173" t="n">
        <v>0</v>
      </c>
      <c r="H29" s="173" t="n">
        <v>0</v>
      </c>
      <c r="I29" s="173" t="n">
        <v>0</v>
      </c>
      <c r="J29" s="173" t="n">
        <v>0</v>
      </c>
      <c r="K29" s="173" t="n">
        <v>0</v>
      </c>
      <c r="L29" s="173" t="n">
        <v>0</v>
      </c>
      <c r="M29" s="173" t="n">
        <v>1</v>
      </c>
      <c r="P29" s="172" t="s">
        <v>36</v>
      </c>
      <c r="Q29" s="172"/>
      <c r="R29" s="172"/>
      <c r="S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0.4</v>
      </c>
      <c r="AA29" s="87" t="n">
        <f aca="false">AVERAGE(S29:Y29)</f>
        <v>0.0571428571428572</v>
      </c>
    </row>
    <row r="30" customFormat="false" ht="15" hidden="false" customHeight="false" outlineLevel="0" collapsed="false">
      <c r="D30" s="9" t="s">
        <v>37</v>
      </c>
      <c r="E30" s="9"/>
      <c r="F30" s="9"/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P30" s="9" t="s">
        <v>37</v>
      </c>
      <c r="Q30" s="9"/>
      <c r="R30" s="9"/>
      <c r="S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30" s="87" t="n">
        <f aca="false">AVERAGE(S30:Y30)</f>
        <v>0</v>
      </c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P31" s="9" t="s">
        <v>38</v>
      </c>
      <c r="Q31" s="9"/>
      <c r="R31" s="9"/>
      <c r="S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31" s="87" t="n">
        <f aca="false">AVERAGE(S31:Y31)</f>
        <v>0</v>
      </c>
    </row>
    <row r="32" customFormat="false" ht="15" hidden="false" customHeight="false" outlineLevel="0" collapsed="false">
      <c r="D32" s="9" t="s">
        <v>39</v>
      </c>
      <c r="E32" s="9"/>
      <c r="F32" s="9"/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P32" s="9" t="s">
        <v>39</v>
      </c>
      <c r="Q32" s="9"/>
      <c r="R32" s="9"/>
      <c r="S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32" s="87" t="n">
        <f aca="false">AVERAGE(S32:Y32)</f>
        <v>0</v>
      </c>
    </row>
    <row r="33" customFormat="false" ht="15" hidden="false" customHeight="false" outlineLevel="0" collapsed="false">
      <c r="D33" s="9" t="s">
        <v>40</v>
      </c>
      <c r="E33" s="9"/>
      <c r="F33" s="9"/>
      <c r="G33" s="13" t="n">
        <v>0</v>
      </c>
      <c r="H33" s="13" t="n">
        <v>0</v>
      </c>
      <c r="I33" s="13" t="n">
        <v>0</v>
      </c>
      <c r="J33" s="13" t="n">
        <v>0</v>
      </c>
      <c r="K33" s="13" t="n">
        <v>0</v>
      </c>
      <c r="L33" s="13" t="n">
        <v>0</v>
      </c>
      <c r="M33" s="13" t="n">
        <v>0</v>
      </c>
      <c r="P33" s="9" t="s">
        <v>40</v>
      </c>
      <c r="Q33" s="9"/>
      <c r="R33" s="9"/>
      <c r="S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33" s="87" t="n">
        <f aca="false">AVERAGE(S33:Y33)</f>
        <v>0</v>
      </c>
    </row>
    <row r="34" customFormat="false" ht="15" hidden="false" customHeight="false" outlineLevel="0" collapsed="false">
      <c r="D34" s="9" t="s">
        <v>41</v>
      </c>
      <c r="E34" s="9"/>
      <c r="F34" s="9"/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P34" s="9" t="s">
        <v>41</v>
      </c>
      <c r="Q34" s="9"/>
      <c r="R34" s="9"/>
      <c r="S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34" s="87" t="n">
        <f aca="false">AVERAGE(S34:Y34)</f>
        <v>0</v>
      </c>
    </row>
    <row r="35" customFormat="false" ht="15" hidden="false" customHeight="false" outlineLevel="0" collapsed="false">
      <c r="D35" s="9" t="s">
        <v>42</v>
      </c>
      <c r="E35" s="9"/>
      <c r="F35" s="9"/>
      <c r="G35" s="13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0</v>
      </c>
      <c r="P35" s="9" t="s">
        <v>42</v>
      </c>
      <c r="Q35" s="9"/>
      <c r="R35" s="9"/>
      <c r="S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35" s="87" t="n">
        <f aca="false">AVERAGE(S35:Y35)</f>
        <v>0</v>
      </c>
    </row>
    <row r="36" customFormat="false" ht="15" hidden="false" customHeight="false" outlineLevel="0" collapsed="false">
      <c r="D36" s="16" t="s">
        <v>43</v>
      </c>
      <c r="E36" s="16"/>
      <c r="F36" s="16"/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P36" s="16" t="s">
        <v>43</v>
      </c>
      <c r="Q36" s="16"/>
      <c r="R36" s="16"/>
      <c r="S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36" s="87" t="n">
        <f aca="false">AVERAGE(S36:Y36)</f>
        <v>0</v>
      </c>
    </row>
    <row r="37" customFormat="false" ht="15" hidden="false" customHeight="false" outlineLevel="0" collapsed="false">
      <c r="D37" s="12" t="s">
        <v>44</v>
      </c>
      <c r="E37" s="12"/>
      <c r="F37" s="12"/>
      <c r="G37" s="13" t="n">
        <v>0</v>
      </c>
      <c r="H37" s="13" t="n">
        <v>0</v>
      </c>
      <c r="I37" s="13" t="n">
        <v>0</v>
      </c>
      <c r="J37" s="13" t="n">
        <v>0</v>
      </c>
      <c r="K37" s="13" t="n">
        <v>0</v>
      </c>
      <c r="L37" s="13" t="n">
        <v>0</v>
      </c>
      <c r="M37" s="13" t="n">
        <v>0</v>
      </c>
      <c r="P37" s="12" t="s">
        <v>44</v>
      </c>
      <c r="Q37" s="12"/>
      <c r="R37" s="12"/>
      <c r="S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37" s="87" t="n">
        <f aca="false">AVERAGE(S37:Y37)</f>
        <v>0</v>
      </c>
    </row>
    <row r="38" customFormat="false" ht="15" hidden="false" customHeight="false" outlineLevel="0" collapsed="false">
      <c r="D38" s="178" t="s">
        <v>45</v>
      </c>
      <c r="E38" s="178"/>
      <c r="F38" s="178"/>
      <c r="G38" s="173" t="n">
        <v>0</v>
      </c>
      <c r="H38" s="173" t="n">
        <v>0</v>
      </c>
      <c r="I38" s="173" t="n">
        <v>0</v>
      </c>
      <c r="J38" s="173" t="n">
        <v>0</v>
      </c>
      <c r="K38" s="173" t="n">
        <v>0</v>
      </c>
      <c r="L38" s="173" t="n">
        <v>0</v>
      </c>
      <c r="M38" s="173" t="n">
        <v>0</v>
      </c>
      <c r="P38" s="178" t="s">
        <v>45</v>
      </c>
      <c r="Q38" s="178"/>
      <c r="R38" s="178"/>
      <c r="S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38" s="87" t="n">
        <f aca="false">AVERAGE(S38:Y38)</f>
        <v>0</v>
      </c>
    </row>
    <row r="39" customFormat="false" ht="15" hidden="false" customHeight="false" outlineLevel="0" collapsed="false">
      <c r="D39" s="12" t="s">
        <v>46</v>
      </c>
      <c r="E39" s="12"/>
      <c r="F39" s="12"/>
      <c r="G39" s="13" t="n">
        <v>0</v>
      </c>
      <c r="H39" s="13" t="n">
        <v>0</v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0</v>
      </c>
      <c r="P39" s="12" t="s">
        <v>46</v>
      </c>
      <c r="Q39" s="12"/>
      <c r="R39" s="12"/>
      <c r="S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39" s="87" t="n">
        <f aca="false">AVERAGE(S39:Y39)</f>
        <v>0</v>
      </c>
    </row>
    <row r="40" customFormat="false" ht="15" hidden="false" customHeight="false" outlineLevel="0" collapsed="false">
      <c r="D40" s="172" t="s">
        <v>47</v>
      </c>
      <c r="E40" s="172"/>
      <c r="F40" s="172"/>
      <c r="G40" s="173" t="n">
        <v>0</v>
      </c>
      <c r="H40" s="173" t="n">
        <v>0</v>
      </c>
      <c r="I40" s="173" t="n">
        <v>0</v>
      </c>
      <c r="J40" s="173" t="n">
        <v>0</v>
      </c>
      <c r="K40" s="173" t="n">
        <v>0</v>
      </c>
      <c r="L40" s="173" t="n">
        <v>0</v>
      </c>
      <c r="M40" s="173" t="n">
        <v>0</v>
      </c>
      <c r="P40" s="172" t="s">
        <v>47</v>
      </c>
      <c r="Q40" s="172"/>
      <c r="R40" s="172"/>
      <c r="S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40" s="87" t="n">
        <f aca="false">AVERAGE(S40:Y40)</f>
        <v>0</v>
      </c>
    </row>
    <row r="41" customFormat="false" ht="15" hidden="false" customHeight="false" outlineLevel="0" collapsed="false">
      <c r="D41" s="179" t="s">
        <v>48</v>
      </c>
      <c r="E41" s="179"/>
      <c r="F41" s="179"/>
      <c r="G41" s="173" t="n">
        <v>0</v>
      </c>
      <c r="H41" s="173" t="n">
        <v>0</v>
      </c>
      <c r="I41" s="173" t="n">
        <v>0</v>
      </c>
      <c r="J41" s="173" t="n">
        <v>0</v>
      </c>
      <c r="K41" s="173" t="n">
        <v>0</v>
      </c>
      <c r="L41" s="173" t="n">
        <v>0</v>
      </c>
      <c r="M41" s="173" t="n">
        <v>0</v>
      </c>
      <c r="P41" s="179" t="s">
        <v>48</v>
      </c>
      <c r="Q41" s="179"/>
      <c r="R41" s="179"/>
      <c r="S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41" s="87" t="n">
        <f aca="false">AVERAGE(S41:Y41)</f>
        <v>0</v>
      </c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0</v>
      </c>
      <c r="H42" s="13" t="n">
        <v>0</v>
      </c>
      <c r="I42" s="13" t="n">
        <v>0</v>
      </c>
      <c r="J42" s="142" t="n">
        <v>0</v>
      </c>
      <c r="K42" s="13" t="n">
        <v>1</v>
      </c>
      <c r="L42" s="13" t="n">
        <v>0</v>
      </c>
      <c r="M42" s="13" t="n">
        <v>0</v>
      </c>
      <c r="P42" s="12" t="s">
        <v>49</v>
      </c>
      <c r="Q42" s="12"/>
      <c r="R42" s="12"/>
      <c r="S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0.4</v>
      </c>
      <c r="X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42" s="87" t="n">
        <f aca="false">AVERAGE(S42:Y42)</f>
        <v>0.0571428571428572</v>
      </c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0</v>
      </c>
      <c r="H43" s="13" t="n">
        <v>0</v>
      </c>
      <c r="I43" s="13" t="n">
        <v>0</v>
      </c>
      <c r="J43" s="136" t="n">
        <v>1</v>
      </c>
      <c r="K43" s="13" t="n">
        <v>0</v>
      </c>
      <c r="L43" s="13" t="n">
        <v>0</v>
      </c>
      <c r="M43" s="13" t="n">
        <v>0</v>
      </c>
      <c r="P43" s="18" t="s">
        <v>50</v>
      </c>
      <c r="Q43" s="18"/>
      <c r="R43" s="18"/>
      <c r="S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0.4</v>
      </c>
      <c r="W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43" s="87" t="n">
        <f aca="false">AVERAGE(S43:Y43)</f>
        <v>0.0571428571428572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0</v>
      </c>
      <c r="H44" s="13" t="n">
        <v>3</v>
      </c>
      <c r="I44" s="13" t="n">
        <v>5</v>
      </c>
      <c r="J44" s="13" t="n">
        <v>10</v>
      </c>
      <c r="K44" s="142" t="n">
        <v>2</v>
      </c>
      <c r="L44" s="13" t="n">
        <v>2</v>
      </c>
      <c r="M44" s="142" t="n">
        <v>12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1.2</v>
      </c>
      <c r="U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2</v>
      </c>
      <c r="V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4</v>
      </c>
      <c r="W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0.8</v>
      </c>
      <c r="X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0.8</v>
      </c>
      <c r="Y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4.8</v>
      </c>
      <c r="AA44" s="87" t="n">
        <f aca="false">AVERAGE(S44:Y44)</f>
        <v>1.94285714285714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 t="n">
        <v>0</v>
      </c>
      <c r="H45" s="13" t="n">
        <v>0</v>
      </c>
      <c r="I45" s="13" t="n">
        <v>0</v>
      </c>
      <c r="J45" s="13" t="n">
        <v>0</v>
      </c>
      <c r="K45" s="13" t="n">
        <v>0</v>
      </c>
      <c r="L45" s="13" t="n">
        <v>0</v>
      </c>
      <c r="M45" s="13" t="n">
        <v>0</v>
      </c>
      <c r="P45" s="18" t="s">
        <v>52</v>
      </c>
      <c r="Q45" s="18"/>
      <c r="R45" s="18"/>
      <c r="S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45" s="87" t="n">
        <f aca="false">AVERAGE(S45:Y45)</f>
        <v>0</v>
      </c>
    </row>
    <row r="46" customFormat="false" ht="15" hidden="false" customHeight="false" outlineLevel="0" collapsed="false">
      <c r="D46" s="12" t="s">
        <v>53</v>
      </c>
      <c r="E46" s="12"/>
      <c r="F46" s="12"/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P46" s="12" t="s">
        <v>53</v>
      </c>
      <c r="Q46" s="12"/>
      <c r="R46" s="12"/>
      <c r="S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46" s="87" t="n">
        <f aca="false">AVERAGE(S46:Y46)</f>
        <v>0</v>
      </c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0</v>
      </c>
      <c r="H47" s="13" t="n">
        <v>0</v>
      </c>
      <c r="I47" s="13" t="n">
        <v>0</v>
      </c>
      <c r="J47" s="13" t="n">
        <v>0</v>
      </c>
      <c r="K47" s="13" t="n">
        <v>0</v>
      </c>
      <c r="L47" s="13" t="n">
        <v>0</v>
      </c>
      <c r="M47" s="13" t="n">
        <v>0</v>
      </c>
      <c r="P47" s="16" t="s">
        <v>54</v>
      </c>
      <c r="Q47" s="16"/>
      <c r="R47" s="16"/>
      <c r="S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47" s="87" t="n">
        <f aca="false">AVERAGE(S47:Y47)</f>
        <v>0</v>
      </c>
    </row>
    <row r="48" customFormat="false" ht="15" hidden="false" customHeight="false" outlineLevel="0" collapsed="false">
      <c r="D48" s="12" t="s">
        <v>55</v>
      </c>
      <c r="E48" s="12"/>
      <c r="F48" s="12"/>
      <c r="G48" s="13" t="n">
        <v>0</v>
      </c>
      <c r="H48" s="13" t="n">
        <v>0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</v>
      </c>
      <c r="P48" s="12" t="s">
        <v>55</v>
      </c>
      <c r="Q48" s="12"/>
      <c r="R48" s="12"/>
      <c r="S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48" s="87" t="n">
        <f aca="false">AVERAGE(S48:Y48)</f>
        <v>0</v>
      </c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0</v>
      </c>
      <c r="H49" s="142" t="n">
        <v>0</v>
      </c>
      <c r="I49" s="142" t="n">
        <v>0</v>
      </c>
      <c r="J49" s="142" t="n">
        <v>0</v>
      </c>
      <c r="K49" s="13" t="n">
        <v>0</v>
      </c>
      <c r="L49" s="13" t="n">
        <v>0</v>
      </c>
      <c r="M49" s="13" t="n">
        <v>0</v>
      </c>
      <c r="P49" s="18" t="s">
        <v>56</v>
      </c>
      <c r="Q49" s="18"/>
      <c r="R49" s="18"/>
      <c r="S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49" s="87" t="n">
        <f aca="false">AVERAGE(S49:Y49)</f>
        <v>0</v>
      </c>
    </row>
    <row r="50" customFormat="false" ht="15" hidden="false" customHeight="false" outlineLevel="0" collapsed="false">
      <c r="D50" s="9" t="s">
        <v>57</v>
      </c>
      <c r="E50" s="9"/>
      <c r="F50" s="9"/>
      <c r="G50" s="142" t="n">
        <v>0</v>
      </c>
      <c r="H50" s="13" t="n">
        <v>0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0</v>
      </c>
      <c r="P50" s="9" t="s">
        <v>57</v>
      </c>
      <c r="Q50" s="9"/>
      <c r="R50" s="9"/>
      <c r="S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50" s="87" t="n">
        <f aca="false">AVERAGE(S50:Y50)</f>
        <v>0</v>
      </c>
    </row>
    <row r="51" customFormat="false" ht="15" hidden="false" customHeight="false" outlineLevel="0" collapsed="false">
      <c r="D51" s="18" t="s">
        <v>58</v>
      </c>
      <c r="E51" s="18"/>
      <c r="F51" s="18"/>
      <c r="G51" s="13" t="n">
        <v>0</v>
      </c>
      <c r="H51" s="13" t="n">
        <v>0</v>
      </c>
      <c r="I51" s="13" t="n">
        <v>0</v>
      </c>
      <c r="J51" s="13" t="n">
        <v>0</v>
      </c>
      <c r="K51" s="13" t="n">
        <v>0</v>
      </c>
      <c r="L51" s="13" t="n">
        <v>0</v>
      </c>
      <c r="M51" s="13" t="n">
        <v>0</v>
      </c>
      <c r="P51" s="18" t="s">
        <v>58</v>
      </c>
      <c r="Q51" s="18"/>
      <c r="R51" s="18"/>
      <c r="S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51" s="87" t="n">
        <f aca="false">AVERAGE(S51:Y51)</f>
        <v>0</v>
      </c>
    </row>
    <row r="52" customFormat="false" ht="15" hidden="false" customHeight="false" outlineLevel="0" collapsed="false">
      <c r="D52" s="172" t="s">
        <v>59</v>
      </c>
      <c r="E52" s="172"/>
      <c r="F52" s="172"/>
      <c r="G52" s="173" t="n">
        <v>0</v>
      </c>
      <c r="H52" s="173" t="n">
        <v>0</v>
      </c>
      <c r="I52" s="173" t="n">
        <v>0</v>
      </c>
      <c r="J52" s="173" t="n">
        <v>0</v>
      </c>
      <c r="K52" s="173" t="n">
        <v>0</v>
      </c>
      <c r="L52" s="173" t="n">
        <v>0</v>
      </c>
      <c r="M52" s="173" t="n">
        <v>0</v>
      </c>
      <c r="P52" s="172" t="s">
        <v>59</v>
      </c>
      <c r="Q52" s="172"/>
      <c r="R52" s="172"/>
      <c r="S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52" s="87" t="n">
        <f aca="false">AVERAGE(S52:Y52)</f>
        <v>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SUM(G$6:G$52)</f>
        <v>1</v>
      </c>
      <c r="H53" s="55" t="n">
        <f aca="false">SUM(H$6:H$52)</f>
        <v>6</v>
      </c>
      <c r="I53" s="55" t="n">
        <f aca="false">SUM(I$6:I$52)</f>
        <v>17</v>
      </c>
      <c r="J53" s="55" t="n">
        <f aca="false">SUM(J$6:J$52)</f>
        <v>13</v>
      </c>
      <c r="K53" s="55" t="n">
        <f aca="false">SUM(K$6:K$52)</f>
        <v>3</v>
      </c>
      <c r="L53" s="55" t="n">
        <f aca="false">SUM(L$6:L$52)</f>
        <v>2</v>
      </c>
      <c r="M53" s="55" t="n">
        <f aca="false">SUM(M$6:M$52)</f>
        <v>13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0.4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2.4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6.8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5.2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1.2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0.8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5.2</v>
      </c>
      <c r="AA53" s="87" t="n">
        <f aca="false">AVERAGE(S53:Y53)</f>
        <v>3.14285714285714</v>
      </c>
    </row>
    <row r="57" customFormat="false" ht="15" hidden="false" customHeight="false" outlineLevel="0" collapsed="false">
      <c r="D57" s="169" t="s">
        <v>61</v>
      </c>
      <c r="E57" s="169"/>
      <c r="F57" s="169"/>
      <c r="G57" s="180" t="s">
        <v>6</v>
      </c>
      <c r="H57" s="181" t="s">
        <v>7</v>
      </c>
      <c r="I57" s="181" t="s">
        <v>8</v>
      </c>
      <c r="J57" s="181" t="s">
        <v>9</v>
      </c>
      <c r="K57" s="181" t="s">
        <v>10</v>
      </c>
      <c r="L57" s="181" t="s">
        <v>11</v>
      </c>
      <c r="M57" s="181" t="s">
        <v>12</v>
      </c>
      <c r="P57" s="169" t="s">
        <v>61</v>
      </c>
      <c r="Q57" s="169"/>
      <c r="R57" s="169"/>
      <c r="S57" s="180" t="s">
        <v>6</v>
      </c>
      <c r="T57" s="181" t="s">
        <v>7</v>
      </c>
      <c r="U57" s="181" t="s">
        <v>8</v>
      </c>
      <c r="V57" s="181" t="s">
        <v>9</v>
      </c>
      <c r="W57" s="181" t="s">
        <v>10</v>
      </c>
      <c r="X57" s="181" t="s">
        <v>11</v>
      </c>
      <c r="Y57" s="181" t="s">
        <v>12</v>
      </c>
      <c r="AA57" s="171" t="s">
        <v>111</v>
      </c>
    </row>
    <row r="58" customFormat="false" ht="15" hidden="false" customHeight="false" outlineLevel="0" collapsed="false">
      <c r="D58" s="182" t="s">
        <v>62</v>
      </c>
      <c r="E58" s="182"/>
      <c r="F58" s="182"/>
      <c r="G58" s="188" t="n">
        <v>7</v>
      </c>
      <c r="H58" s="188" t="n">
        <v>13</v>
      </c>
      <c r="I58" s="188" t="n">
        <f aca="false">COUNTIF(D:D,G58)</f>
        <v>0</v>
      </c>
      <c r="J58" s="184" t="n">
        <v>6</v>
      </c>
      <c r="K58" s="184" t="n">
        <v>8</v>
      </c>
      <c r="L58" s="184" t="n">
        <v>3</v>
      </c>
      <c r="M58" s="184" t="n">
        <v>11</v>
      </c>
      <c r="P58" s="182" t="s">
        <v>62</v>
      </c>
      <c r="Q58" s="182"/>
      <c r="R58" s="182"/>
      <c r="S58" s="185" t="n">
        <f aca="false">G58*$Q3</f>
        <v>2.8</v>
      </c>
      <c r="T58" s="185" t="n">
        <f aca="false">H58*$Q3</f>
        <v>5.2</v>
      </c>
      <c r="U58" s="185" t="n">
        <f aca="false">I58*$Q3</f>
        <v>0</v>
      </c>
      <c r="V58" s="185" t="n">
        <f aca="false">J58*$Q3</f>
        <v>2.4</v>
      </c>
      <c r="W58" s="185" t="n">
        <f aca="false">K58*$Q3</f>
        <v>3.2</v>
      </c>
      <c r="X58" s="185" t="n">
        <f aca="false">L58*$Q3</f>
        <v>1.2</v>
      </c>
      <c r="Y58" s="186" t="n">
        <f aca="false">M58*$Q3</f>
        <v>4.4</v>
      </c>
      <c r="AA58" s="87" t="n">
        <f aca="false">AVERAGE(S58:Y58)</f>
        <v>2.74285714285714</v>
      </c>
    </row>
    <row r="59" customFormat="false" ht="15" hidden="false" customHeight="false" outlineLevel="0" collapsed="false">
      <c r="D59" s="9" t="s">
        <v>63</v>
      </c>
      <c r="E59" s="9"/>
      <c r="F59" s="9"/>
      <c r="G59" s="87" t="n">
        <v>0</v>
      </c>
      <c r="H59" s="87" t="n">
        <v>0</v>
      </c>
      <c r="I59" s="87" t="n">
        <f aca="false">COUNTIF(D:D,G59)</f>
        <v>0</v>
      </c>
      <c r="J59" s="26" t="n">
        <v>0</v>
      </c>
      <c r="K59" s="26" t="n">
        <v>0</v>
      </c>
      <c r="L59" s="26"/>
      <c r="M59" s="26" t="n">
        <v>0</v>
      </c>
      <c r="P59" s="9" t="s">
        <v>63</v>
      </c>
      <c r="Q59" s="9"/>
      <c r="R59" s="9"/>
      <c r="S59" s="57" t="n">
        <f aca="false">G59*$Q3</f>
        <v>0</v>
      </c>
      <c r="T59" s="57" t="n">
        <f aca="false">H59*$Q3</f>
        <v>0</v>
      </c>
      <c r="U59" s="57" t="n">
        <f aca="false">I59*$Q3</f>
        <v>0</v>
      </c>
      <c r="V59" s="57" t="n">
        <f aca="false">J59*$Q3</f>
        <v>0</v>
      </c>
      <c r="W59" s="57" t="n">
        <f aca="false">K59*$Q3</f>
        <v>0</v>
      </c>
      <c r="X59" s="57" t="n">
        <f aca="false">L59*$Q3</f>
        <v>0</v>
      </c>
      <c r="Y59" s="57" t="n">
        <f aca="false">M59*$Q3</f>
        <v>0</v>
      </c>
      <c r="AA59" s="87"/>
    </row>
    <row r="60" customFormat="false" ht="15" hidden="false" customHeight="false" outlineLevel="0" collapsed="false">
      <c r="D60" s="9" t="s">
        <v>64</v>
      </c>
      <c r="E60" s="9"/>
      <c r="F60" s="9"/>
      <c r="G60" s="87" t="n">
        <v>0</v>
      </c>
      <c r="H60" s="87" t="n">
        <v>0</v>
      </c>
      <c r="I60" s="87" t="n">
        <f aca="false">COUNTIF(D:D,G60)</f>
        <v>0</v>
      </c>
      <c r="J60" s="26" t="n">
        <v>0</v>
      </c>
      <c r="K60" s="26" t="n">
        <v>0</v>
      </c>
      <c r="L60" s="26"/>
      <c r="M60" s="26" t="n">
        <v>0</v>
      </c>
      <c r="P60" s="9" t="s">
        <v>64</v>
      </c>
      <c r="Q60" s="9"/>
      <c r="R60" s="9"/>
      <c r="S60" s="57" t="n">
        <f aca="false">G60*$Q3</f>
        <v>0</v>
      </c>
      <c r="T60" s="57" t="n">
        <f aca="false">H60*$Q3</f>
        <v>0</v>
      </c>
      <c r="U60" s="57" t="n">
        <f aca="false">I60*$Q3</f>
        <v>0</v>
      </c>
      <c r="V60" s="57" t="n">
        <f aca="false">J60*$Q3</f>
        <v>0</v>
      </c>
      <c r="W60" s="57" t="n">
        <f aca="false">K60*$Q3</f>
        <v>0</v>
      </c>
      <c r="X60" s="57" t="n">
        <f aca="false">L60*$Q3</f>
        <v>0</v>
      </c>
      <c r="Y60" s="57" t="n">
        <f aca="false">M60*$Q3</f>
        <v>0</v>
      </c>
      <c r="AA60" s="87" t="n">
        <f aca="false">AVERAGE(S60:Y60)</f>
        <v>0</v>
      </c>
    </row>
    <row r="61" customFormat="false" ht="15" hidden="false" customHeight="false" outlineLevel="0" collapsed="false">
      <c r="D61" s="9" t="s">
        <v>65</v>
      </c>
      <c r="E61" s="9"/>
      <c r="F61" s="9"/>
      <c r="G61" s="87" t="n">
        <v>0</v>
      </c>
      <c r="H61" s="87" t="n">
        <v>0</v>
      </c>
      <c r="I61" s="87" t="n">
        <f aca="false">COUNTIF(D:D,G61)</f>
        <v>0</v>
      </c>
      <c r="J61" s="26" t="n">
        <v>0</v>
      </c>
      <c r="K61" s="26" t="n">
        <v>0</v>
      </c>
      <c r="L61" s="26"/>
      <c r="M61" s="26" t="n">
        <v>0</v>
      </c>
      <c r="P61" s="9" t="s">
        <v>65</v>
      </c>
      <c r="Q61" s="9"/>
      <c r="R61" s="9"/>
      <c r="S61" s="57" t="n">
        <f aca="false">G61*$Q3</f>
        <v>0</v>
      </c>
      <c r="T61" s="57" t="n">
        <f aca="false">H61*$Q3</f>
        <v>0</v>
      </c>
      <c r="U61" s="57" t="n">
        <f aca="false">I61*$Q3</f>
        <v>0</v>
      </c>
      <c r="V61" s="57" t="n">
        <f aca="false">J61*$Q3</f>
        <v>0</v>
      </c>
      <c r="W61" s="57" t="n">
        <f aca="false">K61*$Q3</f>
        <v>0</v>
      </c>
      <c r="X61" s="57" t="n">
        <f aca="false">L61*$Q3</f>
        <v>0</v>
      </c>
      <c r="Y61" s="57" t="n">
        <f aca="false">M61*$Q3</f>
        <v>0</v>
      </c>
      <c r="AA61" s="87"/>
    </row>
    <row r="62" customFormat="false" ht="15" hidden="false" customHeight="false" outlineLevel="0" collapsed="false">
      <c r="D62" s="9" t="s">
        <v>66</v>
      </c>
      <c r="E62" s="9"/>
      <c r="F62" s="9"/>
      <c r="G62" s="87" t="n">
        <v>1</v>
      </c>
      <c r="H62" s="87" t="n">
        <v>5</v>
      </c>
      <c r="I62" s="87" t="n">
        <f aca="false">COUNTIF(D:D,G62)</f>
        <v>0</v>
      </c>
      <c r="J62" s="26" t="n">
        <v>7</v>
      </c>
      <c r="K62" s="26" t="n">
        <v>8</v>
      </c>
      <c r="L62" s="26" t="n">
        <v>2</v>
      </c>
      <c r="M62" s="26" t="n">
        <v>7</v>
      </c>
      <c r="P62" s="9" t="s">
        <v>66</v>
      </c>
      <c r="Q62" s="9"/>
      <c r="R62" s="9"/>
      <c r="S62" s="57" t="n">
        <f aca="false">G62*$Q3</f>
        <v>0.4</v>
      </c>
      <c r="T62" s="57" t="n">
        <f aca="false">H62*$Q3</f>
        <v>2</v>
      </c>
      <c r="U62" s="57" t="n">
        <f aca="false">I62*$Q3</f>
        <v>0</v>
      </c>
      <c r="V62" s="57" t="n">
        <f aca="false">J62*$Q3</f>
        <v>2.8</v>
      </c>
      <c r="W62" s="57" t="n">
        <f aca="false">K62*$Q3</f>
        <v>3.2</v>
      </c>
      <c r="X62" s="57" t="n">
        <f aca="false">L62*$Q3</f>
        <v>0.8</v>
      </c>
      <c r="Y62" s="57" t="n">
        <f aca="false">M62*$Q3</f>
        <v>2.8</v>
      </c>
      <c r="AA62" s="87" t="n">
        <f aca="false">AVERAGE(S62:Y62)</f>
        <v>1.71428571428571</v>
      </c>
    </row>
    <row r="63" customFormat="false" ht="15" hidden="false" customHeight="false" outlineLevel="0" collapsed="false">
      <c r="D63" s="9" t="s">
        <v>67</v>
      </c>
      <c r="E63" s="9"/>
      <c r="F63" s="9"/>
      <c r="G63" s="87" t="n">
        <v>0</v>
      </c>
      <c r="H63" s="87" t="n">
        <v>0</v>
      </c>
      <c r="I63" s="87" t="n">
        <f aca="false">COUNTIF(D:D,G63)</f>
        <v>0</v>
      </c>
      <c r="J63" s="26" t="n">
        <v>0</v>
      </c>
      <c r="K63" s="26" t="n">
        <v>0</v>
      </c>
      <c r="L63" s="26"/>
      <c r="M63" s="26" t="n">
        <v>0</v>
      </c>
      <c r="P63" s="9" t="s">
        <v>67</v>
      </c>
      <c r="Q63" s="9"/>
      <c r="R63" s="9"/>
      <c r="S63" s="57" t="n">
        <f aca="false">G63*$Q3</f>
        <v>0</v>
      </c>
      <c r="T63" s="57" t="n">
        <f aca="false">H63*$Q3</f>
        <v>0</v>
      </c>
      <c r="U63" s="57" t="n">
        <f aca="false">I63*$Q3</f>
        <v>0</v>
      </c>
      <c r="V63" s="57" t="n">
        <f aca="false">J63*$Q3</f>
        <v>0</v>
      </c>
      <c r="W63" s="57" t="n">
        <f aca="false">K63*$Q3</f>
        <v>0</v>
      </c>
      <c r="X63" s="57" t="n">
        <f aca="false">L63*$Q3</f>
        <v>0</v>
      </c>
      <c r="Y63" s="57" t="n">
        <f aca="false">M63*$Q3</f>
        <v>0</v>
      </c>
      <c r="AA63" s="87" t="n">
        <f aca="false">AVERAGE(S63:Y63)</f>
        <v>0</v>
      </c>
    </row>
    <row r="64" customFormat="false" ht="15" hidden="false" customHeight="false" outlineLevel="0" collapsed="false">
      <c r="D64" s="9" t="s">
        <v>68</v>
      </c>
      <c r="E64" s="9"/>
      <c r="F64" s="9"/>
      <c r="G64" s="87" t="n">
        <v>0</v>
      </c>
      <c r="H64" s="87" t="n">
        <v>1</v>
      </c>
      <c r="I64" s="87" t="n">
        <f aca="false">COUNTIF(D:D,G64)</f>
        <v>0</v>
      </c>
      <c r="J64" s="26" t="n">
        <v>0</v>
      </c>
      <c r="K64" s="26" t="n">
        <v>0</v>
      </c>
      <c r="L64" s="26" t="n">
        <v>1</v>
      </c>
      <c r="M64" s="26" t="n">
        <v>0</v>
      </c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0.4</v>
      </c>
      <c r="U64" s="57" t="n">
        <f aca="false">I64*$Q3</f>
        <v>0</v>
      </c>
      <c r="V64" s="57" t="n">
        <f aca="false">J64*$Q3</f>
        <v>0</v>
      </c>
      <c r="W64" s="57" t="n">
        <f aca="false">K64*$Q3</f>
        <v>0</v>
      </c>
      <c r="X64" s="57" t="n">
        <f aca="false">L64*$Q3</f>
        <v>0.4</v>
      </c>
      <c r="Y64" s="57" t="n">
        <f aca="false">M64*$Q3</f>
        <v>0</v>
      </c>
      <c r="AA64" s="87" t="n">
        <f aca="false">AVERAGE(S64:Y64)</f>
        <v>0.114285714285714</v>
      </c>
    </row>
    <row r="65" customFormat="false" ht="15" hidden="false" customHeight="false" outlineLevel="0" collapsed="false">
      <c r="D65" s="9" t="s">
        <v>69</v>
      </c>
      <c r="E65" s="9"/>
      <c r="F65" s="9"/>
      <c r="G65" s="87" t="n">
        <v>0</v>
      </c>
      <c r="H65" s="87" t="n">
        <v>7</v>
      </c>
      <c r="I65" s="87" t="n">
        <f aca="false">COUNTIF(D:D,G65)</f>
        <v>0</v>
      </c>
      <c r="J65" s="26" t="n">
        <v>0</v>
      </c>
      <c r="K65" s="26" t="n">
        <v>0</v>
      </c>
      <c r="L65" s="26" t="n">
        <v>6</v>
      </c>
      <c r="M65" s="26" t="n">
        <v>15</v>
      </c>
      <c r="P65" s="9" t="s">
        <v>69</v>
      </c>
      <c r="Q65" s="9"/>
      <c r="R65" s="9"/>
      <c r="S65" s="57" t="n">
        <f aca="false">G65*$Q3</f>
        <v>0</v>
      </c>
      <c r="T65" s="57" t="n">
        <f aca="false">H65*$Q3</f>
        <v>2.8</v>
      </c>
      <c r="U65" s="57" t="n">
        <f aca="false">I65*$Q3</f>
        <v>0</v>
      </c>
      <c r="V65" s="57" t="n">
        <f aca="false">J65*$Q3</f>
        <v>0</v>
      </c>
      <c r="W65" s="57" t="n">
        <f aca="false">K65*$Q3</f>
        <v>0</v>
      </c>
      <c r="X65" s="57" t="n">
        <f aca="false">L65*$Q3</f>
        <v>2.4</v>
      </c>
      <c r="Y65" s="57" t="n">
        <f aca="false">M65*$Q3</f>
        <v>6</v>
      </c>
      <c r="AA65" s="87" t="n">
        <f aca="false">AVERAGE(S65:Y65)</f>
        <v>1.6</v>
      </c>
    </row>
    <row r="66" customFormat="false" ht="15" hidden="false" customHeight="false" outlineLevel="0" collapsed="false">
      <c r="D66" s="9" t="s">
        <v>70</v>
      </c>
      <c r="E66" s="9"/>
      <c r="F66" s="9"/>
      <c r="G66" s="87" t="n">
        <v>0</v>
      </c>
      <c r="H66" s="87" t="n">
        <v>1</v>
      </c>
      <c r="I66" s="87" t="n">
        <f aca="false">COUNTIF(D:D,G66)</f>
        <v>0</v>
      </c>
      <c r="J66" s="164" t="n">
        <v>0</v>
      </c>
      <c r="K66" s="26" t="n">
        <v>0</v>
      </c>
      <c r="L66" s="26" t="n">
        <v>0</v>
      </c>
      <c r="M66" s="26" t="n">
        <v>0</v>
      </c>
      <c r="P66" s="9" t="s">
        <v>70</v>
      </c>
      <c r="Q66" s="9"/>
      <c r="R66" s="9"/>
      <c r="S66" s="57" t="n">
        <f aca="false">G66*$Q3</f>
        <v>0</v>
      </c>
      <c r="T66" s="57" t="n">
        <f aca="false">H66*$Q3</f>
        <v>0.4</v>
      </c>
      <c r="U66" s="57" t="n">
        <f aca="false">I66*$Q3</f>
        <v>0</v>
      </c>
      <c r="V66" s="57" t="n">
        <f aca="false">J66*$Q3</f>
        <v>0</v>
      </c>
      <c r="W66" s="57" t="n">
        <f aca="false">K66*$Q3</f>
        <v>0</v>
      </c>
      <c r="X66" s="57" t="n">
        <f aca="false">L66*$Q3</f>
        <v>0</v>
      </c>
      <c r="Y66" s="57" t="n">
        <f aca="false">M66*$Q3</f>
        <v>0</v>
      </c>
      <c r="AA66" s="87" t="n">
        <f aca="false">AVERAGE(S66:Y66)</f>
        <v>0.0571428571428572</v>
      </c>
    </row>
    <row r="67" customFormat="false" ht="15" hidden="false" customHeight="false" outlineLevel="0" collapsed="false">
      <c r="D67" s="9" t="s">
        <v>71</v>
      </c>
      <c r="E67" s="9"/>
      <c r="F67" s="9"/>
      <c r="G67" s="87" t="n">
        <v>0</v>
      </c>
      <c r="H67" s="87" t="n">
        <v>0</v>
      </c>
      <c r="I67" s="87" t="n">
        <f aca="false">COUNTIF(D:D,G67)</f>
        <v>0</v>
      </c>
      <c r="J67" s="26" t="n">
        <v>0</v>
      </c>
      <c r="K67" s="26" t="n">
        <v>0</v>
      </c>
      <c r="L67" s="26" t="n">
        <v>0</v>
      </c>
      <c r="M67" s="26" t="n">
        <v>2</v>
      </c>
      <c r="P67" s="9" t="s">
        <v>71</v>
      </c>
      <c r="Q67" s="9"/>
      <c r="R67" s="9"/>
      <c r="S67" s="57" t="n">
        <f aca="false">G67*$Q3</f>
        <v>0</v>
      </c>
      <c r="T67" s="57" t="n">
        <f aca="false">H67*$Q3</f>
        <v>0</v>
      </c>
      <c r="U67" s="57" t="n">
        <f aca="false">I67*$Q3</f>
        <v>0</v>
      </c>
      <c r="V67" s="57" t="n">
        <f aca="false">J67*$Q3</f>
        <v>0</v>
      </c>
      <c r="W67" s="57" t="n">
        <f aca="false">K67*$Q3</f>
        <v>0</v>
      </c>
      <c r="X67" s="57" t="n">
        <f aca="false">L67*$Q3</f>
        <v>0</v>
      </c>
      <c r="Y67" s="57" t="n">
        <f aca="false">M67*$Q3</f>
        <v>0.8</v>
      </c>
      <c r="AA67" s="87" t="n">
        <f aca="false">AVERAGE(S67:Y67)</f>
        <v>0.114285714285714</v>
      </c>
    </row>
    <row r="68" customFormat="false" ht="15" hidden="false" customHeight="false" outlineLevel="0" collapsed="false">
      <c r="D68" s="9" t="s">
        <v>72</v>
      </c>
      <c r="E68" s="9"/>
      <c r="F68" s="9"/>
      <c r="G68" s="87" t="n">
        <v>0</v>
      </c>
      <c r="H68" s="87" t="n">
        <v>0</v>
      </c>
      <c r="I68" s="87" t="n">
        <f aca="false">COUNTIF(D:D,G68)</f>
        <v>0</v>
      </c>
      <c r="J68" s="30" t="n">
        <v>0</v>
      </c>
      <c r="K68" s="30" t="n">
        <v>0</v>
      </c>
      <c r="L68" s="30" t="n">
        <v>0</v>
      </c>
      <c r="M68" s="30" t="n">
        <v>0</v>
      </c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 t="n">
        <f aca="false">I68*$Q3</f>
        <v>0</v>
      </c>
      <c r="V68" s="57" t="n">
        <f aca="false">J68*$Q3</f>
        <v>0</v>
      </c>
      <c r="W68" s="57" t="n">
        <f aca="false">K68*$Q3</f>
        <v>0</v>
      </c>
      <c r="X68" s="57" t="n">
        <f aca="false">L68*$Q3</f>
        <v>0</v>
      </c>
      <c r="Y68" s="57" t="n">
        <f aca="false">M68*$Q3</f>
        <v>0</v>
      </c>
      <c r="AA68" s="87" t="n">
        <f aca="false">AVERAGE(S68:Y68)</f>
        <v>0</v>
      </c>
    </row>
    <row r="69" customFormat="false" ht="15" hidden="false" customHeight="false" outlineLevel="0" collapsed="false">
      <c r="D69" s="9" t="s">
        <v>73</v>
      </c>
      <c r="E69" s="9"/>
      <c r="F69" s="9"/>
      <c r="G69" s="87" t="n">
        <v>0</v>
      </c>
      <c r="H69" s="87" t="n">
        <v>2</v>
      </c>
      <c r="I69" s="87" t="n">
        <f aca="false">COUNTIF(D:D,G69)</f>
        <v>0</v>
      </c>
      <c r="J69" s="30" t="n">
        <v>4</v>
      </c>
      <c r="K69" s="30" t="n">
        <v>3</v>
      </c>
      <c r="L69" s="30" t="n">
        <v>0</v>
      </c>
      <c r="M69" s="26" t="n">
        <v>0</v>
      </c>
      <c r="N69" s="165"/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0.8</v>
      </c>
      <c r="U69" s="57" t="n">
        <f aca="false">I69*$Q3</f>
        <v>0</v>
      </c>
      <c r="V69" s="57" t="n">
        <f aca="false">J69*$Q3</f>
        <v>1.6</v>
      </c>
      <c r="W69" s="57" t="n">
        <f aca="false">K69*$Q3</f>
        <v>1.2</v>
      </c>
      <c r="X69" s="57" t="n">
        <f aca="false">L69*$Q3</f>
        <v>0</v>
      </c>
      <c r="Y69" s="57" t="n">
        <f aca="false">M69*$Q3</f>
        <v>0</v>
      </c>
      <c r="AA69" s="87" t="n">
        <f aca="false">AVERAGE(S69:Y69)</f>
        <v>0.514285714285714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8</v>
      </c>
      <c r="H70" s="60" t="n">
        <f aca="false">SUM(H58:H69)</f>
        <v>29</v>
      </c>
      <c r="I70" s="60" t="n">
        <f aca="false">SUM(I58:I69)</f>
        <v>0</v>
      </c>
      <c r="J70" s="60" t="n">
        <f aca="false">SUM(J58:J69)</f>
        <v>17</v>
      </c>
      <c r="K70" s="60" t="n">
        <f aca="false">SUM(K58:K69)</f>
        <v>19</v>
      </c>
      <c r="L70" s="60" t="n">
        <f aca="false">SUM(L58:L69)</f>
        <v>12</v>
      </c>
      <c r="M70" s="60" t="n">
        <f aca="false">SUM(M58:M69)</f>
        <v>35</v>
      </c>
      <c r="P70" s="9" t="s">
        <v>60</v>
      </c>
      <c r="Q70" s="9"/>
      <c r="R70" s="9"/>
      <c r="S70" s="61" t="n">
        <f aca="false">G70*$Q3</f>
        <v>3.2</v>
      </c>
      <c r="T70" s="61" t="n">
        <f aca="false">H70*$Q3</f>
        <v>11.6</v>
      </c>
      <c r="U70" s="61" t="n">
        <f aca="false">I70*$Q3</f>
        <v>0</v>
      </c>
      <c r="V70" s="61" t="n">
        <f aca="false">J70*$Q3</f>
        <v>6.8</v>
      </c>
      <c r="W70" s="61" t="n">
        <f aca="false">K70*$Q3</f>
        <v>7.6</v>
      </c>
      <c r="X70" s="61" t="n">
        <f aca="false">L70*$Q3</f>
        <v>4.8</v>
      </c>
      <c r="Y70" s="32" t="n">
        <f aca="false">M70*$Q3</f>
        <v>14</v>
      </c>
      <c r="AA70" s="87" t="n">
        <f aca="false">AVERAGE(S70:Y70)</f>
        <v>6.85714285714286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2022-10-25T11:20:32Z</dcterms:created>
  <dc:creator>Utente</dc:creator>
  <dc:description/>
  <dc:language>it-IT</dc:language>
  <cp:lastModifiedBy>Simone Bettella</cp:lastModifiedBy>
  <cp:lastPrinted>2024-05-03T07:49:38Z</cp:lastPrinted>
  <dcterms:modified xsi:type="dcterms:W3CDTF">2026-02-10T17:38:06Z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